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8_{5D9BD494-115E-4057-9CA8-755843301B46}" xr6:coauthVersionLast="45" xr6:coauthVersionMax="45" xr10:uidLastSave="{00000000-0000-0000-0000-000000000000}"/>
  <bookViews>
    <workbookView xWindow="-120" yWindow="-120" windowWidth="19440" windowHeight="15000" activeTab="1" xr2:uid="{00000000-000D-0000-FFFF-FFFF00000000}"/>
  </bookViews>
  <sheets>
    <sheet name="使用方法 " sheetId="9" r:id="rId1"/>
    <sheet name="測定値" sheetId="10" r:id="rId2"/>
    <sheet name="報告書" sheetId="1" r:id="rId3"/>
  </sheets>
  <definedNames>
    <definedName name="Bach">測定値!$A$5</definedName>
    <definedName name="DataTB">測定値!$G$5:$K$304</definedName>
    <definedName name="Debug">測定値!$A$1</definedName>
    <definedName name="Dose">測定値!$E$3</definedName>
    <definedName name="Honnsuu">測定値!$D$3</definedName>
    <definedName name="HyoujiKeta">測定値!$O$2</definedName>
    <definedName name="Jyogen">測定値!$J$3</definedName>
    <definedName name="Kagenn">測定値!$I$3</definedName>
    <definedName name="KaisyaCD">測定値!$O$4</definedName>
    <definedName name="KeiCode">測定値!$T$2:$T$3</definedName>
    <definedName name="keicord">測定値!$H$3</definedName>
    <definedName name="keicordS">測定値!$V$2</definedName>
    <definedName name="KirokuFolder">測定値!$O$1</definedName>
    <definedName name="Nenndo">測定値!$O$3</definedName>
    <definedName name="_xlnm.Print_Area" localSheetId="1">測定値!$A$5:$J$328</definedName>
    <definedName name="_xlnm.Print_Area" localSheetId="2">報告書!$B$5:$H$123</definedName>
    <definedName name="_xlnm.Print_Titles" localSheetId="1">測定値!$1:$4</definedName>
    <definedName name="_xlnm.Print_Titles" localSheetId="2">報告書!$2:$4</definedName>
    <definedName name="ReadFlg">測定値!$K$3</definedName>
    <definedName name="RicNo">測定値!$E$5</definedName>
    <definedName name="SenKind">測定値!$G$3</definedName>
    <definedName name="SenKindTB">測定値!$R$2:$R$4</definedName>
    <definedName name="SikiPara">測定値!$Y$2:$AE$6</definedName>
    <definedName name="SikiTep">測定値!$Y$2:$AE$4</definedName>
    <definedName name="SokuKiki">測定値!$F$3</definedName>
    <definedName name="UkeHed">測定値!$B$3:$J$3</definedName>
    <definedName name="Uno">測定値!$B$3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" i="10" l="1"/>
  <c r="D21" i="1" l="1"/>
  <c r="D9" i="1"/>
  <c r="H121" i="1" l="1"/>
  <c r="G121" i="1"/>
  <c r="F121" i="1"/>
  <c r="E121" i="1"/>
  <c r="D121" i="1"/>
  <c r="H120" i="1"/>
  <c r="G120" i="1"/>
  <c r="F120" i="1"/>
  <c r="E120" i="1"/>
  <c r="D120" i="1"/>
  <c r="H119" i="1"/>
  <c r="G119" i="1"/>
  <c r="F119" i="1"/>
  <c r="E119" i="1"/>
  <c r="D119" i="1"/>
  <c r="H118" i="1"/>
  <c r="G118" i="1"/>
  <c r="F118" i="1"/>
  <c r="E118" i="1"/>
  <c r="D118" i="1"/>
  <c r="H117" i="1"/>
  <c r="G117" i="1"/>
  <c r="F117" i="1"/>
  <c r="E117" i="1"/>
  <c r="D117" i="1"/>
  <c r="H116" i="1"/>
  <c r="G116" i="1"/>
  <c r="F116" i="1"/>
  <c r="E116" i="1"/>
  <c r="D116" i="1"/>
  <c r="H110" i="1"/>
  <c r="G110" i="1"/>
  <c r="F110" i="1"/>
  <c r="E110" i="1"/>
  <c r="D110" i="1"/>
  <c r="H109" i="1"/>
  <c r="G109" i="1"/>
  <c r="F109" i="1"/>
  <c r="E109" i="1"/>
  <c r="D109" i="1"/>
  <c r="H108" i="1"/>
  <c r="G108" i="1"/>
  <c r="F108" i="1"/>
  <c r="E108" i="1"/>
  <c r="D108" i="1"/>
  <c r="H107" i="1"/>
  <c r="G107" i="1"/>
  <c r="F107" i="1"/>
  <c r="E107" i="1"/>
  <c r="D107" i="1"/>
  <c r="H106" i="1"/>
  <c r="G106" i="1"/>
  <c r="F106" i="1"/>
  <c r="E106" i="1"/>
  <c r="D106" i="1"/>
  <c r="H105" i="1"/>
  <c r="G105" i="1"/>
  <c r="G104" i="1" s="1"/>
  <c r="G115" i="1" s="1"/>
  <c r="F105" i="1"/>
  <c r="E105" i="1"/>
  <c r="D105" i="1"/>
  <c r="H97" i="1"/>
  <c r="G97" i="1"/>
  <c r="F97" i="1"/>
  <c r="E97" i="1"/>
  <c r="D97" i="1"/>
  <c r="H96" i="1"/>
  <c r="G96" i="1"/>
  <c r="F96" i="1"/>
  <c r="E96" i="1"/>
  <c r="D96" i="1"/>
  <c r="H95" i="1"/>
  <c r="G95" i="1"/>
  <c r="F95" i="1"/>
  <c r="E95" i="1"/>
  <c r="D95" i="1"/>
  <c r="H94" i="1"/>
  <c r="G94" i="1"/>
  <c r="F94" i="1"/>
  <c r="E94" i="1"/>
  <c r="D94" i="1"/>
  <c r="H93" i="1"/>
  <c r="G93" i="1"/>
  <c r="F93" i="1"/>
  <c r="E93" i="1"/>
  <c r="D93" i="1"/>
  <c r="H92" i="1"/>
  <c r="G92" i="1"/>
  <c r="F92" i="1"/>
  <c r="E92" i="1"/>
  <c r="D92" i="1"/>
  <c r="H86" i="1"/>
  <c r="G86" i="1"/>
  <c r="F86" i="1"/>
  <c r="E86" i="1"/>
  <c r="D86" i="1"/>
  <c r="H85" i="1"/>
  <c r="G85" i="1"/>
  <c r="F85" i="1"/>
  <c r="E85" i="1"/>
  <c r="D85" i="1"/>
  <c r="H84" i="1"/>
  <c r="G84" i="1"/>
  <c r="F84" i="1"/>
  <c r="E84" i="1"/>
  <c r="D84" i="1"/>
  <c r="H83" i="1"/>
  <c r="G83" i="1"/>
  <c r="F83" i="1"/>
  <c r="E83" i="1"/>
  <c r="D83" i="1"/>
  <c r="H82" i="1"/>
  <c r="G82" i="1"/>
  <c r="F82" i="1"/>
  <c r="E82" i="1"/>
  <c r="D82" i="1"/>
  <c r="H81" i="1"/>
  <c r="H78" i="1" s="1"/>
  <c r="H89" i="1" s="1"/>
  <c r="G81" i="1"/>
  <c r="G80" i="1" s="1"/>
  <c r="G91" i="1" s="1"/>
  <c r="F81" i="1"/>
  <c r="F78" i="1" s="1"/>
  <c r="F89" i="1" s="1"/>
  <c r="E81" i="1"/>
  <c r="D81" i="1"/>
  <c r="H73" i="1"/>
  <c r="G73" i="1"/>
  <c r="F73" i="1"/>
  <c r="E73" i="1"/>
  <c r="D73" i="1"/>
  <c r="H72" i="1"/>
  <c r="G72" i="1"/>
  <c r="F72" i="1"/>
  <c r="E72" i="1"/>
  <c r="D72" i="1"/>
  <c r="H71" i="1"/>
  <c r="G71" i="1"/>
  <c r="F71" i="1"/>
  <c r="E71" i="1"/>
  <c r="D71" i="1"/>
  <c r="H70" i="1"/>
  <c r="G70" i="1"/>
  <c r="F70" i="1"/>
  <c r="E70" i="1"/>
  <c r="D70" i="1"/>
  <c r="H69" i="1"/>
  <c r="G69" i="1"/>
  <c r="F69" i="1"/>
  <c r="E69" i="1"/>
  <c r="D69" i="1"/>
  <c r="H68" i="1"/>
  <c r="G68" i="1"/>
  <c r="F68" i="1"/>
  <c r="E68" i="1"/>
  <c r="D68" i="1"/>
  <c r="H62" i="1"/>
  <c r="G62" i="1"/>
  <c r="F62" i="1"/>
  <c r="E62" i="1"/>
  <c r="D62" i="1"/>
  <c r="H61" i="1"/>
  <c r="G61" i="1"/>
  <c r="F61" i="1"/>
  <c r="E61" i="1"/>
  <c r="D61" i="1"/>
  <c r="H60" i="1"/>
  <c r="G60" i="1"/>
  <c r="F60" i="1"/>
  <c r="E60" i="1"/>
  <c r="D60" i="1"/>
  <c r="H59" i="1"/>
  <c r="G59" i="1"/>
  <c r="F59" i="1"/>
  <c r="E59" i="1"/>
  <c r="D59" i="1"/>
  <c r="H58" i="1"/>
  <c r="G58" i="1"/>
  <c r="F58" i="1"/>
  <c r="E58" i="1"/>
  <c r="D58" i="1"/>
  <c r="H57" i="1"/>
  <c r="H54" i="1" s="1"/>
  <c r="H65" i="1" s="1"/>
  <c r="G57" i="1"/>
  <c r="F57" i="1"/>
  <c r="F56" i="1" s="1"/>
  <c r="F67" i="1" s="1"/>
  <c r="E57" i="1"/>
  <c r="D57" i="1"/>
  <c r="D56" i="1" s="1"/>
  <c r="D67" i="1" s="1"/>
  <c r="H49" i="1"/>
  <c r="G49" i="1"/>
  <c r="F49" i="1"/>
  <c r="E49" i="1"/>
  <c r="D49" i="1"/>
  <c r="H48" i="1"/>
  <c r="G48" i="1"/>
  <c r="F48" i="1"/>
  <c r="E48" i="1"/>
  <c r="D48" i="1"/>
  <c r="H47" i="1"/>
  <c r="G47" i="1"/>
  <c r="F47" i="1"/>
  <c r="E47" i="1"/>
  <c r="D47" i="1"/>
  <c r="H46" i="1"/>
  <c r="G46" i="1"/>
  <c r="F46" i="1"/>
  <c r="E46" i="1"/>
  <c r="D46" i="1"/>
  <c r="H45" i="1"/>
  <c r="G45" i="1"/>
  <c r="F45" i="1"/>
  <c r="E45" i="1"/>
  <c r="D45" i="1"/>
  <c r="H44" i="1"/>
  <c r="G44" i="1"/>
  <c r="F44" i="1"/>
  <c r="E44" i="1"/>
  <c r="D44" i="1"/>
  <c r="H38" i="1"/>
  <c r="G38" i="1"/>
  <c r="F38" i="1"/>
  <c r="E38" i="1"/>
  <c r="D38" i="1"/>
  <c r="H37" i="1"/>
  <c r="G37" i="1"/>
  <c r="F37" i="1"/>
  <c r="E37" i="1"/>
  <c r="D37" i="1"/>
  <c r="H36" i="1"/>
  <c r="G36" i="1"/>
  <c r="F36" i="1"/>
  <c r="E36" i="1"/>
  <c r="D36" i="1"/>
  <c r="H35" i="1"/>
  <c r="G35" i="1"/>
  <c r="F35" i="1"/>
  <c r="E35" i="1"/>
  <c r="D35" i="1"/>
  <c r="H34" i="1"/>
  <c r="G34" i="1"/>
  <c r="F34" i="1"/>
  <c r="E34" i="1"/>
  <c r="D34" i="1"/>
  <c r="H33" i="1"/>
  <c r="G33" i="1"/>
  <c r="G32" i="1" s="1"/>
  <c r="G43" i="1" s="1"/>
  <c r="F33" i="1"/>
  <c r="F30" i="1" s="1"/>
  <c r="F41" i="1" s="1"/>
  <c r="E33" i="1"/>
  <c r="D33" i="1"/>
  <c r="D30" i="1" s="1"/>
  <c r="D41" i="1" s="1"/>
  <c r="H25" i="1"/>
  <c r="G25" i="1"/>
  <c r="F25" i="1"/>
  <c r="E25" i="1"/>
  <c r="D25" i="1"/>
  <c r="H24" i="1"/>
  <c r="G24" i="1"/>
  <c r="F24" i="1"/>
  <c r="E24" i="1"/>
  <c r="D24" i="1"/>
  <c r="H23" i="1"/>
  <c r="G23" i="1"/>
  <c r="F23" i="1"/>
  <c r="E23" i="1"/>
  <c r="D23" i="1"/>
  <c r="H22" i="1"/>
  <c r="G22" i="1"/>
  <c r="F22" i="1"/>
  <c r="E22" i="1"/>
  <c r="D22" i="1"/>
  <c r="H21" i="1"/>
  <c r="G21" i="1"/>
  <c r="F21" i="1"/>
  <c r="E21" i="1"/>
  <c r="H20" i="1"/>
  <c r="G20" i="1"/>
  <c r="F20" i="1"/>
  <c r="E20" i="1"/>
  <c r="D20" i="1"/>
  <c r="H14" i="1"/>
  <c r="G14" i="1"/>
  <c r="F14" i="1"/>
  <c r="E14" i="1"/>
  <c r="D14" i="1"/>
  <c r="H13" i="1"/>
  <c r="G13" i="1"/>
  <c r="F13" i="1"/>
  <c r="E13" i="1"/>
  <c r="D13" i="1"/>
  <c r="H12" i="1"/>
  <c r="G12" i="1"/>
  <c r="F12" i="1"/>
  <c r="E12" i="1"/>
  <c r="D12" i="1"/>
  <c r="H11" i="1"/>
  <c r="G11" i="1"/>
  <c r="F11" i="1"/>
  <c r="E11" i="1"/>
  <c r="D11" i="1"/>
  <c r="H10" i="1"/>
  <c r="G10" i="1"/>
  <c r="F10" i="1"/>
  <c r="E10" i="1"/>
  <c r="D10" i="1"/>
  <c r="H9" i="1"/>
  <c r="G9" i="1"/>
  <c r="G8" i="1" s="1"/>
  <c r="G19" i="1" s="1"/>
  <c r="F9" i="1"/>
  <c r="F8" i="1" s="1"/>
  <c r="F19" i="1" s="1"/>
  <c r="E9" i="1"/>
  <c r="D8" i="1"/>
  <c r="D19" i="1" s="1"/>
  <c r="D7" i="1"/>
  <c r="D6" i="1"/>
  <c r="D17" i="1" s="1"/>
  <c r="D5" i="1"/>
  <c r="G102" i="1" l="1"/>
  <c r="G113" i="1" s="1"/>
  <c r="F6" i="1"/>
  <c r="F17" i="1" s="1"/>
  <c r="H80" i="1"/>
  <c r="H91" i="1" s="1"/>
  <c r="D122" i="1"/>
  <c r="G30" i="1"/>
  <c r="G41" i="1" s="1"/>
  <c r="G6" i="1"/>
  <c r="G17" i="1" s="1"/>
  <c r="E39" i="1"/>
  <c r="E63" i="1"/>
  <c r="G78" i="1"/>
  <c r="G89" i="1" s="1"/>
  <c r="E102" i="1"/>
  <c r="E113" i="1" s="1"/>
  <c r="F98" i="1"/>
  <c r="E15" i="1"/>
  <c r="E104" i="1"/>
  <c r="E115" i="1" s="1"/>
  <c r="D51" i="1"/>
  <c r="E88" i="1"/>
  <c r="H111" i="1"/>
  <c r="F104" i="1"/>
  <c r="F115" i="1" s="1"/>
  <c r="F50" i="1"/>
  <c r="H74" i="1"/>
  <c r="F102" i="1"/>
  <c r="F113" i="1" s="1"/>
  <c r="F15" i="1"/>
  <c r="D27" i="1"/>
  <c r="E27" i="1"/>
  <c r="E30" i="1"/>
  <c r="E41" i="1" s="1"/>
  <c r="G50" i="1"/>
  <c r="F63" i="1"/>
  <c r="D80" i="1"/>
  <c r="D91" i="1" s="1"/>
  <c r="G88" i="1"/>
  <c r="G98" i="1"/>
  <c r="H104" i="1"/>
  <c r="H115" i="1" s="1"/>
  <c r="E122" i="1"/>
  <c r="G15" i="1"/>
  <c r="F27" i="1"/>
  <c r="E32" i="1"/>
  <c r="E43" i="1" s="1"/>
  <c r="G39" i="1"/>
  <c r="H51" i="1"/>
  <c r="G64" i="1"/>
  <c r="D74" i="1"/>
  <c r="E80" i="1"/>
  <c r="E91" i="1" s="1"/>
  <c r="G87" i="1"/>
  <c r="H98" i="1"/>
  <c r="D111" i="1"/>
  <c r="E112" i="1"/>
  <c r="F122" i="1"/>
  <c r="G123" i="1"/>
  <c r="E56" i="1"/>
  <c r="E67" i="1" s="1"/>
  <c r="E74" i="1"/>
  <c r="H87" i="1"/>
  <c r="E111" i="1"/>
  <c r="G122" i="1"/>
  <c r="F26" i="1"/>
  <c r="H39" i="1"/>
  <c r="D16" i="1"/>
  <c r="G26" i="1"/>
  <c r="H30" i="1"/>
  <c r="H41" i="1" s="1"/>
  <c r="H32" i="1"/>
  <c r="H43" i="1" s="1"/>
  <c r="D40" i="1"/>
  <c r="D50" i="1"/>
  <c r="D54" i="1"/>
  <c r="D65" i="1" s="1"/>
  <c r="F75" i="1"/>
  <c r="D99" i="1"/>
  <c r="F111" i="1"/>
  <c r="H123" i="1"/>
  <c r="E40" i="1"/>
  <c r="E50" i="1"/>
  <c r="E54" i="1"/>
  <c r="E65" i="1" s="1"/>
  <c r="G74" i="1"/>
  <c r="H75" i="1"/>
  <c r="D87" i="1"/>
  <c r="E98" i="1"/>
  <c r="F99" i="1"/>
  <c r="H112" i="1"/>
  <c r="D123" i="1"/>
  <c r="D26" i="1"/>
  <c r="H50" i="1"/>
  <c r="G63" i="1"/>
  <c r="H64" i="1"/>
  <c r="F74" i="1"/>
  <c r="G75" i="1"/>
  <c r="E87" i="1"/>
  <c r="F88" i="1"/>
  <c r="D98" i="1"/>
  <c r="E99" i="1"/>
  <c r="D112" i="1"/>
  <c r="H122" i="1"/>
  <c r="F87" i="1"/>
  <c r="H8" i="1"/>
  <c r="H19" i="1" s="1"/>
  <c r="D15" i="1"/>
  <c r="E16" i="1"/>
  <c r="G27" i="1"/>
  <c r="D32" i="1"/>
  <c r="D43" i="1" s="1"/>
  <c r="F40" i="1"/>
  <c r="E51" i="1"/>
  <c r="F54" i="1"/>
  <c r="F65" i="1" s="1"/>
  <c r="H56" i="1"/>
  <c r="H67" i="1" s="1"/>
  <c r="D64" i="1"/>
  <c r="D78" i="1"/>
  <c r="D89" i="1" s="1"/>
  <c r="F80" i="1"/>
  <c r="F91" i="1" s="1"/>
  <c r="H88" i="1"/>
  <c r="G99" i="1"/>
  <c r="H102" i="1"/>
  <c r="H113" i="1" s="1"/>
  <c r="D104" i="1"/>
  <c r="D115" i="1" s="1"/>
  <c r="F112" i="1"/>
  <c r="E123" i="1"/>
  <c r="F16" i="1"/>
  <c r="H27" i="1"/>
  <c r="D31" i="1"/>
  <c r="E31" i="1" s="1"/>
  <c r="F31" i="1" s="1"/>
  <c r="G31" i="1" s="1"/>
  <c r="H31" i="1" s="1"/>
  <c r="F39" i="1"/>
  <c r="G40" i="1"/>
  <c r="F51" i="1"/>
  <c r="G54" i="1"/>
  <c r="G65" i="1" s="1"/>
  <c r="D63" i="1"/>
  <c r="E64" i="1"/>
  <c r="D75" i="1"/>
  <c r="E78" i="1"/>
  <c r="E89" i="1" s="1"/>
  <c r="H99" i="1"/>
  <c r="G112" i="1"/>
  <c r="F123" i="1"/>
  <c r="H15" i="1"/>
  <c r="H6" i="1"/>
  <c r="H17" i="1" s="1"/>
  <c r="E26" i="1"/>
  <c r="D39" i="1"/>
  <c r="G56" i="1"/>
  <c r="G67" i="1" s="1"/>
  <c r="H63" i="1"/>
  <c r="G16" i="1"/>
  <c r="H26" i="1"/>
  <c r="F32" i="1"/>
  <c r="F43" i="1" s="1"/>
  <c r="H40" i="1"/>
  <c r="G51" i="1"/>
  <c r="F64" i="1"/>
  <c r="E75" i="1"/>
  <c r="D88" i="1"/>
  <c r="D102" i="1"/>
  <c r="D113" i="1" s="1"/>
  <c r="G111" i="1"/>
  <c r="H16" i="1"/>
  <c r="E7" i="1"/>
  <c r="F7" i="1" s="1"/>
  <c r="G7" i="1" s="1"/>
  <c r="H7" i="1" s="1"/>
  <c r="E8" i="1"/>
  <c r="E6" i="1"/>
  <c r="E17" i="1" s="1"/>
  <c r="C4" i="1"/>
  <c r="E11" i="10" l="1"/>
  <c r="E12" i="10" s="1"/>
  <c r="F10" i="10"/>
  <c r="F9" i="10"/>
  <c r="F8" i="10"/>
  <c r="F7" i="10"/>
  <c r="F6" i="10"/>
  <c r="F5" i="10"/>
  <c r="O3" i="10"/>
  <c r="F16" i="10" l="1"/>
  <c r="D18" i="1"/>
  <c r="E18" i="1" s="1"/>
  <c r="F14" i="10"/>
  <c r="F15" i="10"/>
  <c r="F13" i="10"/>
  <c r="A29" i="10"/>
  <c r="E5" i="1"/>
  <c r="E17" i="10"/>
  <c r="E18" i="10" s="1"/>
  <c r="F12" i="10"/>
  <c r="F11" i="10"/>
  <c r="F18" i="1" l="1"/>
  <c r="G18" i="1" s="1"/>
  <c r="H18" i="1" s="1"/>
  <c r="D42" i="1" s="1"/>
  <c r="E42" i="1" s="1"/>
  <c r="F42" i="1" s="1"/>
  <c r="G42" i="1" s="1"/>
  <c r="H42" i="1" s="1"/>
  <c r="D55" i="1" s="1"/>
  <c r="E19" i="1"/>
  <c r="A41" i="10"/>
  <c r="F5" i="1"/>
  <c r="F22" i="10"/>
  <c r="F17" i="10"/>
  <c r="F20" i="10"/>
  <c r="F19" i="10"/>
  <c r="E23" i="10"/>
  <c r="E24" i="10" s="1"/>
  <c r="F21" i="10"/>
  <c r="F18" i="10"/>
  <c r="D66" i="1" l="1"/>
  <c r="E66" i="1" s="1"/>
  <c r="F66" i="1" s="1"/>
  <c r="G66" i="1" s="1"/>
  <c r="H66" i="1" s="1"/>
  <c r="D90" i="1" s="1"/>
  <c r="E90" i="1" s="1"/>
  <c r="F90" i="1" s="1"/>
  <c r="G90" i="1" s="1"/>
  <c r="H90" i="1" s="1"/>
  <c r="D114" i="1" s="1"/>
  <c r="E114" i="1" s="1"/>
  <c r="F114" i="1" s="1"/>
  <c r="G114" i="1" s="1"/>
  <c r="H114" i="1" s="1"/>
  <c r="E55" i="1"/>
  <c r="F55" i="1" s="1"/>
  <c r="G55" i="1" s="1"/>
  <c r="H55" i="1" s="1"/>
  <c r="D79" i="1" s="1"/>
  <c r="E79" i="1" s="1"/>
  <c r="F79" i="1" s="1"/>
  <c r="G79" i="1" s="1"/>
  <c r="H79" i="1" s="1"/>
  <c r="D103" i="1" s="1"/>
  <c r="E103" i="1" s="1"/>
  <c r="F103" i="1" s="1"/>
  <c r="G103" i="1" s="1"/>
  <c r="H103" i="1" s="1"/>
  <c r="A53" i="10"/>
  <c r="G5" i="1"/>
  <c r="F27" i="10"/>
  <c r="E29" i="10"/>
  <c r="E30" i="10" s="1"/>
  <c r="F23" i="10"/>
  <c r="F25" i="10"/>
  <c r="F26" i="10"/>
  <c r="F28" i="10"/>
  <c r="F24" i="10"/>
  <c r="A65" i="10" l="1"/>
  <c r="H5" i="1"/>
  <c r="F31" i="10"/>
  <c r="E35" i="10"/>
  <c r="E36" i="10" s="1"/>
  <c r="F34" i="10"/>
  <c r="F32" i="10"/>
  <c r="F33" i="10"/>
  <c r="F30" i="10"/>
  <c r="F29" i="10"/>
  <c r="A77" i="10" l="1"/>
  <c r="D29" i="1"/>
  <c r="E41" i="10"/>
  <c r="E42" i="10" s="1"/>
  <c r="F36" i="10"/>
  <c r="F38" i="10"/>
  <c r="F37" i="10"/>
  <c r="F40" i="10"/>
  <c r="F39" i="10"/>
  <c r="F35" i="10"/>
  <c r="A89" i="10" l="1"/>
  <c r="E29" i="1"/>
  <c r="F46" i="10"/>
  <c r="E47" i="10"/>
  <c r="E48" i="10" s="1"/>
  <c r="F45" i="10"/>
  <c r="F43" i="10"/>
  <c r="F42" i="10"/>
  <c r="F44" i="10"/>
  <c r="F41" i="10"/>
  <c r="A101" i="10" l="1"/>
  <c r="F29" i="1"/>
  <c r="F51" i="10"/>
  <c r="F49" i="10"/>
  <c r="F48" i="10"/>
  <c r="F52" i="10"/>
  <c r="F50" i="10"/>
  <c r="E53" i="10"/>
  <c r="E54" i="10" s="1"/>
  <c r="F47" i="10"/>
  <c r="A113" i="10" l="1"/>
  <c r="G29" i="1"/>
  <c r="F55" i="10"/>
  <c r="F58" i="10"/>
  <c r="F57" i="10"/>
  <c r="F54" i="10"/>
  <c r="F56" i="10"/>
  <c r="F53" i="10"/>
  <c r="E59" i="10"/>
  <c r="E60" i="10" s="1"/>
  <c r="A125" i="10" l="1"/>
  <c r="H29" i="1"/>
  <c r="E65" i="10"/>
  <c r="E66" i="10" s="1"/>
  <c r="F60" i="10"/>
  <c r="F64" i="10"/>
  <c r="F61" i="10"/>
  <c r="F59" i="10"/>
  <c r="F63" i="10"/>
  <c r="F62" i="10"/>
  <c r="A137" i="10" l="1"/>
  <c r="D53" i="1"/>
  <c r="F70" i="10"/>
  <c r="F69" i="10"/>
  <c r="F65" i="10"/>
  <c r="F68" i="10"/>
  <c r="F66" i="10"/>
  <c r="F67" i="10"/>
  <c r="E71" i="10"/>
  <c r="E72" i="10" s="1"/>
  <c r="A149" i="10" l="1"/>
  <c r="E53" i="1"/>
  <c r="F75" i="10"/>
  <c r="F76" i="10"/>
  <c r="E77" i="10"/>
  <c r="E78" i="10" s="1"/>
  <c r="F74" i="10"/>
  <c r="F72" i="10"/>
  <c r="F73" i="10"/>
  <c r="F71" i="10"/>
  <c r="A161" i="10" l="1"/>
  <c r="F53" i="1"/>
  <c r="F79" i="10"/>
  <c r="F81" i="10"/>
  <c r="E83" i="10"/>
  <c r="E84" i="10" s="1"/>
  <c r="F80" i="10"/>
  <c r="F77" i="10"/>
  <c r="F78" i="10"/>
  <c r="F82" i="10"/>
  <c r="A173" i="10" l="1"/>
  <c r="G53" i="1"/>
  <c r="F88" i="10"/>
  <c r="E89" i="10"/>
  <c r="E90" i="10" s="1"/>
  <c r="F84" i="10"/>
  <c r="F87" i="10"/>
  <c r="F83" i="10"/>
  <c r="F86" i="10"/>
  <c r="F85" i="10"/>
  <c r="A185" i="10" l="1"/>
  <c r="H53" i="1"/>
  <c r="F92" i="10"/>
  <c r="F94" i="10"/>
  <c r="E95" i="10"/>
  <c r="E96" i="10" s="1"/>
  <c r="F93" i="10"/>
  <c r="F90" i="10"/>
  <c r="F89" i="10"/>
  <c r="F91" i="10"/>
  <c r="A197" i="10" l="1"/>
  <c r="D77" i="1"/>
  <c r="F97" i="10"/>
  <c r="F99" i="10"/>
  <c r="E101" i="10"/>
  <c r="E102" i="10" s="1"/>
  <c r="F98" i="10"/>
  <c r="F100" i="10"/>
  <c r="F96" i="10"/>
  <c r="F95" i="10"/>
  <c r="A209" i="10" l="1"/>
  <c r="E77" i="1"/>
  <c r="E107" i="10"/>
  <c r="E108" i="10" s="1"/>
  <c r="F101" i="10"/>
  <c r="F103" i="10"/>
  <c r="F105" i="10"/>
  <c r="F104" i="10"/>
  <c r="F106" i="10"/>
  <c r="F102" i="10"/>
  <c r="A221" i="10" l="1"/>
  <c r="F77" i="1"/>
  <c r="F112" i="10"/>
  <c r="E113" i="10"/>
  <c r="E114" i="10" s="1"/>
  <c r="F108" i="10"/>
  <c r="F109" i="10"/>
  <c r="F111" i="10"/>
  <c r="F107" i="10"/>
  <c r="F110" i="10"/>
  <c r="A233" i="10" l="1"/>
  <c r="G77" i="1"/>
  <c r="F116" i="10"/>
  <c r="F118" i="10"/>
  <c r="F115" i="10"/>
  <c r="F114" i="10"/>
  <c r="F113" i="10"/>
  <c r="E119" i="10"/>
  <c r="E120" i="10" s="1"/>
  <c r="F117" i="10"/>
  <c r="A245" i="10" l="1"/>
  <c r="H77" i="1"/>
  <c r="F121" i="10"/>
  <c r="F123" i="10"/>
  <c r="F124" i="10"/>
  <c r="E125" i="10"/>
  <c r="E126" i="10" s="1"/>
  <c r="F122" i="10"/>
  <c r="F119" i="10"/>
  <c r="F120" i="10"/>
  <c r="A257" i="10" l="1"/>
  <c r="D101" i="1"/>
  <c r="E131" i="10"/>
  <c r="E132" i="10" s="1"/>
  <c r="F125" i="10"/>
  <c r="F127" i="10"/>
  <c r="F130" i="10"/>
  <c r="F126" i="10"/>
  <c r="F129" i="10"/>
  <c r="F128" i="10"/>
  <c r="A269" i="10" l="1"/>
  <c r="E101" i="1"/>
  <c r="F136" i="10"/>
  <c r="E137" i="10"/>
  <c r="E138" i="10" s="1"/>
  <c r="F132" i="10"/>
  <c r="F133" i="10"/>
  <c r="F134" i="10"/>
  <c r="F135" i="10"/>
  <c r="F131" i="10"/>
  <c r="A281" i="10" l="1"/>
  <c r="F101" i="1"/>
  <c r="F140" i="10"/>
  <c r="F142" i="10"/>
  <c r="F137" i="10"/>
  <c r="F139" i="10"/>
  <c r="F141" i="10"/>
  <c r="E143" i="10"/>
  <c r="E144" i="10" s="1"/>
  <c r="F138" i="10"/>
  <c r="A293" i="10" l="1"/>
  <c r="H101" i="1" s="1"/>
  <c r="G101" i="1"/>
  <c r="F145" i="10"/>
  <c r="F147" i="10"/>
  <c r="F144" i="10"/>
  <c r="F148" i="10"/>
  <c r="F143" i="10"/>
  <c r="E149" i="10"/>
  <c r="E150" i="10" s="1"/>
  <c r="F146" i="10"/>
  <c r="E155" i="10" l="1"/>
  <c r="E156" i="10" s="1"/>
  <c r="F149" i="10"/>
  <c r="F151" i="10"/>
  <c r="F152" i="10"/>
  <c r="F150" i="10"/>
  <c r="F154" i="10"/>
  <c r="F153" i="10"/>
  <c r="F160" i="10" l="1"/>
  <c r="E161" i="10"/>
  <c r="E162" i="10" s="1"/>
  <c r="F156" i="10"/>
  <c r="F159" i="10"/>
  <c r="F158" i="10"/>
  <c r="F155" i="10"/>
  <c r="F157" i="10"/>
  <c r="F164" i="10" l="1"/>
  <c r="F166" i="10"/>
  <c r="E167" i="10"/>
  <c r="E168" i="10" s="1"/>
  <c r="F161" i="10"/>
  <c r="F165" i="10"/>
  <c r="F162" i="10"/>
  <c r="F163" i="10"/>
  <c r="F169" i="10" l="1"/>
  <c r="F171" i="10"/>
  <c r="E173" i="10"/>
  <c r="E174" i="10" s="1"/>
  <c r="F170" i="10"/>
  <c r="F168" i="10"/>
  <c r="F172" i="10"/>
  <c r="F167" i="10"/>
  <c r="E179" i="10" l="1"/>
  <c r="E180" i="10" s="1"/>
  <c r="F173" i="10"/>
  <c r="F175" i="10"/>
  <c r="F176" i="10"/>
  <c r="F177" i="10"/>
  <c r="F178" i="10"/>
  <c r="F174" i="10"/>
  <c r="F184" i="10" l="1"/>
  <c r="E185" i="10"/>
  <c r="E186" i="10" s="1"/>
  <c r="F180" i="10"/>
  <c r="F181" i="10"/>
  <c r="F183" i="10"/>
  <c r="F179" i="10"/>
  <c r="F182" i="10"/>
  <c r="F188" i="10" l="1"/>
  <c r="F190" i="10"/>
  <c r="F189" i="10"/>
  <c r="F187" i="10"/>
  <c r="F186" i="10"/>
  <c r="F185" i="10"/>
  <c r="E191" i="10"/>
  <c r="E192" i="10" s="1"/>
  <c r="F193" i="10" l="1"/>
  <c r="F195" i="10"/>
  <c r="F194" i="10"/>
  <c r="E197" i="10"/>
  <c r="E198" i="10" s="1"/>
  <c r="F191" i="10"/>
  <c r="F192" i="10"/>
  <c r="F196" i="10"/>
  <c r="E203" i="10" l="1"/>
  <c r="E204" i="10" s="1"/>
  <c r="F197" i="10"/>
  <c r="F199" i="10"/>
  <c r="F198" i="10"/>
  <c r="F202" i="10"/>
  <c r="F201" i="10"/>
  <c r="F200" i="10"/>
  <c r="F208" i="10" l="1"/>
  <c r="E209" i="10"/>
  <c r="E210" i="10" s="1"/>
  <c r="F204" i="10"/>
  <c r="F203" i="10"/>
  <c r="F207" i="10"/>
  <c r="F206" i="10"/>
  <c r="F205" i="10"/>
  <c r="F212" i="10" l="1"/>
  <c r="F214" i="10"/>
  <c r="F213" i="10"/>
  <c r="F210" i="10"/>
  <c r="F211" i="10"/>
  <c r="E215" i="10"/>
  <c r="E216" i="10" s="1"/>
  <c r="F209" i="10"/>
  <c r="F217" i="10" l="1"/>
  <c r="F219" i="10"/>
  <c r="F218" i="10"/>
  <c r="F216" i="10"/>
  <c r="E221" i="10"/>
  <c r="E222" i="10" s="1"/>
  <c r="F215" i="10"/>
  <c r="F220" i="10"/>
  <c r="E227" i="10" l="1"/>
  <c r="E228" i="10" s="1"/>
  <c r="F221" i="10"/>
  <c r="F223" i="10"/>
  <c r="F222" i="10"/>
  <c r="F226" i="10"/>
  <c r="F225" i="10"/>
  <c r="F224" i="10"/>
  <c r="F232" i="10" l="1"/>
  <c r="E233" i="10"/>
  <c r="E234" i="10" s="1"/>
  <c r="F228" i="10"/>
  <c r="F227" i="10"/>
  <c r="F230" i="10"/>
  <c r="F231" i="10"/>
  <c r="F229" i="10"/>
  <c r="F236" i="10" l="1"/>
  <c r="F238" i="10"/>
  <c r="F237" i="10"/>
  <c r="F235" i="10"/>
  <c r="F234" i="10"/>
  <c r="F233" i="10"/>
  <c r="E239" i="10"/>
  <c r="E240" i="10" s="1"/>
  <c r="F241" i="10" l="1"/>
  <c r="F243" i="10"/>
  <c r="F242" i="10"/>
  <c r="E245" i="10"/>
  <c r="E246" i="10" s="1"/>
  <c r="F240" i="10"/>
  <c r="F239" i="10"/>
  <c r="F244" i="10"/>
  <c r="E251" i="10" l="1"/>
  <c r="E252" i="10" s="1"/>
  <c r="F245" i="10"/>
  <c r="F247" i="10"/>
  <c r="F246" i="10"/>
  <c r="F250" i="10"/>
  <c r="F249" i="10"/>
  <c r="F248" i="10"/>
  <c r="F256" i="10" l="1"/>
  <c r="E257" i="10"/>
  <c r="E258" i="10" s="1"/>
  <c r="F252" i="10"/>
  <c r="F251" i="10"/>
  <c r="F255" i="10"/>
  <c r="F254" i="10"/>
  <c r="F253" i="10"/>
  <c r="F260" i="10" l="1"/>
  <c r="F262" i="10"/>
  <c r="F261" i="10"/>
  <c r="F258" i="10"/>
  <c r="F259" i="10"/>
  <c r="E263" i="10"/>
  <c r="E264" i="10" s="1"/>
  <c r="F257" i="10"/>
  <c r="F265" i="10" l="1"/>
  <c r="F267" i="10"/>
  <c r="F266" i="10"/>
  <c r="F264" i="10"/>
  <c r="E269" i="10"/>
  <c r="E270" i="10" s="1"/>
  <c r="F263" i="10"/>
  <c r="F268" i="10"/>
  <c r="E275" i="10" l="1"/>
  <c r="E276" i="10" s="1"/>
  <c r="F269" i="10"/>
  <c r="F271" i="10"/>
  <c r="F270" i="10"/>
  <c r="F274" i="10"/>
  <c r="F273" i="10"/>
  <c r="F272" i="10"/>
  <c r="F280" i="10" l="1"/>
  <c r="E281" i="10"/>
  <c r="E282" i="10" s="1"/>
  <c r="F276" i="10"/>
  <c r="F275" i="10"/>
  <c r="F279" i="10"/>
  <c r="F278" i="10"/>
  <c r="F277" i="10"/>
  <c r="F284" i="10" l="1"/>
  <c r="F286" i="10"/>
  <c r="F285" i="10"/>
  <c r="F283" i="10"/>
  <c r="F282" i="10"/>
  <c r="F281" i="10"/>
  <c r="E287" i="10"/>
  <c r="E288" i="10" s="1"/>
  <c r="F289" i="10" l="1"/>
  <c r="F291" i="10"/>
  <c r="F290" i="10"/>
  <c r="E293" i="10"/>
  <c r="E294" i="10" s="1"/>
  <c r="F288" i="10"/>
  <c r="F287" i="10"/>
  <c r="F292" i="10"/>
  <c r="E299" i="10" l="1"/>
  <c r="E300" i="10" s="1"/>
  <c r="F293" i="10"/>
  <c r="F295" i="10"/>
  <c r="F294" i="10"/>
  <c r="F298" i="10"/>
  <c r="F297" i="10"/>
  <c r="F296" i="10"/>
  <c r="F304" i="10" l="1"/>
  <c r="F300" i="10"/>
  <c r="F299" i="10"/>
  <c r="F303" i="10"/>
  <c r="F302" i="10"/>
  <c r="F301" i="10"/>
</calcChain>
</file>

<file path=xl/sharedStrings.xml><?xml version="1.0" encoding="utf-8"?>
<sst xmlns="http://schemas.openxmlformats.org/spreadsheetml/2006/main" count="215" uniqueCount="92">
  <si>
    <t>照射管理ラベルは端のC側に貼付してあります</t>
    <rPh sb="0" eb="2">
      <t>ショウシャ</t>
    </rPh>
    <rPh sb="2" eb="4">
      <t>カンリ</t>
    </rPh>
    <rPh sb="8" eb="9">
      <t>ハシ</t>
    </rPh>
    <rPh sb="11" eb="12">
      <t>カワ</t>
    </rPh>
    <rPh sb="13" eb="15">
      <t>チョウフ</t>
    </rPh>
    <phoneticPr fontId="1"/>
  </si>
  <si>
    <t>照射月日</t>
  </si>
  <si>
    <t>線量計番号</t>
  </si>
  <si>
    <t>厚さ</t>
  </si>
  <si>
    <t>ＡＢＳ</t>
  </si>
  <si>
    <t>測定線量</t>
  </si>
  <si>
    <t>線量計は各段（上下）端（A,C)と中央に添付</t>
    <rPh sb="0" eb="2">
      <t>センリョウ</t>
    </rPh>
    <rPh sb="2" eb="3">
      <t>ケイ</t>
    </rPh>
    <rPh sb="4" eb="6">
      <t>カクダン</t>
    </rPh>
    <rPh sb="7" eb="8">
      <t>ウエ</t>
    </rPh>
    <rPh sb="8" eb="9">
      <t>シタ</t>
    </rPh>
    <rPh sb="10" eb="11">
      <t>ハシ</t>
    </rPh>
    <rPh sb="17" eb="19">
      <t>チュウオウ</t>
    </rPh>
    <rPh sb="20" eb="22">
      <t>テンプ</t>
    </rPh>
    <phoneticPr fontId="1"/>
  </si>
  <si>
    <t>JMM　PE丸棒線量記録方法</t>
    <rPh sb="6" eb="8">
      <t>マルボウ</t>
    </rPh>
    <rPh sb="8" eb="10">
      <t>センリョウ</t>
    </rPh>
    <rPh sb="10" eb="12">
      <t>キロク</t>
    </rPh>
    <rPh sb="12" eb="14">
      <t>ホウホウ</t>
    </rPh>
    <phoneticPr fontId="1"/>
  </si>
  <si>
    <t>用紙の準備</t>
    <rPh sb="0" eb="2">
      <t>ヨウシ</t>
    </rPh>
    <rPh sb="3" eb="5">
      <t>ジュンビ</t>
    </rPh>
    <phoneticPr fontId="1"/>
  </si>
  <si>
    <t>ｼｰﾄ「測定値」の受付番号（10桁）、受付本数、指定線量、測定器、線量計種類、計算式ｺｰﾄﾞ、下限、上限を入力</t>
    <rPh sb="4" eb="6">
      <t>ソクテイ</t>
    </rPh>
    <rPh sb="6" eb="7">
      <t>チ</t>
    </rPh>
    <rPh sb="9" eb="11">
      <t>ウケツケ</t>
    </rPh>
    <rPh sb="11" eb="13">
      <t>バンゴウ</t>
    </rPh>
    <rPh sb="16" eb="17">
      <t>ケタ</t>
    </rPh>
    <rPh sb="19" eb="21">
      <t>ウケツケ</t>
    </rPh>
    <rPh sb="21" eb="23">
      <t>ホンスウ</t>
    </rPh>
    <rPh sb="24" eb="26">
      <t>シテイ</t>
    </rPh>
    <rPh sb="26" eb="28">
      <t>センリョウ</t>
    </rPh>
    <rPh sb="29" eb="31">
      <t>ソクテイ</t>
    </rPh>
    <rPh sb="31" eb="32">
      <t>キ</t>
    </rPh>
    <rPh sb="33" eb="36">
      <t>センリョウケイ</t>
    </rPh>
    <rPh sb="36" eb="38">
      <t>シュルイ</t>
    </rPh>
    <rPh sb="39" eb="41">
      <t>ケイサン</t>
    </rPh>
    <rPh sb="41" eb="42">
      <t>シキ</t>
    </rPh>
    <rPh sb="47" eb="49">
      <t>カゲン</t>
    </rPh>
    <rPh sb="50" eb="52">
      <t>ジョウゲン</t>
    </rPh>
    <rPh sb="53" eb="55">
      <t>ニュウリョク</t>
    </rPh>
    <phoneticPr fontId="1"/>
  </si>
  <si>
    <t>印刷範囲をｱｸﾃｨﾌﾞにする。</t>
    <rPh sb="0" eb="2">
      <t>インサツ</t>
    </rPh>
    <rPh sb="2" eb="4">
      <t>ハンイ</t>
    </rPh>
    <phoneticPr fontId="1"/>
  </si>
  <si>
    <t>「ﾌｧｲﾙ」→「印刷範囲(T)」→「印刷範囲の設定(S)」</t>
    <rPh sb="8" eb="10">
      <t>インサツ</t>
    </rPh>
    <rPh sb="10" eb="12">
      <t>ハンイ</t>
    </rPh>
    <rPh sb="18" eb="20">
      <t>インサツ</t>
    </rPh>
    <rPh sb="20" eb="22">
      <t>ハンイ</t>
    </rPh>
    <rPh sb="23" eb="25">
      <t>セッテイ</t>
    </rPh>
    <phoneticPr fontId="1"/>
  </si>
  <si>
    <t>「ﾌｧｲﾙ」→「印刷(P)」→ﾌﾟﾘﾝﾀ名前(M)で「FUJITSU XL-5350」を選択→OKｸﾘｯｸ</t>
    <rPh sb="8" eb="10">
      <t>インサツ</t>
    </rPh>
    <rPh sb="20" eb="22">
      <t>ナマエ</t>
    </rPh>
    <rPh sb="44" eb="46">
      <t>センタク</t>
    </rPh>
    <phoneticPr fontId="1"/>
  </si>
  <si>
    <t>（記録用紙が印刷される）</t>
    <rPh sb="1" eb="3">
      <t>キロク</t>
    </rPh>
    <rPh sb="3" eb="5">
      <t>ヨウシ</t>
    </rPh>
    <rPh sb="6" eb="8">
      <t>インサツ</t>
    </rPh>
    <phoneticPr fontId="1"/>
  </si>
  <si>
    <t>測定線量の入力</t>
    <rPh sb="0" eb="2">
      <t>ソクテイ</t>
    </rPh>
    <rPh sb="2" eb="4">
      <t>センリョウ</t>
    </rPh>
    <rPh sb="5" eb="7">
      <t>ニュウリョク</t>
    </rPh>
    <phoneticPr fontId="1"/>
  </si>
  <si>
    <t>照射日（例 11/15）、照射時間、測定温度を入力後、厚さ、ABSを入力すると線量が計算される。</t>
    <rPh sb="0" eb="2">
      <t>ショウシャ</t>
    </rPh>
    <rPh sb="2" eb="3">
      <t>ビ</t>
    </rPh>
    <rPh sb="4" eb="5">
      <t>レイ</t>
    </rPh>
    <rPh sb="13" eb="15">
      <t>ショウシャ</t>
    </rPh>
    <rPh sb="15" eb="17">
      <t>ジカン</t>
    </rPh>
    <rPh sb="18" eb="20">
      <t>ソクテイ</t>
    </rPh>
    <rPh sb="20" eb="22">
      <t>オンド</t>
    </rPh>
    <rPh sb="23" eb="26">
      <t>ニュウリョクゴ</t>
    </rPh>
    <rPh sb="27" eb="28">
      <t>アツ</t>
    </rPh>
    <rPh sb="34" eb="36">
      <t>ニュウリョク</t>
    </rPh>
    <rPh sb="39" eb="41">
      <t>センリョウ</t>
    </rPh>
    <rPh sb="42" eb="44">
      <t>ケイサン</t>
    </rPh>
    <phoneticPr fontId="1"/>
  </si>
  <si>
    <t>（黄色地部分は入力可）</t>
    <rPh sb="1" eb="3">
      <t>キイロ</t>
    </rPh>
    <rPh sb="3" eb="4">
      <t>ジ</t>
    </rPh>
    <rPh sb="4" eb="6">
      <t>ブブン</t>
    </rPh>
    <rPh sb="7" eb="9">
      <t>ニュウリョク</t>
    </rPh>
    <rPh sb="9" eb="10">
      <t>カ</t>
    </rPh>
    <phoneticPr fontId="1"/>
  </si>
  <si>
    <t>厚さとABSはⅠで印字した用紙に手書きしておく。</t>
    <rPh sb="0" eb="1">
      <t>アツ</t>
    </rPh>
    <rPh sb="9" eb="11">
      <t>インジ</t>
    </rPh>
    <rPh sb="13" eb="15">
      <t>ヨウシ</t>
    </rPh>
    <rPh sb="16" eb="18">
      <t>テガ</t>
    </rPh>
    <phoneticPr fontId="1"/>
  </si>
  <si>
    <t>報告書発行</t>
    <rPh sb="0" eb="2">
      <t>ホウコク</t>
    </rPh>
    <rPh sb="2" eb="3">
      <t>ショ</t>
    </rPh>
    <rPh sb="3" eb="5">
      <t>ハッコウ</t>
    </rPh>
    <phoneticPr fontId="1"/>
  </si>
  <si>
    <t>ｼｰﾄ「報告書」選択</t>
    <rPh sb="4" eb="6">
      <t>ホウコク</t>
    </rPh>
    <rPh sb="6" eb="7">
      <t>ショ</t>
    </rPh>
    <rPh sb="8" eb="10">
      <t>センタク</t>
    </rPh>
    <phoneticPr fontId="1"/>
  </si>
  <si>
    <t>印刷範囲を設定</t>
    <rPh sb="0" eb="2">
      <t>インサツ</t>
    </rPh>
    <rPh sb="2" eb="4">
      <t>ハンイ</t>
    </rPh>
    <rPh sb="5" eb="7">
      <t>セッテイ</t>
    </rPh>
    <phoneticPr fontId="1"/>
  </si>
  <si>
    <t>不要な範囲は斜線を入れる</t>
    <rPh sb="0" eb="2">
      <t>フヨウ</t>
    </rPh>
    <rPh sb="3" eb="5">
      <t>ハンイ</t>
    </rPh>
    <rPh sb="6" eb="8">
      <t>シャセン</t>
    </rPh>
    <rPh sb="9" eb="10">
      <t>イ</t>
    </rPh>
    <phoneticPr fontId="1"/>
  </si>
  <si>
    <t>ﾌﾟﾘﾝﾀｰ名「FUJITSU XL-5350」を選択→OKｸﾘｯｸし印字する。</t>
    <rPh sb="6" eb="7">
      <t>メイ</t>
    </rPh>
    <rPh sb="35" eb="37">
      <t>インジ</t>
    </rPh>
    <phoneticPr fontId="1"/>
  </si>
  <si>
    <t>シート「測定値」の保護解除きーは「ijiruna」です。</t>
    <rPh sb="4" eb="7">
      <t>ソクテイチ</t>
    </rPh>
    <rPh sb="9" eb="11">
      <t>ホゴ</t>
    </rPh>
    <rPh sb="11" eb="13">
      <t>カイジョ</t>
    </rPh>
    <phoneticPr fontId="1"/>
  </si>
  <si>
    <t>Ｅｎｔｅｒｷｰ入力後、ｶｰｿﾙを下に設定するにはシート「測定値」の「ｶｰｿﾙ下に移動」をｸﾘｯｸする。</t>
    <rPh sb="7" eb="10">
      <t>ニュウリョクゴ</t>
    </rPh>
    <rPh sb="16" eb="17">
      <t>シタ</t>
    </rPh>
    <rPh sb="18" eb="20">
      <t>セッテイ</t>
    </rPh>
    <rPh sb="28" eb="31">
      <t>ソクテイチ</t>
    </rPh>
    <rPh sb="38" eb="39">
      <t>シタ</t>
    </rPh>
    <rPh sb="40" eb="42">
      <t>イドウ</t>
    </rPh>
    <phoneticPr fontId="1"/>
  </si>
  <si>
    <t>記録用紙の登録とﾃﾞｰﾀの保存</t>
    <rPh sb="0" eb="2">
      <t>キロク</t>
    </rPh>
    <rPh sb="2" eb="4">
      <t>ヨウシ</t>
    </rPh>
    <rPh sb="5" eb="7">
      <t>トウロク</t>
    </rPh>
    <rPh sb="13" eb="15">
      <t>ホゾン</t>
    </rPh>
    <phoneticPr fontId="1"/>
  </si>
  <si>
    <t>Ⅰ</t>
    <phoneticPr fontId="1"/>
  </si>
  <si>
    <t>Ⅱ</t>
    <phoneticPr fontId="1"/>
  </si>
  <si>
    <t>「C:\Documents and Settings\Administrator\デスクトップ\JMM線量入力用\」のﾌｫﾙﾀﾞｰに</t>
    <phoneticPr fontId="1"/>
  </si>
  <si>
    <t>Ⅲ</t>
    <phoneticPr fontId="1"/>
  </si>
  <si>
    <t>Ⅳ</t>
    <phoneticPr fontId="1"/>
  </si>
  <si>
    <t>Ⅴ</t>
    <phoneticPr fontId="1"/>
  </si>
  <si>
    <t>Ⅵ</t>
    <phoneticPr fontId="1"/>
  </si>
  <si>
    <t>「受付番号JMM90．Ｘｌｓ」のﾌｧｲﾙ名で保存されます。</t>
    <rPh sb="1" eb="3">
      <t>ウケツケ</t>
    </rPh>
    <rPh sb="3" eb="5">
      <t>バンゴウ</t>
    </rPh>
    <rPh sb="20" eb="21">
      <t>メイ</t>
    </rPh>
    <rPh sb="22" eb="24">
      <t>ホゾン</t>
    </rPh>
    <phoneticPr fontId="1"/>
  </si>
  <si>
    <t>ｼｰﾄ「測定値」の「保存」をクリックする。（メッセージに従って操作してください。）</t>
    <rPh sb="4" eb="6">
      <t>ソクテイ</t>
    </rPh>
    <rPh sb="6" eb="7">
      <t>チ</t>
    </rPh>
    <rPh sb="10" eb="12">
      <t>ホゾン</t>
    </rPh>
    <rPh sb="28" eb="29">
      <t>シタガ</t>
    </rPh>
    <rPh sb="31" eb="33">
      <t>ソウサ</t>
    </rPh>
    <phoneticPr fontId="1"/>
  </si>
  <si>
    <t>画面の「JMM線量入力用」フォルダーを開き,Ⅱの１で保存したﾌｧｲﾙを開く（受付番号が頭についている）</t>
    <rPh sb="0" eb="2">
      <t>ガメン</t>
    </rPh>
    <rPh sb="7" eb="9">
      <t>センリョウ</t>
    </rPh>
    <rPh sb="9" eb="12">
      <t>ニュウリョクヨウ</t>
    </rPh>
    <rPh sb="19" eb="20">
      <t>ヒラ</t>
    </rPh>
    <rPh sb="26" eb="28">
      <t>ホゾン</t>
    </rPh>
    <rPh sb="35" eb="36">
      <t>ヒラ</t>
    </rPh>
    <rPh sb="38" eb="40">
      <t>ウケツケ</t>
    </rPh>
    <rPh sb="40" eb="42">
      <t>バンゴウ</t>
    </rPh>
    <rPh sb="43" eb="44">
      <t>アタマ</t>
    </rPh>
    <phoneticPr fontId="1"/>
  </si>
  <si>
    <t>入力終了後「保存」をｸﾘｯｸする。（メッセージに従って操作してください。）</t>
    <rPh sb="0" eb="2">
      <t>ニュウリョク</t>
    </rPh>
    <rPh sb="2" eb="5">
      <t>シュウリョウゴ</t>
    </rPh>
    <phoneticPr fontId="1"/>
  </si>
  <si>
    <t>D:\JMM線量\</t>
  </si>
  <si>
    <t>測定器</t>
  </si>
  <si>
    <t>ﾊﾞｯﾁ</t>
  </si>
  <si>
    <t>RIC-No</t>
  </si>
  <si>
    <t>0725</t>
  </si>
  <si>
    <t>１号機線量測定記録(９０φPE丸棒）</t>
  </si>
  <si>
    <t>記録先ﾌｫﾙﾀﾞｰ</t>
  </si>
  <si>
    <t>受付番号</t>
  </si>
  <si>
    <t>受付本数</t>
  </si>
  <si>
    <t>指定線量</t>
  </si>
  <si>
    <t>線量計種類</t>
  </si>
  <si>
    <t>計算式ｺｰﾄﾞ</t>
  </si>
  <si>
    <t>下限</t>
  </si>
  <si>
    <t>上限</t>
  </si>
  <si>
    <t>前回記録</t>
  </si>
  <si>
    <t>小数点以下</t>
  </si>
  <si>
    <t>年度</t>
  </si>
  <si>
    <t>照射時間</t>
  </si>
  <si>
    <t>測定温度</t>
  </si>
  <si>
    <t>備考</t>
  </si>
  <si>
    <t>会社コード</t>
  </si>
  <si>
    <t>計算式ｺｰﾄ</t>
  </si>
  <si>
    <t>SikiPara</t>
  </si>
  <si>
    <t>D(1次)</t>
  </si>
  <si>
    <t>C(2次)</t>
  </si>
  <si>
    <t>B(3次)</t>
  </si>
  <si>
    <t>A(4次)</t>
  </si>
  <si>
    <t>Temp</t>
  </si>
  <si>
    <t>有効計算式コード</t>
  </si>
  <si>
    <t>E(0次)</t>
  </si>
  <si>
    <t>有効･無効</t>
  </si>
  <si>
    <t>式１</t>
  </si>
  <si>
    <t>式２</t>
  </si>
  <si>
    <t>式３</t>
  </si>
  <si>
    <t>温度補正式</t>
  </si>
  <si>
    <t>誤差修正式</t>
  </si>
  <si>
    <t>表１</t>
  </si>
  <si>
    <t>京セラメディカル様 ９０φＰＥ丸棒線量測定結果</t>
  </si>
  <si>
    <t xml:space="preserve">受付番号 </t>
  </si>
  <si>
    <t>バッチ</t>
  </si>
  <si>
    <t>照射日</t>
  </si>
  <si>
    <t>下段線量</t>
  </si>
  <si>
    <t>A-0</t>
  </si>
  <si>
    <t>A-1</t>
  </si>
  <si>
    <t>B-0</t>
  </si>
  <si>
    <t>B-1</t>
  </si>
  <si>
    <t>C-0</t>
  </si>
  <si>
    <t>(ｋGy)</t>
  </si>
  <si>
    <t>C-1</t>
  </si>
  <si>
    <t>最小値</t>
  </si>
  <si>
    <t>最大値</t>
  </si>
  <si>
    <t>上段線量</t>
  </si>
  <si>
    <t>単位：ｋGy</t>
    <phoneticPr fontId="1"/>
  </si>
  <si>
    <t>計算式ｺｰﾄﾞ</t>
    <phoneticPr fontId="1"/>
  </si>
  <si>
    <t>上段</t>
    <rPh sb="0" eb="2">
      <t>ジョウダン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</si>
</sst>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 "/>
    <numFmt numFmtId="177" formatCode="0.00_ "/>
    <numFmt numFmtId="178" formatCode="0.0_);[Red]\(0.0\)"/>
    <numFmt numFmtId="179" formatCode="m&quot;月&quot;d&quot;日&quot;;@"/>
    <numFmt numFmtId="180" formatCode="0.000_);[Red]\(0.000\)"/>
    <numFmt numFmtId="181" formatCode="0.00_);[Red]\(0.00\)"/>
    <numFmt numFmtId="182" formatCode="0&quot;kGy&quot;"/>
    <numFmt numFmtId="183" formatCode="0.000_ "/>
    <numFmt numFmtId="184" formatCode="000000\-0000"/>
    <numFmt numFmtId="185" formatCode="m/d\ hh:mm:ss"/>
    <numFmt numFmtId="186" formatCode="0\ &quot;桁&quot;&quot;ま&quot;&quot;で&quot;&quot;表&quot;&quot;示&quot;"/>
    <numFmt numFmtId="187" formatCode="0.0#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62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56" fontId="0" fillId="0" borderId="1" xfId="0" applyNumberFormat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80" fontId="0" fillId="0" borderId="0" xfId="0" applyNumberFormat="1" applyAlignment="1">
      <alignment horizontal="center"/>
    </xf>
    <xf numFmtId="178" fontId="0" fillId="0" borderId="2" xfId="0" applyNumberFormat="1" applyBorder="1" applyAlignment="1">
      <alignment horizontal="center"/>
    </xf>
    <xf numFmtId="178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78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81" fontId="0" fillId="0" borderId="1" xfId="0" applyNumberForma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>
      <alignment horizontal="center"/>
    </xf>
    <xf numFmtId="0" fontId="5" fillId="0" borderId="0" xfId="0" applyFont="1" applyAlignme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80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 shrinkToFit="1"/>
    </xf>
    <xf numFmtId="0" fontId="0" fillId="0" borderId="5" xfId="0" applyFill="1" applyBorder="1" applyAlignment="1" applyProtection="1">
      <alignment vertical="center"/>
    </xf>
    <xf numFmtId="0" fontId="0" fillId="0" borderId="6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177" fontId="0" fillId="2" borderId="1" xfId="0" applyNumberFormat="1" applyFill="1" applyBorder="1" applyAlignment="1" applyProtection="1">
      <alignment horizontal="center"/>
      <protection locked="0"/>
    </xf>
    <xf numFmtId="180" fontId="0" fillId="2" borderId="1" xfId="0" applyNumberFormat="1" applyFill="1" applyBorder="1" applyAlignment="1" applyProtection="1">
      <alignment horizontal="center"/>
      <protection locked="0"/>
    </xf>
    <xf numFmtId="0" fontId="0" fillId="0" borderId="7" xfId="0" applyNumberFormat="1" applyFill="1" applyBorder="1" applyAlignment="1" applyProtection="1">
      <alignment horizontal="center" vertical="center"/>
    </xf>
    <xf numFmtId="179" fontId="0" fillId="0" borderId="5" xfId="0" applyNumberFormat="1" applyFill="1" applyBorder="1" applyAlignment="1" applyProtection="1">
      <alignment vertical="top"/>
    </xf>
    <xf numFmtId="181" fontId="0" fillId="0" borderId="5" xfId="0" applyNumberFormat="1" applyFill="1" applyBorder="1" applyAlignment="1" applyProtection="1">
      <alignment vertical="top"/>
    </xf>
    <xf numFmtId="0" fontId="0" fillId="0" borderId="5" xfId="0" applyFill="1" applyBorder="1" applyAlignment="1" applyProtection="1">
      <alignment horizontal="center" vertical="top"/>
    </xf>
    <xf numFmtId="0" fontId="0" fillId="0" borderId="5" xfId="0" applyNumberFormat="1" applyFill="1" applyBorder="1" applyAlignment="1" applyProtection="1">
      <alignment horizontal="center" vertical="center"/>
    </xf>
    <xf numFmtId="0" fontId="0" fillId="0" borderId="7" xfId="0" applyNumberFormat="1" applyBorder="1" applyAlignment="1" applyProtection="1">
      <alignment horizontal="center" vertical="center"/>
    </xf>
    <xf numFmtId="0" fontId="0" fillId="0" borderId="5" xfId="0" applyNumberFormat="1" applyBorder="1" applyAlignment="1" applyProtection="1">
      <alignment horizontal="center" vertical="center"/>
    </xf>
    <xf numFmtId="179" fontId="0" fillId="0" borderId="6" xfId="0" applyNumberFormat="1" applyFill="1" applyBorder="1" applyAlignment="1" applyProtection="1">
      <alignment vertical="top"/>
    </xf>
    <xf numFmtId="181" fontId="0" fillId="0" borderId="6" xfId="0" applyNumberFormat="1" applyFill="1" applyBorder="1" applyAlignment="1" applyProtection="1">
      <alignment vertical="top"/>
    </xf>
    <xf numFmtId="0" fontId="0" fillId="0" borderId="6" xfId="0" applyFill="1" applyBorder="1" applyAlignment="1" applyProtection="1">
      <alignment horizontal="center" vertical="top"/>
    </xf>
    <xf numFmtId="0" fontId="0" fillId="0" borderId="6" xfId="0" applyNumberFormat="1" applyBorder="1" applyAlignment="1" applyProtection="1">
      <alignment horizontal="center" vertical="center"/>
    </xf>
    <xf numFmtId="0" fontId="0" fillId="0" borderId="0" xfId="0" applyAlignment="1" applyProtection="1">
      <alignment vertical="top"/>
      <protection locked="0"/>
    </xf>
    <xf numFmtId="0" fontId="4" fillId="2" borderId="1" xfId="0" applyNumberFormat="1" applyFont="1" applyFill="1" applyBorder="1" applyAlignment="1" applyProtection="1">
      <alignment horizontal="center"/>
      <protection locked="0"/>
    </xf>
    <xf numFmtId="183" fontId="0" fillId="0" borderId="0" xfId="0" applyNumberFormat="1" applyProtection="1"/>
    <xf numFmtId="180" fontId="4" fillId="0" borderId="1" xfId="0" applyNumberFormat="1" applyFont="1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179" fontId="0" fillId="2" borderId="7" xfId="0" applyNumberFormat="1" applyFill="1" applyBorder="1" applyAlignment="1" applyProtection="1">
      <protection locked="0"/>
    </xf>
    <xf numFmtId="181" fontId="0" fillId="2" borderId="7" xfId="0" applyNumberFormat="1" applyFill="1" applyBorder="1" applyAlignment="1" applyProtection="1"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180" fontId="4" fillId="0" borderId="8" xfId="0" applyNumberFormat="1" applyFont="1" applyFill="1" applyBorder="1" applyAlignment="1" applyProtection="1"/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0" xfId="0" applyFill="1"/>
    <xf numFmtId="0" fontId="0" fillId="0" borderId="0" xfId="0" applyBorder="1" applyProtection="1"/>
    <xf numFmtId="0" fontId="3" fillId="0" borderId="1" xfId="0" applyFont="1" applyBorder="1" applyAlignment="1">
      <alignment horizontal="center" shrinkToFit="1"/>
    </xf>
    <xf numFmtId="22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185" fontId="0" fillId="0" borderId="1" xfId="0" applyNumberFormat="1" applyFill="1" applyBorder="1" applyAlignment="1" applyProtection="1">
      <alignment horizontal="center" vertical="center" shrinkToFit="1"/>
    </xf>
    <xf numFmtId="186" fontId="0" fillId="0" borderId="1" xfId="0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 wrapText="1" shrinkToFit="1"/>
    </xf>
    <xf numFmtId="185" fontId="0" fillId="0" borderId="0" xfId="0" applyNumberFormat="1" applyFill="1" applyBorder="1" applyAlignment="1" applyProtection="1">
      <alignment horizontal="center" vertical="center" shrinkToFit="1"/>
    </xf>
    <xf numFmtId="22" fontId="0" fillId="0" borderId="0" xfId="0" applyNumberForma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0" fillId="4" borderId="1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182" fontId="4" fillId="0" borderId="1" xfId="0" applyNumberFormat="1" applyFont="1" applyFill="1" applyBorder="1" applyAlignment="1" applyProtection="1">
      <alignment horizontal="center"/>
    </xf>
    <xf numFmtId="176" fontId="4" fillId="0" borderId="1" xfId="0" applyNumberFormat="1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wrapText="1"/>
    </xf>
    <xf numFmtId="180" fontId="4" fillId="0" borderId="1" xfId="0" applyNumberFormat="1" applyFont="1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5" borderId="1" xfId="0" applyFill="1" applyBorder="1" applyAlignment="1">
      <alignment horizontal="center" shrinkToFit="1"/>
    </xf>
    <xf numFmtId="22" fontId="0" fillId="0" borderId="1" xfId="0" applyNumberFormat="1" applyBorder="1" applyAlignment="1">
      <alignment horizontal="center"/>
    </xf>
    <xf numFmtId="0" fontId="7" fillId="0" borderId="0" xfId="0" applyFont="1"/>
    <xf numFmtId="0" fontId="8" fillId="0" borderId="0" xfId="0" applyFont="1"/>
    <xf numFmtId="49" fontId="0" fillId="0" borderId="0" xfId="0" applyNumberFormat="1"/>
    <xf numFmtId="0" fontId="0" fillId="0" borderId="1" xfId="0" applyNumberFormat="1" applyBorder="1" applyAlignment="1" applyProtection="1">
      <alignment horizontal="center" shrinkToFit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183" fontId="0" fillId="0" borderId="0" xfId="0" applyNumberFormat="1" applyBorder="1" applyProtection="1"/>
    <xf numFmtId="187" fontId="0" fillId="0" borderId="1" xfId="0" applyNumberFormat="1" applyBorder="1" applyAlignment="1" applyProtection="1">
      <alignment horizontal="right" indent="1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  <protection locked="0"/>
    </xf>
    <xf numFmtId="180" fontId="0" fillId="2" borderId="5" xfId="0" applyNumberFormat="1" applyFill="1" applyBorder="1" applyAlignment="1" applyProtection="1">
      <alignment horizontal="center"/>
      <protection locked="0"/>
    </xf>
    <xf numFmtId="180" fontId="4" fillId="0" borderId="1" xfId="0" applyNumberFormat="1" applyFont="1" applyBorder="1" applyAlignment="1" applyProtection="1">
      <alignment horizontal="center"/>
    </xf>
    <xf numFmtId="184" fontId="4" fillId="0" borderId="9" xfId="0" applyNumberFormat="1" applyFont="1" applyFill="1" applyBorder="1" applyAlignment="1" applyProtection="1">
      <alignment horizontal="center"/>
    </xf>
    <xf numFmtId="184" fontId="4" fillId="0" borderId="10" xfId="0" applyNumberFormat="1" applyFont="1" applyFill="1" applyBorder="1" applyAlignment="1" applyProtection="1">
      <alignment horizontal="center"/>
    </xf>
    <xf numFmtId="0" fontId="0" fillId="0" borderId="7" xfId="0" applyBorder="1" applyAlignment="1">
      <alignment horizontal="center" vertical="center" textRotation="255"/>
    </xf>
    <xf numFmtId="0" fontId="0" fillId="0" borderId="5" xfId="0" applyBorder="1" applyAlignment="1">
      <alignment horizontal="center" vertical="center" textRotation="255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84" fontId="3" fillId="0" borderId="9" xfId="0" applyNumberFormat="1" applyFont="1" applyBorder="1" applyAlignment="1">
      <alignment horizontal="center"/>
    </xf>
    <xf numFmtId="184" fontId="3" fillId="0" borderId="10" xfId="0" applyNumberFormat="1" applyFont="1" applyBorder="1" applyAlignment="1">
      <alignment horizontal="center"/>
    </xf>
  </cellXfs>
  <cellStyles count="1">
    <cellStyle name="標準" xfId="0" builtinId="0"/>
  </cellStyles>
  <dxfs count="5">
    <dxf>
      <font>
        <strike val="0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D30"/>
  <sheetViews>
    <sheetView workbookViewId="0">
      <selection activeCell="A12" sqref="A12"/>
    </sheetView>
  </sheetViews>
  <sheetFormatPr defaultRowHeight="13.5" x14ac:dyDescent="0.15"/>
  <cols>
    <col min="2" max="2" width="3" customWidth="1"/>
    <col min="3" max="3" width="3.125" customWidth="1"/>
    <col min="4" max="4" width="4.25" customWidth="1"/>
  </cols>
  <sheetData>
    <row r="1" spans="2:4" x14ac:dyDescent="0.15">
      <c r="C1" t="s">
        <v>7</v>
      </c>
    </row>
    <row r="3" spans="2:4" x14ac:dyDescent="0.15">
      <c r="B3" t="s">
        <v>26</v>
      </c>
      <c r="C3" t="s">
        <v>8</v>
      </c>
    </row>
    <row r="4" spans="2:4" x14ac:dyDescent="0.15">
      <c r="C4" s="3">
        <v>1</v>
      </c>
      <c r="D4" t="s">
        <v>9</v>
      </c>
    </row>
    <row r="5" spans="2:4" x14ac:dyDescent="0.15">
      <c r="C5" s="3">
        <v>2</v>
      </c>
      <c r="D5" t="s">
        <v>10</v>
      </c>
    </row>
    <row r="6" spans="2:4" x14ac:dyDescent="0.15">
      <c r="C6" s="3">
        <v>3</v>
      </c>
      <c r="D6" t="s">
        <v>11</v>
      </c>
    </row>
    <row r="7" spans="2:4" x14ac:dyDescent="0.15">
      <c r="C7" s="3">
        <v>4</v>
      </c>
      <c r="D7" t="s">
        <v>12</v>
      </c>
    </row>
    <row r="8" spans="2:4" x14ac:dyDescent="0.15">
      <c r="C8" s="3"/>
      <c r="D8" t="s">
        <v>13</v>
      </c>
    </row>
    <row r="9" spans="2:4" x14ac:dyDescent="0.15">
      <c r="C9" s="3"/>
    </row>
    <row r="10" spans="2:4" x14ac:dyDescent="0.15">
      <c r="B10" t="s">
        <v>27</v>
      </c>
      <c r="C10" t="s">
        <v>25</v>
      </c>
    </row>
    <row r="11" spans="2:4" x14ac:dyDescent="0.15">
      <c r="C11" s="3">
        <v>1</v>
      </c>
      <c r="D11" t="s">
        <v>34</v>
      </c>
    </row>
    <row r="12" spans="2:4" x14ac:dyDescent="0.15">
      <c r="D12" s="16" t="s">
        <v>28</v>
      </c>
    </row>
    <row r="13" spans="2:4" x14ac:dyDescent="0.15">
      <c r="D13" s="16" t="s">
        <v>33</v>
      </c>
    </row>
    <row r="14" spans="2:4" x14ac:dyDescent="0.15">
      <c r="D14" s="16"/>
    </row>
    <row r="15" spans="2:4" x14ac:dyDescent="0.15">
      <c r="B15" t="s">
        <v>29</v>
      </c>
      <c r="C15" t="s">
        <v>14</v>
      </c>
    </row>
    <row r="16" spans="2:4" x14ac:dyDescent="0.15">
      <c r="C16" s="3">
        <v>1</v>
      </c>
      <c r="D16" t="s">
        <v>35</v>
      </c>
    </row>
    <row r="17" spans="2:4" x14ac:dyDescent="0.15">
      <c r="C17" s="3">
        <v>2</v>
      </c>
      <c r="D17" t="s">
        <v>15</v>
      </c>
    </row>
    <row r="18" spans="2:4" x14ac:dyDescent="0.15">
      <c r="C18" s="3"/>
      <c r="D18" t="s">
        <v>16</v>
      </c>
    </row>
    <row r="19" spans="2:4" x14ac:dyDescent="0.15">
      <c r="C19" s="3">
        <v>3</v>
      </c>
      <c r="D19" t="s">
        <v>17</v>
      </c>
    </row>
    <row r="20" spans="2:4" x14ac:dyDescent="0.15">
      <c r="C20" s="3">
        <v>4</v>
      </c>
      <c r="D20" t="s">
        <v>36</v>
      </c>
    </row>
    <row r="21" spans="2:4" x14ac:dyDescent="0.15">
      <c r="C21" s="3"/>
    </row>
    <row r="22" spans="2:4" x14ac:dyDescent="0.15">
      <c r="B22" t="s">
        <v>30</v>
      </c>
      <c r="C22" t="s">
        <v>18</v>
      </c>
    </row>
    <row r="23" spans="2:4" x14ac:dyDescent="0.15">
      <c r="C23" s="3">
        <v>1</v>
      </c>
      <c r="D23" t="s">
        <v>19</v>
      </c>
    </row>
    <row r="24" spans="2:4" x14ac:dyDescent="0.15">
      <c r="C24" s="3">
        <v>2</v>
      </c>
      <c r="D24" t="s">
        <v>20</v>
      </c>
    </row>
    <row r="25" spans="2:4" x14ac:dyDescent="0.15">
      <c r="C25" s="3">
        <v>3</v>
      </c>
      <c r="D25" t="s">
        <v>21</v>
      </c>
    </row>
    <row r="26" spans="2:4" x14ac:dyDescent="0.15">
      <c r="C26" s="3">
        <v>4</v>
      </c>
      <c r="D26" t="s">
        <v>22</v>
      </c>
    </row>
    <row r="28" spans="2:4" x14ac:dyDescent="0.15">
      <c r="B28" t="s">
        <v>31</v>
      </c>
      <c r="C28" t="s">
        <v>24</v>
      </c>
    </row>
    <row r="30" spans="2:4" x14ac:dyDescent="0.15">
      <c r="B30" t="s">
        <v>32</v>
      </c>
      <c r="C30" t="s">
        <v>23</v>
      </c>
    </row>
  </sheetData>
  <phoneticPr fontId="1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305"/>
  <sheetViews>
    <sheetView showZeros="0" tabSelected="1" workbookViewId="0">
      <pane xSplit="11" ySplit="4" topLeftCell="L5" activePane="bottomRight" state="frozen"/>
      <selection pane="topRight" activeCell="L1" sqref="L1"/>
      <selection pane="bottomLeft" activeCell="A5" sqref="A5"/>
      <selection pane="bottomRight" activeCell="F3" sqref="F3"/>
    </sheetView>
  </sheetViews>
  <sheetFormatPr defaultRowHeight="13.5" x14ac:dyDescent="0.15"/>
  <cols>
    <col min="1" max="1" width="6.125" customWidth="1"/>
    <col min="2" max="2" width="9.25" bestFit="1" customWidth="1"/>
    <col min="12" max="13" width="0.875" customWidth="1"/>
    <col min="14" max="14" width="12.375" customWidth="1"/>
    <col min="15" max="15" width="13.875" customWidth="1"/>
    <col min="16" max="17" width="1.5" customWidth="1"/>
    <col min="18" max="31" width="9" customWidth="1"/>
  </cols>
  <sheetData>
    <row r="1" spans="1:31" ht="14.25" x14ac:dyDescent="0.15">
      <c r="A1" s="68"/>
      <c r="B1" s="38"/>
      <c r="C1" s="16"/>
      <c r="D1" s="16"/>
      <c r="E1" s="63" t="s">
        <v>42</v>
      </c>
      <c r="F1" s="17"/>
      <c r="G1" s="17"/>
      <c r="H1" s="17"/>
      <c r="I1" s="47"/>
      <c r="J1" s="47"/>
      <c r="K1" s="17"/>
      <c r="L1" s="17"/>
      <c r="M1" s="17"/>
      <c r="N1" s="87" t="s">
        <v>43</v>
      </c>
      <c r="O1" s="88" t="s">
        <v>37</v>
      </c>
      <c r="R1" s="72" t="s">
        <v>47</v>
      </c>
      <c r="S1" s="3"/>
      <c r="T1" s="73" t="s">
        <v>65</v>
      </c>
      <c r="V1" s="74" t="s">
        <v>58</v>
      </c>
      <c r="X1" s="74" t="s">
        <v>59</v>
      </c>
      <c r="Y1" s="74" t="s">
        <v>66</v>
      </c>
      <c r="Z1" s="74" t="s">
        <v>60</v>
      </c>
      <c r="AA1" s="74" t="s">
        <v>61</v>
      </c>
      <c r="AB1" s="74" t="s">
        <v>62</v>
      </c>
      <c r="AC1" s="74" t="s">
        <v>63</v>
      </c>
      <c r="AD1" s="74" t="s">
        <v>64</v>
      </c>
      <c r="AE1" s="74" t="s">
        <v>67</v>
      </c>
    </row>
    <row r="2" spans="1:31" x14ac:dyDescent="0.15">
      <c r="A2" s="16"/>
      <c r="B2" s="90" t="s">
        <v>44</v>
      </c>
      <c r="C2" s="90"/>
      <c r="D2" s="70" t="s">
        <v>45</v>
      </c>
      <c r="E2" s="70" t="s">
        <v>46</v>
      </c>
      <c r="F2" s="70" t="s">
        <v>38</v>
      </c>
      <c r="G2" s="70" t="s">
        <v>47</v>
      </c>
      <c r="H2" s="70" t="s">
        <v>48</v>
      </c>
      <c r="I2" s="41" t="s">
        <v>49</v>
      </c>
      <c r="J2" s="41" t="s">
        <v>50</v>
      </c>
      <c r="K2" s="62" t="s">
        <v>51</v>
      </c>
      <c r="L2" s="54"/>
      <c r="M2" s="54"/>
      <c r="N2" s="56" t="s">
        <v>52</v>
      </c>
      <c r="O2" s="58">
        <v>1</v>
      </c>
      <c r="R2" s="75"/>
      <c r="S2" s="3"/>
      <c r="T2" s="71"/>
      <c r="V2" s="76"/>
      <c r="X2" s="77" t="s">
        <v>68</v>
      </c>
      <c r="Y2" s="76"/>
      <c r="Z2" s="76"/>
      <c r="AA2" s="76"/>
      <c r="AB2" s="76"/>
      <c r="AC2" s="76"/>
      <c r="AD2" s="76"/>
      <c r="AE2" s="76"/>
    </row>
    <row r="3" spans="1:31" x14ac:dyDescent="0.15">
      <c r="A3" s="16"/>
      <c r="B3" s="91"/>
      <c r="C3" s="92"/>
      <c r="D3" s="65"/>
      <c r="E3" s="66"/>
      <c r="F3" s="39"/>
      <c r="G3" s="39"/>
      <c r="H3" s="39"/>
      <c r="I3" s="67"/>
      <c r="J3" s="67"/>
      <c r="K3" s="57"/>
      <c r="L3" s="60"/>
      <c r="M3" s="54"/>
      <c r="N3" s="55" t="s">
        <v>53</v>
      </c>
      <c r="O3" s="59" t="str">
        <f>IFERROR(IF(MID(Uno,5,2)*1&lt;4,(LEFT(Uno,4)*1-1) &amp; "年度\",LEFT(Uno,4)&amp; "年度\"),"")</f>
        <v/>
      </c>
      <c r="R3" s="78"/>
      <c r="S3" s="3"/>
      <c r="T3" s="71"/>
      <c r="U3" s="3"/>
      <c r="X3" s="77" t="s">
        <v>69</v>
      </c>
      <c r="Y3" s="76"/>
      <c r="Z3" s="76"/>
      <c r="AA3" s="76"/>
      <c r="AB3" s="76"/>
      <c r="AC3" s="76"/>
      <c r="AD3" s="76"/>
      <c r="AE3" s="76"/>
    </row>
    <row r="4" spans="1:31" x14ac:dyDescent="0.15">
      <c r="A4" s="18" t="s">
        <v>39</v>
      </c>
      <c r="B4" s="18" t="s">
        <v>1</v>
      </c>
      <c r="C4" s="18" t="s">
        <v>54</v>
      </c>
      <c r="D4" s="18" t="s">
        <v>55</v>
      </c>
      <c r="E4" s="18" t="s">
        <v>40</v>
      </c>
      <c r="F4" s="18" t="s">
        <v>2</v>
      </c>
      <c r="G4" s="18" t="s">
        <v>3</v>
      </c>
      <c r="H4" s="19" t="s">
        <v>4</v>
      </c>
      <c r="I4" s="18" t="s">
        <v>5</v>
      </c>
      <c r="J4" s="20" t="s">
        <v>56</v>
      </c>
      <c r="K4" s="82" t="s">
        <v>90</v>
      </c>
      <c r="L4" s="61"/>
      <c r="M4" s="53"/>
      <c r="N4" s="64" t="s">
        <v>57</v>
      </c>
      <c r="O4" s="69" t="s">
        <v>41</v>
      </c>
      <c r="R4" s="71"/>
      <c r="T4" s="84"/>
      <c r="U4" s="83"/>
      <c r="X4" s="77" t="s">
        <v>70</v>
      </c>
      <c r="Y4" s="76"/>
      <c r="Z4" s="76"/>
      <c r="AA4" s="76"/>
      <c r="AB4" s="76"/>
      <c r="AC4" s="76"/>
      <c r="AD4" s="76"/>
      <c r="AE4" s="76"/>
    </row>
    <row r="5" spans="1:31" x14ac:dyDescent="0.15">
      <c r="A5" s="45">
        <v>1</v>
      </c>
      <c r="B5" s="43"/>
      <c r="C5" s="44"/>
      <c r="D5" s="45"/>
      <c r="E5" s="46">
        <v>1</v>
      </c>
      <c r="F5" s="18" t="str">
        <f>IF(E5=0,"","A"&amp;E5&amp;"-0")</f>
        <v>A1-0</v>
      </c>
      <c r="G5" s="25"/>
      <c r="H5" s="26"/>
      <c r="I5" s="86"/>
      <c r="J5" s="48"/>
      <c r="K5" s="18"/>
      <c r="L5" s="51"/>
      <c r="M5" s="16"/>
      <c r="N5" s="51"/>
      <c r="O5" s="40"/>
      <c r="T5" s="83"/>
      <c r="X5" s="77" t="s">
        <v>71</v>
      </c>
      <c r="Y5" s="76"/>
      <c r="Z5" s="76"/>
      <c r="AA5" s="76"/>
      <c r="AB5" s="76"/>
      <c r="AC5" s="76"/>
      <c r="AD5" s="76"/>
      <c r="AE5" s="76"/>
    </row>
    <row r="6" spans="1:31" x14ac:dyDescent="0.15">
      <c r="A6" s="21"/>
      <c r="B6" s="28"/>
      <c r="C6" s="29"/>
      <c r="D6" s="30"/>
      <c r="E6" s="31" t="s">
        <v>91</v>
      </c>
      <c r="F6" s="18" t="str">
        <f>IF(E5=0,"","A"&amp;E5&amp;"-1")</f>
        <v>A1-1</v>
      </c>
      <c r="G6" s="25"/>
      <c r="H6" s="26"/>
      <c r="I6" s="86"/>
      <c r="J6" s="49"/>
      <c r="K6" s="18"/>
      <c r="L6" s="51"/>
      <c r="M6" s="16"/>
      <c r="N6" s="51"/>
      <c r="O6" s="40"/>
      <c r="T6" s="83"/>
      <c r="X6" s="77" t="s">
        <v>72</v>
      </c>
      <c r="Y6" s="76"/>
      <c r="Z6" s="76"/>
      <c r="AA6" s="76"/>
      <c r="AB6" s="76"/>
      <c r="AC6" s="76"/>
      <c r="AD6" s="76"/>
      <c r="AE6" s="76"/>
    </row>
    <row r="7" spans="1:31" x14ac:dyDescent="0.15">
      <c r="A7" s="21"/>
      <c r="B7" s="28"/>
      <c r="C7" s="29"/>
      <c r="D7" s="30"/>
      <c r="E7" s="31"/>
      <c r="F7" s="18" t="str">
        <f>IF(E5=0,"","B"&amp;E5&amp;"-0")</f>
        <v>B1-0</v>
      </c>
      <c r="G7" s="25"/>
      <c r="H7" s="26"/>
      <c r="I7" s="86"/>
      <c r="J7" s="49"/>
      <c r="K7" s="18"/>
      <c r="L7" s="51"/>
      <c r="M7" s="16"/>
      <c r="N7" s="51"/>
      <c r="O7" s="40"/>
      <c r="R7" s="79"/>
      <c r="S7" s="80"/>
      <c r="T7" s="83"/>
      <c r="U7" s="80"/>
      <c r="V7" s="80"/>
      <c r="W7" s="80"/>
    </row>
    <row r="8" spans="1:31" x14ac:dyDescent="0.15">
      <c r="A8" s="21"/>
      <c r="B8" s="28"/>
      <c r="C8" s="29"/>
      <c r="D8" s="30"/>
      <c r="E8" s="31"/>
      <c r="F8" s="18" t="str">
        <f>IF(E5=0,"","B"&amp;E5&amp;"-1")</f>
        <v>B1-1</v>
      </c>
      <c r="G8" s="25"/>
      <c r="H8" s="26"/>
      <c r="I8" s="86"/>
      <c r="J8" s="49"/>
      <c r="K8" s="18"/>
      <c r="L8" s="51"/>
      <c r="M8" s="16"/>
      <c r="N8" s="51"/>
      <c r="O8" s="40"/>
      <c r="R8" s="79"/>
      <c r="S8" s="80"/>
      <c r="T8" s="83"/>
      <c r="U8" s="80"/>
      <c r="V8" s="80"/>
      <c r="W8" s="80"/>
    </row>
    <row r="9" spans="1:31" x14ac:dyDescent="0.15">
      <c r="A9" s="21"/>
      <c r="B9" s="28"/>
      <c r="C9" s="29"/>
      <c r="D9" s="30"/>
      <c r="E9" s="31"/>
      <c r="F9" s="18" t="str">
        <f>IF(E5=0,"","C"&amp;E5&amp;"-0")</f>
        <v>C1-0</v>
      </c>
      <c r="G9" s="25"/>
      <c r="H9" s="26"/>
      <c r="I9" s="86"/>
      <c r="J9" s="49"/>
      <c r="K9" s="18"/>
      <c r="L9" s="51"/>
      <c r="M9" s="16"/>
      <c r="N9" s="51"/>
      <c r="O9" s="40"/>
      <c r="R9" s="79"/>
      <c r="S9" s="80"/>
      <c r="T9" s="83"/>
      <c r="U9" s="80"/>
      <c r="V9" s="80"/>
      <c r="W9" s="80"/>
    </row>
    <row r="10" spans="1:31" x14ac:dyDescent="0.15">
      <c r="A10" s="21"/>
      <c r="B10" s="28"/>
      <c r="C10" s="29"/>
      <c r="D10" s="30"/>
      <c r="E10" s="31"/>
      <c r="F10" s="18" t="str">
        <f>IF(E5=0,"","C"&amp;E5&amp;"-1")</f>
        <v>C1-1</v>
      </c>
      <c r="G10" s="25"/>
      <c r="H10" s="26"/>
      <c r="I10" s="86"/>
      <c r="J10" s="49"/>
      <c r="K10" s="18"/>
      <c r="L10" s="51"/>
      <c r="M10" s="16"/>
      <c r="N10" s="51"/>
      <c r="O10" s="40"/>
      <c r="R10" s="79"/>
      <c r="S10" s="80"/>
      <c r="T10" s="83"/>
      <c r="U10" s="80"/>
      <c r="V10" s="80"/>
      <c r="W10" s="80"/>
    </row>
    <row r="11" spans="1:31" x14ac:dyDescent="0.15">
      <c r="A11" s="21"/>
      <c r="B11" s="28"/>
      <c r="C11" s="29"/>
      <c r="D11" s="30"/>
      <c r="E11" s="32">
        <f>IF($D$3&gt;=E5+1,E5+1,0)</f>
        <v>0</v>
      </c>
      <c r="F11" s="18" t="str">
        <f>IF(E11=0,"","A"&amp;E11&amp;"-0")</f>
        <v/>
      </c>
      <c r="G11" s="25"/>
      <c r="H11" s="26"/>
      <c r="I11" s="86"/>
      <c r="J11" s="49"/>
      <c r="K11" s="18"/>
      <c r="L11" s="51"/>
      <c r="M11" s="16"/>
      <c r="N11" s="51"/>
      <c r="O11" s="40"/>
      <c r="R11" s="79"/>
      <c r="S11" s="80"/>
      <c r="T11" s="83"/>
      <c r="U11" s="80"/>
      <c r="V11" s="80"/>
      <c r="W11" s="80"/>
    </row>
    <row r="12" spans="1:31" x14ac:dyDescent="0.15">
      <c r="A12" s="21"/>
      <c r="B12" s="28"/>
      <c r="C12" s="29"/>
      <c r="D12" s="30"/>
      <c r="E12" s="33" t="str">
        <f>IF(E11&gt;0,"下段","")</f>
        <v/>
      </c>
      <c r="F12" s="18" t="str">
        <f>IF(E11=0,"","A"&amp;E11&amp;"-1")</f>
        <v/>
      </c>
      <c r="G12" s="25"/>
      <c r="H12" s="26"/>
      <c r="I12" s="86"/>
      <c r="J12" s="49"/>
      <c r="K12" s="18"/>
      <c r="L12" s="51"/>
      <c r="M12" s="16"/>
      <c r="N12" s="51"/>
      <c r="O12" s="40"/>
    </row>
    <row r="13" spans="1:31" x14ac:dyDescent="0.15">
      <c r="A13" s="21"/>
      <c r="B13" s="28"/>
      <c r="C13" s="29"/>
      <c r="D13" s="30"/>
      <c r="E13" s="33"/>
      <c r="F13" s="18" t="str">
        <f>IF(E11=0,"","B"&amp;E11&amp;"-0")</f>
        <v/>
      </c>
      <c r="G13" s="25"/>
      <c r="H13" s="26"/>
      <c r="I13" s="86"/>
      <c r="J13" s="49"/>
      <c r="K13" s="18"/>
      <c r="L13" s="51"/>
      <c r="M13" s="16"/>
      <c r="N13" s="51"/>
      <c r="O13" s="40"/>
    </row>
    <row r="14" spans="1:31" x14ac:dyDescent="0.15">
      <c r="A14" s="21"/>
      <c r="B14" s="28"/>
      <c r="C14" s="29"/>
      <c r="D14" s="30"/>
      <c r="E14" s="33"/>
      <c r="F14" s="18" t="str">
        <f>IF(E11=0,"","B"&amp;E11&amp;"-1")</f>
        <v/>
      </c>
      <c r="G14" s="25"/>
      <c r="H14" s="26"/>
      <c r="I14" s="86"/>
      <c r="J14" s="49"/>
      <c r="K14" s="18"/>
      <c r="L14" s="51"/>
      <c r="M14" s="16"/>
      <c r="N14" s="51"/>
      <c r="O14" s="40"/>
    </row>
    <row r="15" spans="1:31" x14ac:dyDescent="0.15">
      <c r="A15" s="21"/>
      <c r="B15" s="28"/>
      <c r="C15" s="29"/>
      <c r="D15" s="30"/>
      <c r="E15" s="33"/>
      <c r="F15" s="18" t="str">
        <f>IF(E11=0,"","C"&amp;E11&amp;"-0")</f>
        <v/>
      </c>
      <c r="G15" s="25"/>
      <c r="H15" s="26"/>
      <c r="I15" s="86"/>
      <c r="J15" s="49"/>
      <c r="K15" s="18"/>
      <c r="L15" s="51"/>
      <c r="M15" s="16"/>
      <c r="N15" s="51"/>
      <c r="O15" s="85"/>
    </row>
    <row r="16" spans="1:31" x14ac:dyDescent="0.15">
      <c r="A16" s="22"/>
      <c r="B16" s="34"/>
      <c r="C16" s="35"/>
      <c r="D16" s="36"/>
      <c r="E16" s="37"/>
      <c r="F16" s="18" t="str">
        <f>IF(E11=0,"","C"&amp;E11&amp;"-1")</f>
        <v/>
      </c>
      <c r="G16" s="25"/>
      <c r="H16" s="26"/>
      <c r="I16" s="86"/>
      <c r="J16" s="49"/>
      <c r="K16" s="18"/>
      <c r="L16" s="51"/>
      <c r="M16" s="16"/>
      <c r="N16" s="51"/>
      <c r="O16" s="85"/>
    </row>
    <row r="17" spans="1:15" x14ac:dyDescent="0.15">
      <c r="A17" s="42">
        <f>IF(AND(A5&gt;=1,ROUNDUP($D$3/2,0)&gt;=A5+1),A5+1,0)</f>
        <v>0</v>
      </c>
      <c r="B17" s="43"/>
      <c r="C17" s="44"/>
      <c r="D17" s="45"/>
      <c r="E17" s="27">
        <f>IF(AND(E11&gt;1,$D$3&gt;=E11+1),E11+1,0)</f>
        <v>0</v>
      </c>
      <c r="F17" s="18" t="str">
        <f>IF(E17=0,"","A"&amp;E17&amp;"-0")</f>
        <v/>
      </c>
      <c r="G17" s="25"/>
      <c r="H17" s="26"/>
      <c r="I17" s="86"/>
      <c r="J17" s="48"/>
      <c r="K17" s="18"/>
      <c r="L17" s="51"/>
      <c r="M17" s="16"/>
      <c r="N17" s="51"/>
      <c r="O17" s="85"/>
    </row>
    <row r="18" spans="1:15" x14ac:dyDescent="0.15">
      <c r="A18" s="23"/>
      <c r="B18" s="28"/>
      <c r="C18" s="29"/>
      <c r="D18" s="30"/>
      <c r="E18" s="31" t="str">
        <f>IF(E17&gt;0,"上段","")</f>
        <v/>
      </c>
      <c r="F18" s="18" t="str">
        <f>IF(E17=0,"","A"&amp;E17&amp;"-1")</f>
        <v/>
      </c>
      <c r="G18" s="25"/>
      <c r="H18" s="26"/>
      <c r="I18" s="86"/>
      <c r="J18" s="49"/>
      <c r="K18" s="18"/>
      <c r="L18" s="51"/>
      <c r="M18" s="16"/>
      <c r="N18" s="51"/>
      <c r="O18" s="40"/>
    </row>
    <row r="19" spans="1:15" x14ac:dyDescent="0.15">
      <c r="A19" s="23"/>
      <c r="B19" s="28"/>
      <c r="C19" s="29"/>
      <c r="D19" s="30"/>
      <c r="E19" s="31"/>
      <c r="F19" s="18" t="str">
        <f>IF(E17=0,"","B"&amp;E17&amp;"-0")</f>
        <v/>
      </c>
      <c r="G19" s="25"/>
      <c r="H19" s="26"/>
      <c r="I19" s="86"/>
      <c r="J19" s="49"/>
      <c r="K19" s="18"/>
      <c r="L19" s="51"/>
      <c r="M19" s="16"/>
      <c r="N19" s="51"/>
      <c r="O19" s="40"/>
    </row>
    <row r="20" spans="1:15" x14ac:dyDescent="0.15">
      <c r="A20" s="23"/>
      <c r="B20" s="28"/>
      <c r="C20" s="29"/>
      <c r="D20" s="30"/>
      <c r="E20" s="31"/>
      <c r="F20" s="18" t="str">
        <f>IF(E17=0,"","B"&amp;E17&amp;"-1")</f>
        <v/>
      </c>
      <c r="G20" s="25"/>
      <c r="H20" s="26"/>
      <c r="I20" s="86"/>
      <c r="J20" s="49"/>
      <c r="K20" s="18"/>
      <c r="L20" s="51"/>
      <c r="M20" s="16"/>
      <c r="N20" s="51"/>
      <c r="O20" s="40"/>
    </row>
    <row r="21" spans="1:15" x14ac:dyDescent="0.15">
      <c r="A21" s="23"/>
      <c r="B21" s="28"/>
      <c r="C21" s="29"/>
      <c r="D21" s="30"/>
      <c r="E21" s="31"/>
      <c r="F21" s="18" t="str">
        <f>IF(E17=0,"","C"&amp;E17&amp;"-0")</f>
        <v/>
      </c>
      <c r="G21" s="25"/>
      <c r="H21" s="26"/>
      <c r="I21" s="86"/>
      <c r="J21" s="49"/>
      <c r="K21" s="18"/>
      <c r="L21" s="51"/>
      <c r="M21" s="16"/>
      <c r="N21" s="51"/>
      <c r="O21" s="40"/>
    </row>
    <row r="22" spans="1:15" x14ac:dyDescent="0.15">
      <c r="A22" s="23"/>
      <c r="B22" s="28"/>
      <c r="C22" s="29"/>
      <c r="D22" s="30"/>
      <c r="E22" s="31"/>
      <c r="F22" s="18" t="str">
        <f>IF(E17=0,"","C"&amp;E17&amp;"-1")</f>
        <v/>
      </c>
      <c r="G22" s="25"/>
      <c r="H22" s="26"/>
      <c r="I22" s="86"/>
      <c r="J22" s="49"/>
      <c r="K22" s="18"/>
      <c r="L22" s="51"/>
      <c r="M22" s="16"/>
      <c r="N22" s="51"/>
      <c r="O22" s="40"/>
    </row>
    <row r="23" spans="1:15" x14ac:dyDescent="0.15">
      <c r="A23" s="23"/>
      <c r="B23" s="28"/>
      <c r="C23" s="29"/>
      <c r="D23" s="30"/>
      <c r="E23" s="32">
        <f>IF(AND(E17&gt;1,$D$3&gt;=E17+1),E17+1,0)</f>
        <v>0</v>
      </c>
      <c r="F23" s="18" t="str">
        <f>IF(E23=0,"","A"&amp;E23&amp;"-0")</f>
        <v/>
      </c>
      <c r="G23" s="25"/>
      <c r="H23" s="26"/>
      <c r="I23" s="86"/>
      <c r="J23" s="49"/>
      <c r="K23" s="18"/>
      <c r="L23" s="51"/>
      <c r="M23" s="16"/>
      <c r="N23" s="51"/>
      <c r="O23" s="40"/>
    </row>
    <row r="24" spans="1:15" x14ac:dyDescent="0.15">
      <c r="A24" s="23"/>
      <c r="B24" s="28"/>
      <c r="C24" s="29"/>
      <c r="D24" s="30"/>
      <c r="E24" s="33" t="str">
        <f>IF(E23&gt;0,"下段","")</f>
        <v/>
      </c>
      <c r="F24" s="18" t="str">
        <f>IF(E23=0,"","A"&amp;E23&amp;"-1")</f>
        <v/>
      </c>
      <c r="G24" s="25"/>
      <c r="H24" s="26"/>
      <c r="I24" s="86"/>
      <c r="J24" s="49"/>
      <c r="K24" s="18"/>
      <c r="L24" s="51"/>
      <c r="M24" s="16"/>
      <c r="N24" s="51"/>
      <c r="O24" s="40"/>
    </row>
    <row r="25" spans="1:15" x14ac:dyDescent="0.15">
      <c r="A25" s="23"/>
      <c r="B25" s="28"/>
      <c r="C25" s="29"/>
      <c r="D25" s="30"/>
      <c r="E25" s="33"/>
      <c r="F25" s="18" t="str">
        <f>IF(E23=0,"","B"&amp;E23&amp;"-0")</f>
        <v/>
      </c>
      <c r="G25" s="25"/>
      <c r="H25" s="26"/>
      <c r="I25" s="86"/>
      <c r="J25" s="49"/>
      <c r="K25" s="18"/>
      <c r="L25" s="51"/>
      <c r="M25" s="16"/>
      <c r="N25" s="51"/>
      <c r="O25" s="40"/>
    </row>
    <row r="26" spans="1:15" x14ac:dyDescent="0.15">
      <c r="A26" s="23"/>
      <c r="B26" s="28"/>
      <c r="C26" s="29"/>
      <c r="D26" s="30"/>
      <c r="E26" s="33"/>
      <c r="F26" s="18" t="str">
        <f>IF(E23=0,"","B"&amp;E23&amp;"-1")</f>
        <v/>
      </c>
      <c r="G26" s="25"/>
      <c r="H26" s="26"/>
      <c r="I26" s="86"/>
      <c r="J26" s="49"/>
      <c r="K26" s="18"/>
      <c r="L26" s="51"/>
      <c r="M26" s="16"/>
      <c r="N26" s="51"/>
      <c r="O26" s="40"/>
    </row>
    <row r="27" spans="1:15" x14ac:dyDescent="0.15">
      <c r="A27" s="23"/>
      <c r="B27" s="28"/>
      <c r="C27" s="29"/>
      <c r="D27" s="30"/>
      <c r="E27" s="33"/>
      <c r="F27" s="18" t="str">
        <f>IF(E23=0,"","C"&amp;E23&amp;"-0")</f>
        <v/>
      </c>
      <c r="G27" s="25"/>
      <c r="H27" s="26"/>
      <c r="I27" s="86"/>
      <c r="J27" s="49"/>
      <c r="K27" s="18"/>
      <c r="L27" s="51"/>
      <c r="M27" s="16"/>
      <c r="N27" s="51"/>
      <c r="O27" s="40"/>
    </row>
    <row r="28" spans="1:15" x14ac:dyDescent="0.15">
      <c r="A28" s="24"/>
      <c r="B28" s="34"/>
      <c r="C28" s="35"/>
      <c r="D28" s="36"/>
      <c r="E28" s="37"/>
      <c r="F28" s="18" t="str">
        <f>IF(E23=0,"","C"&amp;E23&amp;"-1")</f>
        <v/>
      </c>
      <c r="G28" s="25"/>
      <c r="H28" s="26"/>
      <c r="I28" s="86"/>
      <c r="J28" s="49"/>
      <c r="K28" s="18"/>
      <c r="L28" s="51"/>
      <c r="M28" s="16"/>
      <c r="N28" s="51"/>
      <c r="O28" s="40"/>
    </row>
    <row r="29" spans="1:15" x14ac:dyDescent="0.15">
      <c r="A29" s="42">
        <f>IF(AND(A17&gt;=1,ROUNDUP($D$3/2,0)&gt;=A17+1),A17+1,0)</f>
        <v>0</v>
      </c>
      <c r="B29" s="43"/>
      <c r="C29" s="44"/>
      <c r="D29" s="45"/>
      <c r="E29" s="27">
        <f>IF(AND(E23&gt;1,$D$3&gt;=E23+1),E23+1,0)</f>
        <v>0</v>
      </c>
      <c r="F29" s="18" t="str">
        <f>IF(E29=0,"","A"&amp;E29&amp;"-0")</f>
        <v/>
      </c>
      <c r="G29" s="25"/>
      <c r="H29" s="26"/>
      <c r="I29" s="86"/>
      <c r="J29" s="48"/>
      <c r="K29" s="18"/>
      <c r="L29" s="51"/>
      <c r="M29" s="16"/>
      <c r="N29" s="51"/>
      <c r="O29" s="40"/>
    </row>
    <row r="30" spans="1:15" x14ac:dyDescent="0.15">
      <c r="A30" s="23"/>
      <c r="B30" s="28"/>
      <c r="C30" s="29"/>
      <c r="D30" s="30"/>
      <c r="E30" s="31" t="str">
        <f>IF(E29&gt;0,"上段","")</f>
        <v/>
      </c>
      <c r="F30" s="18" t="str">
        <f>IF(E29=0,"","A"&amp;E29&amp;"-1")</f>
        <v/>
      </c>
      <c r="G30" s="25"/>
      <c r="H30" s="26"/>
      <c r="I30" s="86"/>
      <c r="J30" s="49"/>
      <c r="K30" s="18"/>
      <c r="L30" s="51"/>
      <c r="M30" s="16"/>
      <c r="N30" s="51"/>
      <c r="O30" s="40"/>
    </row>
    <row r="31" spans="1:15" x14ac:dyDescent="0.15">
      <c r="A31" s="23"/>
      <c r="B31" s="28"/>
      <c r="C31" s="29"/>
      <c r="D31" s="30"/>
      <c r="E31" s="31"/>
      <c r="F31" s="18" t="str">
        <f>IF(E29=0,"","B"&amp;E29&amp;"-0")</f>
        <v/>
      </c>
      <c r="G31" s="25"/>
      <c r="H31" s="26"/>
      <c r="I31" s="86"/>
      <c r="J31" s="49"/>
      <c r="K31" s="18"/>
      <c r="L31" s="51"/>
      <c r="M31" s="16"/>
      <c r="N31" s="51"/>
      <c r="O31" s="40"/>
    </row>
    <row r="32" spans="1:15" x14ac:dyDescent="0.15">
      <c r="A32" s="23"/>
      <c r="B32" s="28"/>
      <c r="C32" s="29"/>
      <c r="D32" s="30"/>
      <c r="E32" s="31"/>
      <c r="F32" s="18" t="str">
        <f>IF(E29=0,"","B"&amp;E29&amp;"-1")</f>
        <v/>
      </c>
      <c r="G32" s="25"/>
      <c r="H32" s="26"/>
      <c r="I32" s="86"/>
      <c r="J32" s="49"/>
      <c r="K32" s="18"/>
      <c r="L32" s="51"/>
      <c r="M32" s="16"/>
      <c r="N32" s="51"/>
      <c r="O32" s="40"/>
    </row>
    <row r="33" spans="1:15" x14ac:dyDescent="0.15">
      <c r="A33" s="23"/>
      <c r="B33" s="28"/>
      <c r="C33" s="29"/>
      <c r="D33" s="30"/>
      <c r="E33" s="31"/>
      <c r="F33" s="18" t="str">
        <f>IF(E29=0,"","C"&amp;E29&amp;"-0")</f>
        <v/>
      </c>
      <c r="G33" s="25"/>
      <c r="H33" s="26"/>
      <c r="I33" s="86"/>
      <c r="J33" s="49"/>
      <c r="K33" s="18"/>
      <c r="L33" s="51"/>
      <c r="M33" s="16"/>
      <c r="N33" s="51"/>
      <c r="O33" s="40"/>
    </row>
    <row r="34" spans="1:15" x14ac:dyDescent="0.15">
      <c r="A34" s="23"/>
      <c r="B34" s="28"/>
      <c r="C34" s="29"/>
      <c r="D34" s="30"/>
      <c r="E34" s="31"/>
      <c r="F34" s="18" t="str">
        <f>IF(E29=0,"","C"&amp;E29&amp;"-1")</f>
        <v/>
      </c>
      <c r="G34" s="25"/>
      <c r="H34" s="26"/>
      <c r="I34" s="86"/>
      <c r="J34" s="49"/>
      <c r="K34" s="18"/>
      <c r="L34" s="51"/>
      <c r="M34" s="16"/>
      <c r="N34" s="51"/>
      <c r="O34" s="40"/>
    </row>
    <row r="35" spans="1:15" x14ac:dyDescent="0.15">
      <c r="A35" s="23"/>
      <c r="B35" s="28"/>
      <c r="C35" s="29"/>
      <c r="D35" s="30"/>
      <c r="E35" s="32">
        <f>IF(AND(E29&gt;1,$D$3&gt;=E29+1),E29+1,0)</f>
        <v>0</v>
      </c>
      <c r="F35" s="18" t="str">
        <f>IF(E35=0,"","A"&amp;E35&amp;"-0")</f>
        <v/>
      </c>
      <c r="G35" s="25"/>
      <c r="H35" s="26"/>
      <c r="I35" s="86"/>
      <c r="J35" s="49"/>
      <c r="K35" s="18"/>
      <c r="L35" s="51"/>
      <c r="M35" s="16"/>
      <c r="N35" s="51"/>
      <c r="O35" s="40"/>
    </row>
    <row r="36" spans="1:15" x14ac:dyDescent="0.15">
      <c r="A36" s="23"/>
      <c r="B36" s="28"/>
      <c r="C36" s="29"/>
      <c r="D36" s="30"/>
      <c r="E36" s="33" t="str">
        <f>IF(E35&gt;0,"下段","")</f>
        <v/>
      </c>
      <c r="F36" s="18" t="str">
        <f>IF(E35=0,"","A"&amp;E35&amp;"-1")</f>
        <v/>
      </c>
      <c r="G36" s="25"/>
      <c r="H36" s="26"/>
      <c r="I36" s="86"/>
      <c r="J36" s="49"/>
      <c r="K36" s="18"/>
      <c r="L36" s="51"/>
      <c r="M36" s="16"/>
      <c r="N36" s="51"/>
      <c r="O36" s="40"/>
    </row>
    <row r="37" spans="1:15" x14ac:dyDescent="0.15">
      <c r="A37" s="23"/>
      <c r="B37" s="28"/>
      <c r="C37" s="29"/>
      <c r="D37" s="30"/>
      <c r="E37" s="33"/>
      <c r="F37" s="18" t="str">
        <f>IF(E35=0,"","B"&amp;E35&amp;"-0")</f>
        <v/>
      </c>
      <c r="G37" s="25"/>
      <c r="H37" s="26"/>
      <c r="I37" s="86"/>
      <c r="J37" s="49"/>
      <c r="K37" s="18"/>
      <c r="L37" s="51"/>
      <c r="M37" s="16"/>
      <c r="N37" s="51"/>
      <c r="O37" s="40"/>
    </row>
    <row r="38" spans="1:15" x14ac:dyDescent="0.15">
      <c r="A38" s="23"/>
      <c r="B38" s="28"/>
      <c r="C38" s="29"/>
      <c r="D38" s="30"/>
      <c r="E38" s="33"/>
      <c r="F38" s="18" t="str">
        <f>IF(E35=0,"","B"&amp;E35&amp;"-1")</f>
        <v/>
      </c>
      <c r="G38" s="25"/>
      <c r="H38" s="26"/>
      <c r="I38" s="86"/>
      <c r="J38" s="49"/>
      <c r="K38" s="18"/>
      <c r="L38" s="51"/>
      <c r="M38" s="16"/>
      <c r="N38" s="51"/>
      <c r="O38" s="40"/>
    </row>
    <row r="39" spans="1:15" x14ac:dyDescent="0.15">
      <c r="A39" s="23"/>
      <c r="B39" s="28"/>
      <c r="C39" s="29"/>
      <c r="D39" s="30"/>
      <c r="E39" s="33"/>
      <c r="F39" s="18" t="str">
        <f>IF(E35=0,"","C"&amp;E35&amp;"-0")</f>
        <v/>
      </c>
      <c r="G39" s="25"/>
      <c r="H39" s="26"/>
      <c r="I39" s="86"/>
      <c r="J39" s="49"/>
      <c r="K39" s="18"/>
      <c r="L39" s="51"/>
      <c r="M39" s="16"/>
      <c r="N39" s="51"/>
      <c r="O39" s="40"/>
    </row>
    <row r="40" spans="1:15" x14ac:dyDescent="0.15">
      <c r="A40" s="24"/>
      <c r="B40" s="34"/>
      <c r="C40" s="35"/>
      <c r="D40" s="36"/>
      <c r="E40" s="37"/>
      <c r="F40" s="18" t="str">
        <f>IF(E35=0,"","C"&amp;E35&amp;"-1")</f>
        <v/>
      </c>
      <c r="G40" s="25"/>
      <c r="H40" s="26"/>
      <c r="I40" s="86"/>
      <c r="J40" s="49"/>
      <c r="K40" s="18"/>
      <c r="L40" s="51"/>
      <c r="M40" s="16"/>
      <c r="N40" s="51"/>
      <c r="O40" s="40"/>
    </row>
    <row r="41" spans="1:15" x14ac:dyDescent="0.15">
      <c r="A41" s="42">
        <f>IF(AND(A29&gt;=1,ROUNDUP($D$3/2,0)&gt;=A29+1),A29+1,0)</f>
        <v>0</v>
      </c>
      <c r="B41" s="43"/>
      <c r="C41" s="44"/>
      <c r="D41" s="45"/>
      <c r="E41" s="27">
        <f>IF(AND(E35&gt;1,$D$3&gt;=E35+1),E35+1,0)</f>
        <v>0</v>
      </c>
      <c r="F41" s="18" t="str">
        <f>IF(E41=0,"","A"&amp;E41&amp;"-0")</f>
        <v/>
      </c>
      <c r="G41" s="25"/>
      <c r="H41" s="26"/>
      <c r="I41" s="86"/>
      <c r="J41" s="48"/>
      <c r="K41" s="18"/>
      <c r="L41" s="51"/>
      <c r="M41" s="16"/>
      <c r="N41" s="51"/>
      <c r="O41" s="40"/>
    </row>
    <row r="42" spans="1:15" x14ac:dyDescent="0.15">
      <c r="A42" s="23"/>
      <c r="B42" s="28"/>
      <c r="C42" s="29"/>
      <c r="D42" s="30"/>
      <c r="E42" s="31" t="str">
        <f>IF(E41&gt;0,"上段","")</f>
        <v/>
      </c>
      <c r="F42" s="18" t="str">
        <f>IF(E41=0,"","A"&amp;E41&amp;"-1")</f>
        <v/>
      </c>
      <c r="G42" s="25"/>
      <c r="H42" s="26"/>
      <c r="I42" s="86"/>
      <c r="J42" s="49"/>
      <c r="K42" s="18"/>
      <c r="L42" s="51"/>
      <c r="M42" s="16"/>
      <c r="N42" s="51"/>
      <c r="O42" s="40"/>
    </row>
    <row r="43" spans="1:15" x14ac:dyDescent="0.15">
      <c r="A43" s="23"/>
      <c r="B43" s="28"/>
      <c r="C43" s="29"/>
      <c r="D43" s="30"/>
      <c r="E43" s="31"/>
      <c r="F43" s="18" t="str">
        <f>IF(E41=0,"","B"&amp;E41&amp;"-0")</f>
        <v/>
      </c>
      <c r="G43" s="25"/>
      <c r="H43" s="26"/>
      <c r="I43" s="86"/>
      <c r="J43" s="49"/>
      <c r="K43" s="18"/>
      <c r="L43" s="51"/>
      <c r="M43" s="16"/>
      <c r="N43" s="51"/>
      <c r="O43" s="40"/>
    </row>
    <row r="44" spans="1:15" x14ac:dyDescent="0.15">
      <c r="A44" s="23"/>
      <c r="B44" s="28"/>
      <c r="C44" s="29"/>
      <c r="D44" s="30"/>
      <c r="E44" s="31"/>
      <c r="F44" s="18" t="str">
        <f>IF(E41=0,"","B"&amp;E41&amp;"-1")</f>
        <v/>
      </c>
      <c r="G44" s="25"/>
      <c r="H44" s="26"/>
      <c r="I44" s="86"/>
      <c r="J44" s="49"/>
      <c r="K44" s="18"/>
      <c r="L44" s="51"/>
      <c r="M44" s="16"/>
      <c r="N44" s="51"/>
      <c r="O44" s="40"/>
    </row>
    <row r="45" spans="1:15" x14ac:dyDescent="0.15">
      <c r="A45" s="23"/>
      <c r="B45" s="28"/>
      <c r="C45" s="29"/>
      <c r="D45" s="30"/>
      <c r="E45" s="31"/>
      <c r="F45" s="18" t="str">
        <f>IF(E41=0,"","C"&amp;E41&amp;"-0")</f>
        <v/>
      </c>
      <c r="G45" s="25"/>
      <c r="H45" s="26"/>
      <c r="I45" s="86"/>
      <c r="J45" s="49"/>
      <c r="K45" s="18"/>
      <c r="L45" s="51"/>
      <c r="M45" s="16"/>
      <c r="N45" s="51"/>
      <c r="O45" s="40"/>
    </row>
    <row r="46" spans="1:15" x14ac:dyDescent="0.15">
      <c r="A46" s="23"/>
      <c r="B46" s="28"/>
      <c r="C46" s="29"/>
      <c r="D46" s="30"/>
      <c r="E46" s="31"/>
      <c r="F46" s="18" t="str">
        <f>IF(E41=0,"","C"&amp;E41&amp;"-1")</f>
        <v/>
      </c>
      <c r="G46" s="25"/>
      <c r="H46" s="26"/>
      <c r="I46" s="86"/>
      <c r="J46" s="49"/>
      <c r="K46" s="18"/>
      <c r="L46" s="51"/>
      <c r="M46" s="16"/>
      <c r="N46" s="51"/>
      <c r="O46" s="40"/>
    </row>
    <row r="47" spans="1:15" x14ac:dyDescent="0.15">
      <c r="A47" s="23"/>
      <c r="B47" s="28"/>
      <c r="C47" s="29"/>
      <c r="D47" s="30"/>
      <c r="E47" s="32">
        <f>IF(AND(E41&gt;1,$D$3&gt;=E41+1),E41+1,0)</f>
        <v>0</v>
      </c>
      <c r="F47" s="18" t="str">
        <f>IF(E47=0,"","A"&amp;E47&amp;"-0")</f>
        <v/>
      </c>
      <c r="G47" s="25"/>
      <c r="H47" s="26"/>
      <c r="I47" s="86"/>
      <c r="J47" s="49"/>
      <c r="K47" s="18"/>
      <c r="L47" s="51"/>
      <c r="M47" s="16"/>
      <c r="N47" s="51"/>
      <c r="O47" s="40"/>
    </row>
    <row r="48" spans="1:15" x14ac:dyDescent="0.15">
      <c r="A48" s="23"/>
      <c r="B48" s="28"/>
      <c r="C48" s="29"/>
      <c r="D48" s="30"/>
      <c r="E48" s="33" t="str">
        <f>IF(E47&gt;0,"下段","")</f>
        <v/>
      </c>
      <c r="F48" s="18" t="str">
        <f>IF(E47=0,"","A"&amp;E47&amp;"-1")</f>
        <v/>
      </c>
      <c r="G48" s="25"/>
      <c r="H48" s="26"/>
      <c r="I48" s="86"/>
      <c r="J48" s="49"/>
      <c r="K48" s="18"/>
      <c r="L48" s="51"/>
      <c r="M48" s="16"/>
      <c r="N48" s="51"/>
      <c r="O48" s="40"/>
    </row>
    <row r="49" spans="1:15" x14ac:dyDescent="0.15">
      <c r="A49" s="23"/>
      <c r="B49" s="28"/>
      <c r="C49" s="29"/>
      <c r="D49" s="30"/>
      <c r="E49" s="33"/>
      <c r="F49" s="18" t="str">
        <f>IF(E47=0,"","B"&amp;E47&amp;"-0")</f>
        <v/>
      </c>
      <c r="G49" s="25"/>
      <c r="H49" s="26"/>
      <c r="I49" s="86"/>
      <c r="J49" s="49"/>
      <c r="K49" s="18"/>
      <c r="L49" s="51"/>
      <c r="M49" s="16"/>
      <c r="N49" s="51"/>
      <c r="O49" s="40"/>
    </row>
    <row r="50" spans="1:15" x14ac:dyDescent="0.15">
      <c r="A50" s="23"/>
      <c r="B50" s="28"/>
      <c r="C50" s="29"/>
      <c r="D50" s="30"/>
      <c r="E50" s="33"/>
      <c r="F50" s="18" t="str">
        <f>IF(E47=0,"","B"&amp;E47&amp;"-1")</f>
        <v/>
      </c>
      <c r="G50" s="25"/>
      <c r="H50" s="26"/>
      <c r="I50" s="86"/>
      <c r="J50" s="49"/>
      <c r="K50" s="18"/>
      <c r="L50" s="51"/>
      <c r="M50" s="16"/>
      <c r="N50" s="51"/>
      <c r="O50" s="40"/>
    </row>
    <row r="51" spans="1:15" x14ac:dyDescent="0.15">
      <c r="A51" s="23"/>
      <c r="B51" s="28"/>
      <c r="C51" s="29"/>
      <c r="D51" s="30"/>
      <c r="E51" s="33"/>
      <c r="F51" s="18" t="str">
        <f>IF(E47=0,"","C"&amp;E47&amp;"-0")</f>
        <v/>
      </c>
      <c r="G51" s="25"/>
      <c r="H51" s="26"/>
      <c r="I51" s="86"/>
      <c r="J51" s="49"/>
      <c r="K51" s="18"/>
      <c r="L51" s="51"/>
      <c r="M51" s="16"/>
      <c r="N51" s="51"/>
      <c r="O51" s="40"/>
    </row>
    <row r="52" spans="1:15" x14ac:dyDescent="0.15">
      <c r="A52" s="24"/>
      <c r="B52" s="34"/>
      <c r="C52" s="35"/>
      <c r="D52" s="36"/>
      <c r="E52" s="37"/>
      <c r="F52" s="18" t="str">
        <f>IF(E47=0,"","C"&amp;E47&amp;"-1")</f>
        <v/>
      </c>
      <c r="G52" s="25"/>
      <c r="H52" s="26"/>
      <c r="I52" s="86"/>
      <c r="J52" s="49"/>
      <c r="K52" s="18"/>
      <c r="L52" s="51"/>
      <c r="M52" s="16"/>
      <c r="N52" s="51"/>
      <c r="O52" s="40"/>
    </row>
    <row r="53" spans="1:15" x14ac:dyDescent="0.15">
      <c r="A53" s="42">
        <f>IF(AND(A41&gt;=1,ROUNDUP($D$3/2,0)&gt;=A41+1),A41+1,0)</f>
        <v>0</v>
      </c>
      <c r="B53" s="43"/>
      <c r="C53" s="44"/>
      <c r="D53" s="45"/>
      <c r="E53" s="27">
        <f>IF(AND(E47&gt;1,$D$3&gt;=E47+1),E47+1,0)</f>
        <v>0</v>
      </c>
      <c r="F53" s="18" t="str">
        <f>IF(E53=0,"","A"&amp;E53&amp;"-0")</f>
        <v/>
      </c>
      <c r="G53" s="25"/>
      <c r="H53" s="26"/>
      <c r="I53" s="86"/>
      <c r="J53" s="48"/>
      <c r="K53" s="18"/>
      <c r="L53" s="51"/>
      <c r="M53" s="16"/>
      <c r="N53" s="51"/>
      <c r="O53" s="40"/>
    </row>
    <row r="54" spans="1:15" x14ac:dyDescent="0.15">
      <c r="A54" s="23"/>
      <c r="B54" s="28"/>
      <c r="C54" s="29"/>
      <c r="D54" s="30"/>
      <c r="E54" s="31" t="str">
        <f>IF(E53&gt;0,"上段","")</f>
        <v/>
      </c>
      <c r="F54" s="18" t="str">
        <f>IF(E53=0,"","A"&amp;E53&amp;"-1")</f>
        <v/>
      </c>
      <c r="G54" s="25"/>
      <c r="H54" s="26"/>
      <c r="I54" s="86"/>
      <c r="J54" s="49"/>
      <c r="K54" s="18"/>
      <c r="L54" s="51"/>
      <c r="M54" s="16"/>
      <c r="N54" s="51"/>
      <c r="O54" s="40"/>
    </row>
    <row r="55" spans="1:15" x14ac:dyDescent="0.15">
      <c r="A55" s="23"/>
      <c r="B55" s="28"/>
      <c r="C55" s="29"/>
      <c r="D55" s="30"/>
      <c r="E55" s="31"/>
      <c r="F55" s="18" t="str">
        <f>IF(E53=0,"","B"&amp;E53&amp;"-0")</f>
        <v/>
      </c>
      <c r="G55" s="25"/>
      <c r="H55" s="26"/>
      <c r="I55" s="86"/>
      <c r="J55" s="49"/>
      <c r="K55" s="18"/>
      <c r="L55" s="51"/>
      <c r="M55" s="16"/>
      <c r="N55" s="51"/>
      <c r="O55" s="40"/>
    </row>
    <row r="56" spans="1:15" x14ac:dyDescent="0.15">
      <c r="A56" s="23"/>
      <c r="B56" s="28"/>
      <c r="C56" s="29"/>
      <c r="D56" s="30"/>
      <c r="E56" s="31"/>
      <c r="F56" s="18" t="str">
        <f>IF(E53=0,"","B"&amp;E53&amp;"-1")</f>
        <v/>
      </c>
      <c r="G56" s="25"/>
      <c r="H56" s="26"/>
      <c r="I56" s="86"/>
      <c r="J56" s="49"/>
      <c r="K56" s="18"/>
      <c r="L56" s="51"/>
      <c r="M56" s="16"/>
      <c r="N56" s="51"/>
      <c r="O56" s="40"/>
    </row>
    <row r="57" spans="1:15" x14ac:dyDescent="0.15">
      <c r="A57" s="23"/>
      <c r="B57" s="28"/>
      <c r="C57" s="29"/>
      <c r="D57" s="30"/>
      <c r="E57" s="31"/>
      <c r="F57" s="18" t="str">
        <f>IF(E53=0,"","C"&amp;E53&amp;"-0")</f>
        <v/>
      </c>
      <c r="G57" s="25"/>
      <c r="H57" s="26"/>
      <c r="I57" s="86"/>
      <c r="J57" s="49"/>
      <c r="K57" s="18"/>
      <c r="L57" s="51"/>
      <c r="M57" s="16"/>
      <c r="N57" s="51"/>
      <c r="O57" s="40"/>
    </row>
    <row r="58" spans="1:15" x14ac:dyDescent="0.15">
      <c r="A58" s="23"/>
      <c r="B58" s="28"/>
      <c r="C58" s="29"/>
      <c r="D58" s="30"/>
      <c r="E58" s="31"/>
      <c r="F58" s="18" t="str">
        <f>IF(E53=0,"","C"&amp;E53&amp;"-1")</f>
        <v/>
      </c>
      <c r="G58" s="25"/>
      <c r="H58" s="26"/>
      <c r="I58" s="86"/>
      <c r="J58" s="49"/>
      <c r="K58" s="18"/>
      <c r="L58" s="51"/>
      <c r="M58" s="16"/>
      <c r="N58" s="51"/>
      <c r="O58" s="40"/>
    </row>
    <row r="59" spans="1:15" x14ac:dyDescent="0.15">
      <c r="A59" s="23"/>
      <c r="B59" s="28"/>
      <c r="C59" s="29"/>
      <c r="D59" s="30"/>
      <c r="E59" s="32">
        <f>IF(AND(E53&gt;1,$D$3&gt;=E53+1),E53+1,0)</f>
        <v>0</v>
      </c>
      <c r="F59" s="18" t="str">
        <f>IF(E59=0,"","A"&amp;E59&amp;"-0")</f>
        <v/>
      </c>
      <c r="G59" s="25"/>
      <c r="H59" s="26"/>
      <c r="I59" s="86"/>
      <c r="J59" s="49"/>
      <c r="K59" s="18"/>
      <c r="L59" s="51"/>
      <c r="M59" s="16"/>
      <c r="N59" s="51"/>
      <c r="O59" s="40"/>
    </row>
    <row r="60" spans="1:15" x14ac:dyDescent="0.15">
      <c r="A60" s="23"/>
      <c r="B60" s="28"/>
      <c r="C60" s="29"/>
      <c r="D60" s="30"/>
      <c r="E60" s="33" t="str">
        <f>IF(E59&gt;0,"下段","")</f>
        <v/>
      </c>
      <c r="F60" s="18" t="str">
        <f>IF(E59=0,"","A"&amp;E59&amp;"-1")</f>
        <v/>
      </c>
      <c r="G60" s="25"/>
      <c r="H60" s="26"/>
      <c r="I60" s="86"/>
      <c r="J60" s="49"/>
      <c r="K60" s="18"/>
      <c r="L60" s="51"/>
      <c r="M60" s="16"/>
      <c r="N60" s="51"/>
      <c r="O60" s="40"/>
    </row>
    <row r="61" spans="1:15" x14ac:dyDescent="0.15">
      <c r="A61" s="23"/>
      <c r="B61" s="28"/>
      <c r="C61" s="29"/>
      <c r="D61" s="30"/>
      <c r="E61" s="33"/>
      <c r="F61" s="18" t="str">
        <f>IF(E59=0,"","B"&amp;E59&amp;"-0")</f>
        <v/>
      </c>
      <c r="G61" s="25"/>
      <c r="H61" s="26"/>
      <c r="I61" s="86"/>
      <c r="J61" s="49"/>
      <c r="K61" s="18"/>
      <c r="L61" s="51"/>
      <c r="M61" s="16"/>
      <c r="N61" s="51"/>
      <c r="O61" s="40"/>
    </row>
    <row r="62" spans="1:15" x14ac:dyDescent="0.15">
      <c r="A62" s="23"/>
      <c r="B62" s="28"/>
      <c r="C62" s="29"/>
      <c r="D62" s="30"/>
      <c r="E62" s="33"/>
      <c r="F62" s="18" t="str">
        <f>IF(E59=0,"","B"&amp;E59&amp;"-1")</f>
        <v/>
      </c>
      <c r="G62" s="25"/>
      <c r="H62" s="26"/>
      <c r="I62" s="86"/>
      <c r="J62" s="49"/>
      <c r="K62" s="18"/>
      <c r="L62" s="51"/>
      <c r="M62" s="16"/>
      <c r="N62" s="51"/>
      <c r="O62" s="40"/>
    </row>
    <row r="63" spans="1:15" x14ac:dyDescent="0.15">
      <c r="A63" s="23"/>
      <c r="B63" s="28"/>
      <c r="C63" s="29"/>
      <c r="D63" s="30"/>
      <c r="E63" s="33"/>
      <c r="F63" s="18" t="str">
        <f>IF(E59=0,"","C"&amp;E59&amp;"-0")</f>
        <v/>
      </c>
      <c r="G63" s="25"/>
      <c r="H63" s="26"/>
      <c r="I63" s="86"/>
      <c r="J63" s="49"/>
      <c r="K63" s="18"/>
      <c r="L63" s="51"/>
      <c r="M63" s="16"/>
      <c r="N63" s="51"/>
      <c r="O63" s="40"/>
    </row>
    <row r="64" spans="1:15" x14ac:dyDescent="0.15">
      <c r="A64" s="24"/>
      <c r="B64" s="34"/>
      <c r="C64" s="35"/>
      <c r="D64" s="36"/>
      <c r="E64" s="37"/>
      <c r="F64" s="18" t="str">
        <f>IF(E59=0,"","C"&amp;E59&amp;"-1")</f>
        <v/>
      </c>
      <c r="G64" s="25"/>
      <c r="H64" s="26"/>
      <c r="I64" s="86"/>
      <c r="J64" s="49"/>
      <c r="K64" s="18"/>
      <c r="L64" s="51"/>
      <c r="M64" s="16"/>
      <c r="N64" s="51"/>
      <c r="O64" s="40"/>
    </row>
    <row r="65" spans="1:15" x14ac:dyDescent="0.15">
      <c r="A65" s="42">
        <f>IF(AND(A53&gt;=1,ROUNDUP($D$3/2,0)&gt;=A53+1),A53+1,0)</f>
        <v>0</v>
      </c>
      <c r="B65" s="43"/>
      <c r="C65" s="44"/>
      <c r="D65" s="45"/>
      <c r="E65" s="27">
        <f>IF(AND(E59&gt;1,$D$3&gt;=E59+1),E59+1,0)</f>
        <v>0</v>
      </c>
      <c r="F65" s="18" t="str">
        <f>IF(E65=0,"","A"&amp;E65&amp;"-0")</f>
        <v/>
      </c>
      <c r="G65" s="25"/>
      <c r="H65" s="26"/>
      <c r="I65" s="86"/>
      <c r="J65" s="48"/>
      <c r="K65" s="18"/>
      <c r="L65" s="51"/>
      <c r="M65" s="16"/>
      <c r="N65" s="51"/>
      <c r="O65" s="40"/>
    </row>
    <row r="66" spans="1:15" x14ac:dyDescent="0.15">
      <c r="A66" s="23"/>
      <c r="B66" s="28"/>
      <c r="C66" s="29"/>
      <c r="D66" s="30"/>
      <c r="E66" s="31" t="str">
        <f>IF(E65&gt;0,"上段","")</f>
        <v/>
      </c>
      <c r="F66" s="18" t="str">
        <f>IF(E65=0,"","A"&amp;E65&amp;"-1")</f>
        <v/>
      </c>
      <c r="G66" s="25"/>
      <c r="H66" s="26"/>
      <c r="I66" s="86"/>
      <c r="J66" s="49"/>
      <c r="K66" s="18"/>
      <c r="L66" s="51"/>
      <c r="M66" s="16"/>
      <c r="N66" s="51"/>
      <c r="O66" s="40"/>
    </row>
    <row r="67" spans="1:15" x14ac:dyDescent="0.15">
      <c r="A67" s="23"/>
      <c r="B67" s="28"/>
      <c r="C67" s="29"/>
      <c r="D67" s="30"/>
      <c r="E67" s="31"/>
      <c r="F67" s="18" t="str">
        <f>IF(E65=0,"","B"&amp;E65&amp;"-0")</f>
        <v/>
      </c>
      <c r="G67" s="25"/>
      <c r="H67" s="26"/>
      <c r="I67" s="86"/>
      <c r="J67" s="49"/>
      <c r="K67" s="18"/>
      <c r="L67" s="51"/>
      <c r="M67" s="16"/>
      <c r="N67" s="51"/>
      <c r="O67" s="40"/>
    </row>
    <row r="68" spans="1:15" x14ac:dyDescent="0.15">
      <c r="A68" s="23"/>
      <c r="B68" s="28"/>
      <c r="C68" s="29"/>
      <c r="D68" s="30"/>
      <c r="E68" s="31"/>
      <c r="F68" s="18" t="str">
        <f>IF(E65=0,"","B"&amp;E65&amp;"-1")</f>
        <v/>
      </c>
      <c r="G68" s="25"/>
      <c r="H68" s="26"/>
      <c r="I68" s="86"/>
      <c r="J68" s="49"/>
      <c r="K68" s="18"/>
      <c r="L68" s="51"/>
      <c r="M68" s="16"/>
      <c r="N68" s="51"/>
      <c r="O68" s="40"/>
    </row>
    <row r="69" spans="1:15" x14ac:dyDescent="0.15">
      <c r="A69" s="23"/>
      <c r="B69" s="28"/>
      <c r="C69" s="29"/>
      <c r="D69" s="30"/>
      <c r="E69" s="31"/>
      <c r="F69" s="18" t="str">
        <f>IF(E65=0,"","C"&amp;E65&amp;"-0")</f>
        <v/>
      </c>
      <c r="G69" s="25"/>
      <c r="H69" s="26"/>
      <c r="I69" s="86"/>
      <c r="J69" s="49"/>
      <c r="K69" s="18"/>
      <c r="L69" s="51"/>
      <c r="M69" s="16"/>
      <c r="N69" s="51"/>
      <c r="O69" s="40"/>
    </row>
    <row r="70" spans="1:15" x14ac:dyDescent="0.15">
      <c r="A70" s="23"/>
      <c r="B70" s="28"/>
      <c r="C70" s="29"/>
      <c r="D70" s="30"/>
      <c r="E70" s="31"/>
      <c r="F70" s="18" t="str">
        <f>IF(E65=0,"","C"&amp;E65&amp;"-1")</f>
        <v/>
      </c>
      <c r="G70" s="25"/>
      <c r="H70" s="26"/>
      <c r="I70" s="86"/>
      <c r="J70" s="49"/>
      <c r="K70" s="18"/>
      <c r="L70" s="51"/>
      <c r="M70" s="16"/>
      <c r="N70" s="51"/>
      <c r="O70" s="40"/>
    </row>
    <row r="71" spans="1:15" x14ac:dyDescent="0.15">
      <c r="A71" s="23"/>
      <c r="B71" s="28"/>
      <c r="C71" s="29"/>
      <c r="D71" s="30"/>
      <c r="E71" s="32">
        <f>IF(AND(E65&gt;1,$D$3&gt;=E65+1),E65+1,0)</f>
        <v>0</v>
      </c>
      <c r="F71" s="18" t="str">
        <f>IF(E71=0,"","A"&amp;E71&amp;"-0")</f>
        <v/>
      </c>
      <c r="G71" s="25"/>
      <c r="H71" s="26"/>
      <c r="I71" s="86"/>
      <c r="J71" s="49"/>
      <c r="K71" s="18"/>
      <c r="L71" s="51"/>
      <c r="M71" s="16"/>
      <c r="N71" s="51"/>
      <c r="O71" s="40"/>
    </row>
    <row r="72" spans="1:15" x14ac:dyDescent="0.15">
      <c r="A72" s="23"/>
      <c r="B72" s="28"/>
      <c r="C72" s="29"/>
      <c r="D72" s="30"/>
      <c r="E72" s="33" t="str">
        <f>IF(E71&gt;0,"下段","")</f>
        <v/>
      </c>
      <c r="F72" s="18" t="str">
        <f>IF(E71=0,"","A"&amp;E71&amp;"-1")</f>
        <v/>
      </c>
      <c r="G72" s="25"/>
      <c r="H72" s="26"/>
      <c r="I72" s="86"/>
      <c r="J72" s="49"/>
      <c r="K72" s="18"/>
      <c r="L72" s="51"/>
      <c r="M72" s="16"/>
      <c r="N72" s="51"/>
      <c r="O72" s="40"/>
    </row>
    <row r="73" spans="1:15" x14ac:dyDescent="0.15">
      <c r="A73" s="23"/>
      <c r="B73" s="28"/>
      <c r="C73" s="29"/>
      <c r="D73" s="30"/>
      <c r="E73" s="33"/>
      <c r="F73" s="18" t="str">
        <f>IF(E71=0,"","B"&amp;E71&amp;"-0")</f>
        <v/>
      </c>
      <c r="G73" s="25"/>
      <c r="H73" s="26"/>
      <c r="I73" s="86"/>
      <c r="J73" s="49"/>
      <c r="K73" s="18"/>
      <c r="L73" s="51"/>
      <c r="M73" s="16"/>
      <c r="N73" s="51"/>
      <c r="O73" s="40"/>
    </row>
    <row r="74" spans="1:15" x14ac:dyDescent="0.15">
      <c r="A74" s="23"/>
      <c r="B74" s="28"/>
      <c r="C74" s="29"/>
      <c r="D74" s="30"/>
      <c r="E74" s="33"/>
      <c r="F74" s="18" t="str">
        <f>IF(E71=0,"","B"&amp;E71&amp;"-1")</f>
        <v/>
      </c>
      <c r="G74" s="25"/>
      <c r="H74" s="26"/>
      <c r="I74" s="86"/>
      <c r="J74" s="49"/>
      <c r="K74" s="18"/>
      <c r="L74" s="51"/>
      <c r="M74" s="16"/>
      <c r="N74" s="51"/>
      <c r="O74" s="40"/>
    </row>
    <row r="75" spans="1:15" x14ac:dyDescent="0.15">
      <c r="A75" s="23"/>
      <c r="B75" s="28"/>
      <c r="C75" s="29"/>
      <c r="D75" s="30"/>
      <c r="E75" s="33"/>
      <c r="F75" s="18" t="str">
        <f>IF(E71=0,"","C"&amp;E71&amp;"-0")</f>
        <v/>
      </c>
      <c r="G75" s="25"/>
      <c r="H75" s="26"/>
      <c r="I75" s="86"/>
      <c r="J75" s="49"/>
      <c r="K75" s="18"/>
      <c r="L75" s="51"/>
      <c r="M75" s="16"/>
      <c r="N75" s="51"/>
      <c r="O75" s="40"/>
    </row>
    <row r="76" spans="1:15" x14ac:dyDescent="0.15">
      <c r="A76" s="24"/>
      <c r="B76" s="34"/>
      <c r="C76" s="35"/>
      <c r="D76" s="36"/>
      <c r="E76" s="37"/>
      <c r="F76" s="18" t="str">
        <f>IF(E71=0,"","C"&amp;E71&amp;"-1")</f>
        <v/>
      </c>
      <c r="G76" s="25"/>
      <c r="H76" s="26"/>
      <c r="I76" s="86"/>
      <c r="J76" s="49"/>
      <c r="K76" s="18"/>
      <c r="L76" s="51"/>
      <c r="M76" s="16"/>
      <c r="N76" s="51"/>
      <c r="O76" s="40"/>
    </row>
    <row r="77" spans="1:15" x14ac:dyDescent="0.15">
      <c r="A77" s="42">
        <f>IF(AND(A65&gt;=1,ROUNDUP($D$3/2,0)&gt;=A65+1),A65+1,0)</f>
        <v>0</v>
      </c>
      <c r="B77" s="43"/>
      <c r="C77" s="44"/>
      <c r="D77" s="45"/>
      <c r="E77" s="27">
        <f>IF(AND(E71&gt;1,$D$3&gt;=E71+1),E71+1,0)</f>
        <v>0</v>
      </c>
      <c r="F77" s="18" t="str">
        <f>IF(E77=0,"","A"&amp;E77&amp;"-0")</f>
        <v/>
      </c>
      <c r="G77" s="25"/>
      <c r="H77" s="26"/>
      <c r="I77" s="86"/>
      <c r="J77" s="48"/>
      <c r="K77" s="18"/>
      <c r="L77" s="51"/>
      <c r="M77" s="16"/>
      <c r="N77" s="51"/>
      <c r="O77" s="40"/>
    </row>
    <row r="78" spans="1:15" x14ac:dyDescent="0.15">
      <c r="A78" s="23"/>
      <c r="B78" s="28"/>
      <c r="C78" s="29"/>
      <c r="D78" s="30"/>
      <c r="E78" s="31" t="str">
        <f>IF(E77&gt;0,"上段","")</f>
        <v/>
      </c>
      <c r="F78" s="18" t="str">
        <f>IF(E77=0,"","A"&amp;E77&amp;"-1")</f>
        <v/>
      </c>
      <c r="G78" s="25"/>
      <c r="H78" s="26"/>
      <c r="I78" s="86"/>
      <c r="J78" s="49"/>
      <c r="K78" s="18"/>
      <c r="L78" s="51"/>
      <c r="M78" s="16"/>
      <c r="N78" s="51"/>
      <c r="O78" s="40"/>
    </row>
    <row r="79" spans="1:15" x14ac:dyDescent="0.15">
      <c r="A79" s="23"/>
      <c r="B79" s="28"/>
      <c r="C79" s="29"/>
      <c r="D79" s="30"/>
      <c r="E79" s="31"/>
      <c r="F79" s="18" t="str">
        <f>IF(E77=0,"","B"&amp;E77&amp;"-0")</f>
        <v/>
      </c>
      <c r="G79" s="25"/>
      <c r="H79" s="26"/>
      <c r="I79" s="86"/>
      <c r="J79" s="49"/>
      <c r="K79" s="18"/>
      <c r="L79" s="51"/>
      <c r="M79" s="16"/>
      <c r="N79" s="51"/>
      <c r="O79" s="40"/>
    </row>
    <row r="80" spans="1:15" x14ac:dyDescent="0.15">
      <c r="A80" s="23"/>
      <c r="B80" s="28"/>
      <c r="C80" s="29"/>
      <c r="D80" s="30"/>
      <c r="E80" s="31"/>
      <c r="F80" s="18" t="str">
        <f>IF(E77=0,"","B"&amp;E77&amp;"-1")</f>
        <v/>
      </c>
      <c r="G80" s="25"/>
      <c r="H80" s="26"/>
      <c r="I80" s="86"/>
      <c r="J80" s="49"/>
      <c r="K80" s="18"/>
      <c r="L80" s="51"/>
      <c r="M80" s="16"/>
      <c r="N80" s="51"/>
      <c r="O80" s="40"/>
    </row>
    <row r="81" spans="1:15" x14ac:dyDescent="0.15">
      <c r="A81" s="23"/>
      <c r="B81" s="28"/>
      <c r="C81" s="29"/>
      <c r="D81" s="30"/>
      <c r="E81" s="31"/>
      <c r="F81" s="18" t="str">
        <f>IF(E77=0,"","C"&amp;E77&amp;"-0")</f>
        <v/>
      </c>
      <c r="G81" s="25"/>
      <c r="H81" s="26"/>
      <c r="I81" s="86"/>
      <c r="J81" s="49"/>
      <c r="K81" s="18"/>
      <c r="L81" s="51"/>
      <c r="M81" s="16"/>
      <c r="N81" s="51"/>
      <c r="O81" s="40"/>
    </row>
    <row r="82" spans="1:15" x14ac:dyDescent="0.15">
      <c r="A82" s="23"/>
      <c r="B82" s="28"/>
      <c r="C82" s="29"/>
      <c r="D82" s="30"/>
      <c r="E82" s="31"/>
      <c r="F82" s="18" t="str">
        <f>IF(E77=0,"","C"&amp;E77&amp;"-1")</f>
        <v/>
      </c>
      <c r="G82" s="25"/>
      <c r="H82" s="26"/>
      <c r="I82" s="86"/>
      <c r="J82" s="49"/>
      <c r="K82" s="18"/>
      <c r="L82" s="51"/>
      <c r="M82" s="16"/>
      <c r="N82" s="51"/>
      <c r="O82" s="40"/>
    </row>
    <row r="83" spans="1:15" x14ac:dyDescent="0.15">
      <c r="A83" s="23"/>
      <c r="B83" s="28"/>
      <c r="C83" s="29"/>
      <c r="D83" s="30"/>
      <c r="E83" s="32">
        <f>IF(AND(E77&gt;1,$D$3&gt;=E77+1),E77+1,0)</f>
        <v>0</v>
      </c>
      <c r="F83" s="18" t="str">
        <f>IF(E83=0,"","A"&amp;E83&amp;"-0")</f>
        <v/>
      </c>
      <c r="G83" s="25"/>
      <c r="H83" s="26"/>
      <c r="I83" s="86"/>
      <c r="J83" s="49"/>
      <c r="K83" s="18"/>
      <c r="L83" s="51"/>
      <c r="M83" s="16"/>
      <c r="N83" s="51"/>
      <c r="O83" s="40"/>
    </row>
    <row r="84" spans="1:15" x14ac:dyDescent="0.15">
      <c r="A84" s="23"/>
      <c r="B84" s="28"/>
      <c r="C84" s="29"/>
      <c r="D84" s="30"/>
      <c r="E84" s="33" t="str">
        <f>IF(E83&gt;0,"下段","")</f>
        <v/>
      </c>
      <c r="F84" s="18" t="str">
        <f>IF(E83=0,"","A"&amp;E83&amp;"-1")</f>
        <v/>
      </c>
      <c r="G84" s="25"/>
      <c r="H84" s="26"/>
      <c r="I84" s="86"/>
      <c r="J84" s="49"/>
      <c r="K84" s="18"/>
      <c r="L84" s="51"/>
      <c r="M84" s="16"/>
      <c r="N84" s="51"/>
      <c r="O84" s="40"/>
    </row>
    <row r="85" spans="1:15" x14ac:dyDescent="0.15">
      <c r="A85" s="23"/>
      <c r="B85" s="28"/>
      <c r="C85" s="29"/>
      <c r="D85" s="30"/>
      <c r="E85" s="33"/>
      <c r="F85" s="18" t="str">
        <f>IF(E83=0,"","B"&amp;E83&amp;"-0")</f>
        <v/>
      </c>
      <c r="G85" s="25"/>
      <c r="H85" s="26"/>
      <c r="I85" s="86"/>
      <c r="J85" s="49"/>
      <c r="K85" s="18"/>
      <c r="L85" s="51"/>
      <c r="M85" s="16"/>
      <c r="N85" s="51"/>
      <c r="O85" s="40"/>
    </row>
    <row r="86" spans="1:15" x14ac:dyDescent="0.15">
      <c r="A86" s="23"/>
      <c r="B86" s="28"/>
      <c r="C86" s="29"/>
      <c r="D86" s="30"/>
      <c r="E86" s="33"/>
      <c r="F86" s="18" t="str">
        <f>IF(E83=0,"","B"&amp;E83&amp;"-1")</f>
        <v/>
      </c>
      <c r="G86" s="25"/>
      <c r="H86" s="26"/>
      <c r="I86" s="86"/>
      <c r="J86" s="49"/>
      <c r="K86" s="18"/>
      <c r="L86" s="51"/>
      <c r="M86" s="16"/>
      <c r="N86" s="51"/>
      <c r="O86" s="40"/>
    </row>
    <row r="87" spans="1:15" x14ac:dyDescent="0.15">
      <c r="A87" s="23"/>
      <c r="B87" s="28"/>
      <c r="C87" s="29"/>
      <c r="D87" s="30"/>
      <c r="E87" s="33"/>
      <c r="F87" s="18" t="str">
        <f>IF(E83=0,"","C"&amp;E83&amp;"-0")</f>
        <v/>
      </c>
      <c r="G87" s="25"/>
      <c r="H87" s="26"/>
      <c r="I87" s="86"/>
      <c r="J87" s="49"/>
      <c r="K87" s="18"/>
      <c r="L87" s="51"/>
      <c r="M87" s="16"/>
      <c r="N87" s="51"/>
      <c r="O87" s="40"/>
    </row>
    <row r="88" spans="1:15" x14ac:dyDescent="0.15">
      <c r="A88" s="24"/>
      <c r="B88" s="34"/>
      <c r="C88" s="35"/>
      <c r="D88" s="36"/>
      <c r="E88" s="37"/>
      <c r="F88" s="18" t="str">
        <f>IF(E83=0,"","C"&amp;E83&amp;"-1")</f>
        <v/>
      </c>
      <c r="G88" s="25"/>
      <c r="H88" s="26"/>
      <c r="I88" s="86"/>
      <c r="J88" s="49"/>
      <c r="K88" s="18"/>
      <c r="L88" s="51"/>
      <c r="M88" s="16"/>
      <c r="N88" s="51"/>
      <c r="O88" s="40"/>
    </row>
    <row r="89" spans="1:15" x14ac:dyDescent="0.15">
      <c r="A89" s="42">
        <f>IF(AND(A77&gt;=1,ROUNDUP($D$3/2,0)&gt;=A77+1),A77+1,0)</f>
        <v>0</v>
      </c>
      <c r="B89" s="43"/>
      <c r="C89" s="44"/>
      <c r="D89" s="45"/>
      <c r="E89" s="27">
        <f>IF(AND(E83&gt;1,$D$3&gt;=E83+1),E83+1,0)</f>
        <v>0</v>
      </c>
      <c r="F89" s="18" t="str">
        <f>IF(E89=0,"","A"&amp;E89&amp;"-0")</f>
        <v/>
      </c>
      <c r="G89" s="25"/>
      <c r="H89" s="26"/>
      <c r="I89" s="86"/>
      <c r="J89" s="48"/>
      <c r="K89" s="18"/>
      <c r="L89" s="51"/>
      <c r="M89" s="16"/>
      <c r="N89" s="51"/>
      <c r="O89" s="40"/>
    </row>
    <row r="90" spans="1:15" x14ac:dyDescent="0.15">
      <c r="A90" s="23"/>
      <c r="B90" s="28"/>
      <c r="C90" s="29"/>
      <c r="D90" s="30"/>
      <c r="E90" s="31" t="str">
        <f>IF(E89&gt;0,"上段","")</f>
        <v/>
      </c>
      <c r="F90" s="18" t="str">
        <f>IF(E89=0,"","A"&amp;E89&amp;"-1")</f>
        <v/>
      </c>
      <c r="G90" s="25"/>
      <c r="H90" s="26"/>
      <c r="I90" s="86"/>
      <c r="J90" s="49"/>
      <c r="K90" s="18"/>
      <c r="L90" s="51"/>
      <c r="M90" s="16"/>
      <c r="N90" s="51"/>
      <c r="O90" s="40"/>
    </row>
    <row r="91" spans="1:15" x14ac:dyDescent="0.15">
      <c r="A91" s="23"/>
      <c r="B91" s="28"/>
      <c r="C91" s="29"/>
      <c r="D91" s="30"/>
      <c r="E91" s="31"/>
      <c r="F91" s="18" t="str">
        <f>IF(E89=0,"","B"&amp;E89&amp;"-0")</f>
        <v/>
      </c>
      <c r="G91" s="25"/>
      <c r="H91" s="26"/>
      <c r="I91" s="86"/>
      <c r="J91" s="49"/>
      <c r="K91" s="18"/>
      <c r="L91" s="51"/>
      <c r="M91" s="16"/>
      <c r="N91" s="51"/>
      <c r="O91" s="40"/>
    </row>
    <row r="92" spans="1:15" x14ac:dyDescent="0.15">
      <c r="A92" s="23"/>
      <c r="B92" s="28"/>
      <c r="C92" s="29"/>
      <c r="D92" s="30"/>
      <c r="E92" s="31"/>
      <c r="F92" s="18" t="str">
        <f>IF(E89=0,"","B"&amp;E89&amp;"-1")</f>
        <v/>
      </c>
      <c r="G92" s="25"/>
      <c r="H92" s="26"/>
      <c r="I92" s="86"/>
      <c r="J92" s="49"/>
      <c r="K92" s="18"/>
      <c r="L92" s="51"/>
      <c r="M92" s="16"/>
      <c r="N92" s="51"/>
      <c r="O92" s="40"/>
    </row>
    <row r="93" spans="1:15" x14ac:dyDescent="0.15">
      <c r="A93" s="23"/>
      <c r="B93" s="28"/>
      <c r="C93" s="29"/>
      <c r="D93" s="30"/>
      <c r="E93" s="31"/>
      <c r="F93" s="18" t="str">
        <f>IF(E89=0,"","C"&amp;E89&amp;"-0")</f>
        <v/>
      </c>
      <c r="G93" s="25"/>
      <c r="H93" s="26"/>
      <c r="I93" s="86"/>
      <c r="J93" s="49"/>
      <c r="K93" s="18"/>
      <c r="L93" s="51"/>
      <c r="M93" s="16"/>
      <c r="N93" s="51"/>
      <c r="O93" s="40"/>
    </row>
    <row r="94" spans="1:15" x14ac:dyDescent="0.15">
      <c r="A94" s="23"/>
      <c r="B94" s="28"/>
      <c r="C94" s="29"/>
      <c r="D94" s="30"/>
      <c r="E94" s="31"/>
      <c r="F94" s="18" t="str">
        <f>IF(E89=0,"","C"&amp;E89&amp;"-1")</f>
        <v/>
      </c>
      <c r="G94" s="25"/>
      <c r="H94" s="26"/>
      <c r="I94" s="86"/>
      <c r="J94" s="49"/>
      <c r="K94" s="18"/>
      <c r="L94" s="51"/>
      <c r="M94" s="16"/>
      <c r="N94" s="51"/>
      <c r="O94" s="40"/>
    </row>
    <row r="95" spans="1:15" x14ac:dyDescent="0.15">
      <c r="A95" s="23"/>
      <c r="B95" s="28"/>
      <c r="C95" s="29"/>
      <c r="D95" s="30"/>
      <c r="E95" s="32">
        <f>IF(AND(E89&gt;1,$D$3&gt;=E89+1),E89+1,0)</f>
        <v>0</v>
      </c>
      <c r="F95" s="18" t="str">
        <f>IF(E95=0,"","A"&amp;E95&amp;"-0")</f>
        <v/>
      </c>
      <c r="G95" s="25"/>
      <c r="H95" s="26"/>
      <c r="I95" s="86"/>
      <c r="J95" s="49"/>
      <c r="K95" s="18"/>
      <c r="L95" s="51"/>
      <c r="M95" s="16"/>
      <c r="N95" s="51"/>
      <c r="O95" s="40"/>
    </row>
    <row r="96" spans="1:15" x14ac:dyDescent="0.15">
      <c r="A96" s="23"/>
      <c r="B96" s="28"/>
      <c r="C96" s="29"/>
      <c r="D96" s="30"/>
      <c r="E96" s="33" t="str">
        <f>IF(E95&gt;0,"下段","")</f>
        <v/>
      </c>
      <c r="F96" s="18" t="str">
        <f>IF(E95=0,"","A"&amp;E95&amp;"-1")</f>
        <v/>
      </c>
      <c r="G96" s="25"/>
      <c r="H96" s="26"/>
      <c r="I96" s="86"/>
      <c r="J96" s="49"/>
      <c r="K96" s="18"/>
      <c r="L96" s="51"/>
      <c r="M96" s="16"/>
      <c r="N96" s="51"/>
      <c r="O96" s="40"/>
    </row>
    <row r="97" spans="1:15" x14ac:dyDescent="0.15">
      <c r="A97" s="23"/>
      <c r="B97" s="28"/>
      <c r="C97" s="29"/>
      <c r="D97" s="30"/>
      <c r="E97" s="33"/>
      <c r="F97" s="18" t="str">
        <f>IF(E95=0,"","B"&amp;E95&amp;"-0")</f>
        <v/>
      </c>
      <c r="G97" s="25"/>
      <c r="H97" s="26"/>
      <c r="I97" s="86"/>
      <c r="J97" s="49"/>
      <c r="K97" s="18"/>
      <c r="L97" s="51"/>
      <c r="M97" s="16"/>
      <c r="N97" s="51"/>
      <c r="O97" s="40"/>
    </row>
    <row r="98" spans="1:15" x14ac:dyDescent="0.15">
      <c r="A98" s="23"/>
      <c r="B98" s="28"/>
      <c r="C98" s="29"/>
      <c r="D98" s="30"/>
      <c r="E98" s="33"/>
      <c r="F98" s="18" t="str">
        <f>IF(E95=0,"","B"&amp;E95&amp;"-1")</f>
        <v/>
      </c>
      <c r="G98" s="25"/>
      <c r="H98" s="26"/>
      <c r="I98" s="86"/>
      <c r="J98" s="49"/>
      <c r="K98" s="18"/>
      <c r="L98" s="51"/>
      <c r="M98" s="16"/>
      <c r="N98" s="51"/>
      <c r="O98" s="40"/>
    </row>
    <row r="99" spans="1:15" x14ac:dyDescent="0.15">
      <c r="A99" s="23"/>
      <c r="B99" s="28"/>
      <c r="C99" s="29"/>
      <c r="D99" s="30"/>
      <c r="E99" s="33"/>
      <c r="F99" s="18" t="str">
        <f>IF(E95=0,"","C"&amp;E95&amp;"-0")</f>
        <v/>
      </c>
      <c r="G99" s="25"/>
      <c r="H99" s="26"/>
      <c r="I99" s="86"/>
      <c r="J99" s="49"/>
      <c r="K99" s="18"/>
      <c r="L99" s="51"/>
      <c r="M99" s="16"/>
      <c r="N99" s="51"/>
      <c r="O99" s="40"/>
    </row>
    <row r="100" spans="1:15" x14ac:dyDescent="0.15">
      <c r="A100" s="24"/>
      <c r="B100" s="34"/>
      <c r="C100" s="35"/>
      <c r="D100" s="36"/>
      <c r="E100" s="37"/>
      <c r="F100" s="18" t="str">
        <f>IF(E95=0,"","C"&amp;E95&amp;"-1")</f>
        <v/>
      </c>
      <c r="G100" s="25"/>
      <c r="H100" s="26"/>
      <c r="I100" s="86"/>
      <c r="J100" s="49"/>
      <c r="K100" s="18"/>
      <c r="L100" s="51"/>
      <c r="M100" s="16"/>
      <c r="N100" s="51"/>
      <c r="O100" s="40"/>
    </row>
    <row r="101" spans="1:15" x14ac:dyDescent="0.15">
      <c r="A101" s="42">
        <f>IF(AND(A89&gt;=1,ROUNDUP($D$3/2,0)&gt;=A89+1),A89+1,0)</f>
        <v>0</v>
      </c>
      <c r="B101" s="43"/>
      <c r="C101" s="44"/>
      <c r="D101" s="45"/>
      <c r="E101" s="27">
        <f>IF(AND(E95&gt;1,$D$3&gt;=E95+1),E95+1,0)</f>
        <v>0</v>
      </c>
      <c r="F101" s="18" t="str">
        <f>IF(E101=0,"","A"&amp;E101&amp;"-0")</f>
        <v/>
      </c>
      <c r="G101" s="25"/>
      <c r="H101" s="26"/>
      <c r="I101" s="86"/>
      <c r="J101" s="48"/>
      <c r="K101" s="18"/>
      <c r="L101" s="51"/>
      <c r="M101" s="16"/>
      <c r="N101" s="51"/>
      <c r="O101" s="40"/>
    </row>
    <row r="102" spans="1:15" x14ac:dyDescent="0.15">
      <c r="A102" s="23"/>
      <c r="B102" s="28"/>
      <c r="C102" s="29"/>
      <c r="D102" s="30"/>
      <c r="E102" s="31" t="str">
        <f>IF(E101&gt;0,"上段","")</f>
        <v/>
      </c>
      <c r="F102" s="18" t="str">
        <f>IF(E101=0,"","A"&amp;E101&amp;"-1")</f>
        <v/>
      </c>
      <c r="G102" s="25"/>
      <c r="H102" s="26"/>
      <c r="I102" s="86"/>
      <c r="J102" s="49"/>
      <c r="K102" s="18"/>
      <c r="L102" s="51"/>
      <c r="M102" s="16"/>
      <c r="N102" s="51"/>
      <c r="O102" s="40"/>
    </row>
    <row r="103" spans="1:15" x14ac:dyDescent="0.15">
      <c r="A103" s="23"/>
      <c r="B103" s="28"/>
      <c r="C103" s="29"/>
      <c r="D103" s="30"/>
      <c r="E103" s="31"/>
      <c r="F103" s="18" t="str">
        <f>IF(E101=0,"","B"&amp;E101&amp;"-0")</f>
        <v/>
      </c>
      <c r="G103" s="25"/>
      <c r="H103" s="26"/>
      <c r="I103" s="86"/>
      <c r="J103" s="49"/>
      <c r="K103" s="18"/>
      <c r="L103" s="51"/>
      <c r="M103" s="16"/>
      <c r="N103" s="51"/>
      <c r="O103" s="40"/>
    </row>
    <row r="104" spans="1:15" x14ac:dyDescent="0.15">
      <c r="A104" s="23"/>
      <c r="B104" s="28"/>
      <c r="C104" s="29"/>
      <c r="D104" s="30"/>
      <c r="E104" s="31"/>
      <c r="F104" s="18" t="str">
        <f>IF(E101=0,"","B"&amp;E101&amp;"-1")</f>
        <v/>
      </c>
      <c r="G104" s="25"/>
      <c r="H104" s="26"/>
      <c r="I104" s="86"/>
      <c r="J104" s="49"/>
      <c r="K104" s="18"/>
      <c r="L104" s="51"/>
      <c r="M104" s="16"/>
      <c r="N104" s="51"/>
      <c r="O104" s="40"/>
    </row>
    <row r="105" spans="1:15" x14ac:dyDescent="0.15">
      <c r="A105" s="23"/>
      <c r="B105" s="28"/>
      <c r="C105" s="29"/>
      <c r="D105" s="30"/>
      <c r="E105" s="31"/>
      <c r="F105" s="18" t="str">
        <f>IF(E101=0,"","C"&amp;E101&amp;"-0")</f>
        <v/>
      </c>
      <c r="G105" s="25"/>
      <c r="H105" s="26"/>
      <c r="I105" s="86"/>
      <c r="J105" s="49"/>
      <c r="K105" s="18"/>
      <c r="L105" s="51"/>
      <c r="M105" s="16"/>
      <c r="N105" s="51"/>
      <c r="O105" s="40"/>
    </row>
    <row r="106" spans="1:15" x14ac:dyDescent="0.15">
      <c r="A106" s="23"/>
      <c r="B106" s="28"/>
      <c r="C106" s="29"/>
      <c r="D106" s="30"/>
      <c r="E106" s="31"/>
      <c r="F106" s="18" t="str">
        <f>IF(E101=0,"","C"&amp;E101&amp;"-1")</f>
        <v/>
      </c>
      <c r="G106" s="25"/>
      <c r="H106" s="26"/>
      <c r="I106" s="86"/>
      <c r="J106" s="49"/>
      <c r="K106" s="18"/>
      <c r="L106" s="51"/>
      <c r="M106" s="16"/>
      <c r="N106" s="51"/>
      <c r="O106" s="40"/>
    </row>
    <row r="107" spans="1:15" x14ac:dyDescent="0.15">
      <c r="A107" s="23"/>
      <c r="B107" s="28"/>
      <c r="C107" s="29"/>
      <c r="D107" s="30"/>
      <c r="E107" s="32">
        <f>IF(AND(E101&gt;1,$D$3&gt;=E101+1),E101+1,0)</f>
        <v>0</v>
      </c>
      <c r="F107" s="18" t="str">
        <f>IF(E107=0,"","A"&amp;E107&amp;"-0")</f>
        <v/>
      </c>
      <c r="G107" s="25"/>
      <c r="H107" s="26"/>
      <c r="I107" s="86"/>
      <c r="J107" s="49"/>
      <c r="K107" s="18"/>
      <c r="L107" s="51"/>
      <c r="M107" s="16"/>
      <c r="N107" s="51"/>
      <c r="O107" s="40"/>
    </row>
    <row r="108" spans="1:15" x14ac:dyDescent="0.15">
      <c r="A108" s="23"/>
      <c r="B108" s="28"/>
      <c r="C108" s="29"/>
      <c r="D108" s="30"/>
      <c r="E108" s="33" t="str">
        <f>IF(E107&gt;0,"下段","")</f>
        <v/>
      </c>
      <c r="F108" s="18" t="str">
        <f>IF(E107=0,"","A"&amp;E107&amp;"-1")</f>
        <v/>
      </c>
      <c r="G108" s="25"/>
      <c r="H108" s="26"/>
      <c r="I108" s="86"/>
      <c r="J108" s="49"/>
      <c r="K108" s="18"/>
      <c r="L108" s="51"/>
      <c r="M108" s="16"/>
      <c r="N108" s="51"/>
      <c r="O108" s="40"/>
    </row>
    <row r="109" spans="1:15" x14ac:dyDescent="0.15">
      <c r="A109" s="23"/>
      <c r="B109" s="28"/>
      <c r="C109" s="29"/>
      <c r="D109" s="30"/>
      <c r="E109" s="33"/>
      <c r="F109" s="18" t="str">
        <f>IF(E107=0,"","B"&amp;E107&amp;"-0")</f>
        <v/>
      </c>
      <c r="G109" s="25"/>
      <c r="H109" s="26"/>
      <c r="I109" s="86"/>
      <c r="J109" s="49"/>
      <c r="K109" s="18"/>
      <c r="L109" s="51"/>
      <c r="M109" s="16"/>
      <c r="N109" s="51"/>
      <c r="O109" s="40"/>
    </row>
    <row r="110" spans="1:15" x14ac:dyDescent="0.15">
      <c r="A110" s="23"/>
      <c r="B110" s="28"/>
      <c r="C110" s="29"/>
      <c r="D110" s="30"/>
      <c r="E110" s="33"/>
      <c r="F110" s="18" t="str">
        <f>IF(E107=0,"","B"&amp;E107&amp;"-1")</f>
        <v/>
      </c>
      <c r="G110" s="25"/>
      <c r="H110" s="26"/>
      <c r="I110" s="86"/>
      <c r="J110" s="49"/>
      <c r="K110" s="18"/>
      <c r="L110" s="51"/>
      <c r="M110" s="16"/>
      <c r="N110" s="51"/>
      <c r="O110" s="40"/>
    </row>
    <row r="111" spans="1:15" x14ac:dyDescent="0.15">
      <c r="A111" s="23"/>
      <c r="B111" s="28"/>
      <c r="C111" s="29"/>
      <c r="D111" s="30"/>
      <c r="E111" s="33"/>
      <c r="F111" s="18" t="str">
        <f>IF(E107=0,"","C"&amp;E107&amp;"-0")</f>
        <v/>
      </c>
      <c r="G111" s="25"/>
      <c r="H111" s="26"/>
      <c r="I111" s="86"/>
      <c r="J111" s="49"/>
      <c r="K111" s="18"/>
      <c r="L111" s="51"/>
      <c r="M111" s="16"/>
      <c r="N111" s="51"/>
      <c r="O111" s="40"/>
    </row>
    <row r="112" spans="1:15" x14ac:dyDescent="0.15">
      <c r="A112" s="24"/>
      <c r="B112" s="34"/>
      <c r="C112" s="35"/>
      <c r="D112" s="36"/>
      <c r="E112" s="37"/>
      <c r="F112" s="18" t="str">
        <f>IF(E107=0,"","C"&amp;E107&amp;"-1")</f>
        <v/>
      </c>
      <c r="G112" s="25"/>
      <c r="H112" s="26"/>
      <c r="I112" s="86"/>
      <c r="J112" s="49"/>
      <c r="K112" s="18"/>
      <c r="L112" s="51"/>
      <c r="M112" s="16"/>
      <c r="N112" s="51"/>
      <c r="O112" s="40"/>
    </row>
    <row r="113" spans="1:15" x14ac:dyDescent="0.15">
      <c r="A113" s="42">
        <f>IF(AND(A101&gt;=1,ROUNDUP($D$3/2,0)&gt;=A101+1),A101+1,0)</f>
        <v>0</v>
      </c>
      <c r="B113" s="43"/>
      <c r="C113" s="44"/>
      <c r="D113" s="45"/>
      <c r="E113" s="27">
        <f>IF(AND(E107&gt;1,$D$3&gt;=E107+1),E107+1,0)</f>
        <v>0</v>
      </c>
      <c r="F113" s="18" t="str">
        <f>IF(E113=0,"","A"&amp;E113&amp;"-0")</f>
        <v/>
      </c>
      <c r="G113" s="25"/>
      <c r="H113" s="26"/>
      <c r="I113" s="86"/>
      <c r="J113" s="48"/>
      <c r="K113" s="18"/>
      <c r="L113" s="51"/>
      <c r="M113" s="16"/>
      <c r="N113" s="51"/>
      <c r="O113" s="40"/>
    </row>
    <row r="114" spans="1:15" x14ac:dyDescent="0.15">
      <c r="A114" s="23"/>
      <c r="B114" s="28"/>
      <c r="C114" s="29"/>
      <c r="D114" s="30"/>
      <c r="E114" s="31" t="str">
        <f>IF(E113&gt;0,"上段","")</f>
        <v/>
      </c>
      <c r="F114" s="18" t="str">
        <f>IF(E113=0,"","A"&amp;E113&amp;"-1")</f>
        <v/>
      </c>
      <c r="G114" s="25"/>
      <c r="H114" s="26"/>
      <c r="I114" s="86"/>
      <c r="J114" s="49"/>
      <c r="K114" s="18"/>
      <c r="L114" s="51"/>
      <c r="M114" s="16"/>
      <c r="N114" s="51"/>
      <c r="O114" s="40"/>
    </row>
    <row r="115" spans="1:15" x14ac:dyDescent="0.15">
      <c r="A115" s="23"/>
      <c r="B115" s="28"/>
      <c r="C115" s="29"/>
      <c r="D115" s="30"/>
      <c r="E115" s="31"/>
      <c r="F115" s="18" t="str">
        <f>IF(E113=0,"","B"&amp;E113&amp;"-0")</f>
        <v/>
      </c>
      <c r="G115" s="25"/>
      <c r="H115" s="26"/>
      <c r="I115" s="86"/>
      <c r="J115" s="49"/>
      <c r="K115" s="18"/>
      <c r="L115" s="51"/>
      <c r="M115" s="16"/>
      <c r="N115" s="51"/>
      <c r="O115" s="40"/>
    </row>
    <row r="116" spans="1:15" x14ac:dyDescent="0.15">
      <c r="A116" s="23"/>
      <c r="B116" s="28"/>
      <c r="C116" s="29"/>
      <c r="D116" s="30"/>
      <c r="E116" s="31"/>
      <c r="F116" s="18" t="str">
        <f>IF(E113=0,"","B"&amp;E113&amp;"-1")</f>
        <v/>
      </c>
      <c r="G116" s="25"/>
      <c r="H116" s="26"/>
      <c r="I116" s="86"/>
      <c r="J116" s="49"/>
      <c r="K116" s="18"/>
      <c r="L116" s="51"/>
      <c r="M116" s="16"/>
      <c r="N116" s="51"/>
      <c r="O116" s="40"/>
    </row>
    <row r="117" spans="1:15" x14ac:dyDescent="0.15">
      <c r="A117" s="23"/>
      <c r="B117" s="28"/>
      <c r="C117" s="29"/>
      <c r="D117" s="30"/>
      <c r="E117" s="31"/>
      <c r="F117" s="18" t="str">
        <f>IF(E113=0,"","C"&amp;E113&amp;"-0")</f>
        <v/>
      </c>
      <c r="G117" s="25"/>
      <c r="H117" s="26"/>
      <c r="I117" s="86"/>
      <c r="J117" s="49"/>
      <c r="K117" s="18"/>
      <c r="L117" s="51"/>
      <c r="M117" s="16"/>
      <c r="N117" s="51"/>
      <c r="O117" s="40"/>
    </row>
    <row r="118" spans="1:15" x14ac:dyDescent="0.15">
      <c r="A118" s="23"/>
      <c r="B118" s="28"/>
      <c r="C118" s="29"/>
      <c r="D118" s="30"/>
      <c r="E118" s="31"/>
      <c r="F118" s="18" t="str">
        <f>IF(E113=0,"","C"&amp;E113&amp;"-1")</f>
        <v/>
      </c>
      <c r="G118" s="25"/>
      <c r="H118" s="26"/>
      <c r="I118" s="86"/>
      <c r="J118" s="49"/>
      <c r="K118" s="18"/>
      <c r="L118" s="51"/>
      <c r="M118" s="16"/>
      <c r="N118" s="51"/>
      <c r="O118" s="40"/>
    </row>
    <row r="119" spans="1:15" x14ac:dyDescent="0.15">
      <c r="A119" s="23"/>
      <c r="B119" s="28"/>
      <c r="C119" s="29"/>
      <c r="D119" s="30"/>
      <c r="E119" s="32">
        <f>IF(AND(E113&gt;1,$D$3&gt;=E113+1),E113+1,0)</f>
        <v>0</v>
      </c>
      <c r="F119" s="18" t="str">
        <f>IF(E119=0,"","A"&amp;E119&amp;"-0")</f>
        <v/>
      </c>
      <c r="G119" s="25"/>
      <c r="H119" s="26"/>
      <c r="I119" s="86"/>
      <c r="J119" s="49"/>
      <c r="K119" s="18"/>
      <c r="L119" s="51"/>
      <c r="M119" s="16"/>
      <c r="N119" s="51"/>
      <c r="O119" s="40"/>
    </row>
    <row r="120" spans="1:15" x14ac:dyDescent="0.15">
      <c r="A120" s="23"/>
      <c r="B120" s="28"/>
      <c r="C120" s="29"/>
      <c r="D120" s="30"/>
      <c r="E120" s="33" t="str">
        <f>IF(E119&gt;0,"下段","")</f>
        <v/>
      </c>
      <c r="F120" s="18" t="str">
        <f>IF(E119=0,"","A"&amp;E119&amp;"-1")</f>
        <v/>
      </c>
      <c r="G120" s="25"/>
      <c r="H120" s="26"/>
      <c r="I120" s="86"/>
      <c r="J120" s="49"/>
      <c r="K120" s="18"/>
      <c r="L120" s="51"/>
      <c r="M120" s="16"/>
      <c r="N120" s="51"/>
      <c r="O120" s="40"/>
    </row>
    <row r="121" spans="1:15" x14ac:dyDescent="0.15">
      <c r="A121" s="23"/>
      <c r="B121" s="28"/>
      <c r="C121" s="29"/>
      <c r="D121" s="30"/>
      <c r="E121" s="33"/>
      <c r="F121" s="18" t="str">
        <f>IF(E119=0,"","B"&amp;E119&amp;"-0")</f>
        <v/>
      </c>
      <c r="G121" s="25"/>
      <c r="H121" s="26"/>
      <c r="I121" s="86"/>
      <c r="J121" s="49"/>
      <c r="K121" s="18"/>
      <c r="L121" s="51"/>
      <c r="M121" s="16"/>
      <c r="N121" s="51"/>
      <c r="O121" s="40"/>
    </row>
    <row r="122" spans="1:15" x14ac:dyDescent="0.15">
      <c r="A122" s="23"/>
      <c r="B122" s="28"/>
      <c r="C122" s="29"/>
      <c r="D122" s="30"/>
      <c r="E122" s="33"/>
      <c r="F122" s="18" t="str">
        <f>IF(E119=0,"","B"&amp;E119&amp;"-1")</f>
        <v/>
      </c>
      <c r="G122" s="25"/>
      <c r="H122" s="26"/>
      <c r="I122" s="86"/>
      <c r="J122" s="49"/>
      <c r="K122" s="18"/>
      <c r="L122" s="51"/>
      <c r="M122" s="16"/>
      <c r="N122" s="51"/>
      <c r="O122" s="40"/>
    </row>
    <row r="123" spans="1:15" x14ac:dyDescent="0.15">
      <c r="A123" s="23"/>
      <c r="B123" s="28"/>
      <c r="C123" s="29"/>
      <c r="D123" s="30"/>
      <c r="E123" s="33"/>
      <c r="F123" s="18" t="str">
        <f>IF(E119=0,"","C"&amp;E119&amp;"-0")</f>
        <v/>
      </c>
      <c r="G123" s="25"/>
      <c r="H123" s="26"/>
      <c r="I123" s="86"/>
      <c r="J123" s="49"/>
      <c r="K123" s="18"/>
      <c r="L123" s="51"/>
      <c r="M123" s="16"/>
      <c r="N123" s="51"/>
      <c r="O123" s="40"/>
    </row>
    <row r="124" spans="1:15" x14ac:dyDescent="0.15">
      <c r="A124" s="24"/>
      <c r="B124" s="34"/>
      <c r="C124" s="35"/>
      <c r="D124" s="36"/>
      <c r="E124" s="37"/>
      <c r="F124" s="18" t="str">
        <f>IF(E119=0,"","C"&amp;E119&amp;"-1")</f>
        <v/>
      </c>
      <c r="G124" s="25"/>
      <c r="H124" s="26"/>
      <c r="I124" s="86"/>
      <c r="J124" s="49"/>
      <c r="K124" s="18"/>
      <c r="L124" s="51"/>
      <c r="M124" s="16"/>
      <c r="N124" s="51"/>
      <c r="O124" s="40"/>
    </row>
    <row r="125" spans="1:15" x14ac:dyDescent="0.15">
      <c r="A125" s="42">
        <f>IF(AND(A113&gt;=1,ROUNDUP($D$3/2,0)&gt;=A113+1),A113+1,0)</f>
        <v>0</v>
      </c>
      <c r="B125" s="43"/>
      <c r="C125" s="44"/>
      <c r="D125" s="45"/>
      <c r="E125" s="27">
        <f>IF(AND(E119&gt;1,$D$3&gt;=E119+1),E119+1,0)</f>
        <v>0</v>
      </c>
      <c r="F125" s="18" t="str">
        <f>IF(E125=0,"","A"&amp;E125&amp;"-0")</f>
        <v/>
      </c>
      <c r="G125" s="25"/>
      <c r="H125" s="26"/>
      <c r="I125" s="86"/>
      <c r="J125" s="48"/>
      <c r="K125" s="18"/>
      <c r="L125" s="51"/>
      <c r="M125" s="16"/>
      <c r="N125" s="51"/>
      <c r="O125" s="40"/>
    </row>
    <row r="126" spans="1:15" x14ac:dyDescent="0.15">
      <c r="A126" s="23"/>
      <c r="B126" s="28"/>
      <c r="C126" s="29"/>
      <c r="D126" s="30"/>
      <c r="E126" s="31" t="str">
        <f>IF(E125&gt;0,"上段","")</f>
        <v/>
      </c>
      <c r="F126" s="18" t="str">
        <f>IF(E125=0,"","A"&amp;E125&amp;"-1")</f>
        <v/>
      </c>
      <c r="G126" s="25"/>
      <c r="H126" s="26"/>
      <c r="I126" s="86"/>
      <c r="J126" s="49"/>
      <c r="K126" s="18"/>
      <c r="L126" s="51"/>
      <c r="M126" s="16"/>
      <c r="N126" s="51"/>
      <c r="O126" s="40"/>
    </row>
    <row r="127" spans="1:15" x14ac:dyDescent="0.15">
      <c r="A127" s="23"/>
      <c r="B127" s="28"/>
      <c r="C127" s="29"/>
      <c r="D127" s="30"/>
      <c r="E127" s="31"/>
      <c r="F127" s="18" t="str">
        <f>IF(E125=0,"","B"&amp;E125&amp;"-0")</f>
        <v/>
      </c>
      <c r="G127" s="25"/>
      <c r="H127" s="26"/>
      <c r="I127" s="86"/>
      <c r="J127" s="49"/>
      <c r="K127" s="18"/>
      <c r="L127" s="51"/>
      <c r="M127" s="16"/>
      <c r="N127" s="51"/>
      <c r="O127" s="40"/>
    </row>
    <row r="128" spans="1:15" x14ac:dyDescent="0.15">
      <c r="A128" s="23"/>
      <c r="B128" s="28"/>
      <c r="C128" s="29"/>
      <c r="D128" s="30"/>
      <c r="E128" s="31"/>
      <c r="F128" s="18" t="str">
        <f>IF(E125=0,"","B"&amp;E125&amp;"-1")</f>
        <v/>
      </c>
      <c r="G128" s="25"/>
      <c r="H128" s="26"/>
      <c r="I128" s="86"/>
      <c r="J128" s="49"/>
      <c r="K128" s="18"/>
      <c r="L128" s="51"/>
      <c r="M128" s="16"/>
      <c r="N128" s="51"/>
      <c r="O128" s="40"/>
    </row>
    <row r="129" spans="1:15" x14ac:dyDescent="0.15">
      <c r="A129" s="23"/>
      <c r="B129" s="28"/>
      <c r="C129" s="29"/>
      <c r="D129" s="30"/>
      <c r="E129" s="31"/>
      <c r="F129" s="18" t="str">
        <f>IF(E125=0,"","C"&amp;E125&amp;"-0")</f>
        <v/>
      </c>
      <c r="G129" s="25"/>
      <c r="H129" s="26"/>
      <c r="I129" s="86"/>
      <c r="J129" s="49"/>
      <c r="K129" s="18"/>
      <c r="L129" s="51"/>
      <c r="M129" s="16"/>
      <c r="N129" s="51"/>
      <c r="O129" s="40"/>
    </row>
    <row r="130" spans="1:15" x14ac:dyDescent="0.15">
      <c r="A130" s="23"/>
      <c r="B130" s="28"/>
      <c r="C130" s="29"/>
      <c r="D130" s="30"/>
      <c r="E130" s="31"/>
      <c r="F130" s="18" t="str">
        <f>IF(E125=0,"","C"&amp;E125&amp;"-1")</f>
        <v/>
      </c>
      <c r="G130" s="25"/>
      <c r="H130" s="26"/>
      <c r="I130" s="86"/>
      <c r="J130" s="49"/>
      <c r="K130" s="18"/>
      <c r="L130" s="51"/>
      <c r="M130" s="16"/>
      <c r="N130" s="51"/>
      <c r="O130" s="40"/>
    </row>
    <row r="131" spans="1:15" x14ac:dyDescent="0.15">
      <c r="A131" s="23"/>
      <c r="B131" s="28"/>
      <c r="C131" s="29"/>
      <c r="D131" s="30"/>
      <c r="E131" s="32">
        <f>IF(AND(E125&gt;1,$D$3&gt;=E125+1),E125+1,0)</f>
        <v>0</v>
      </c>
      <c r="F131" s="18" t="str">
        <f>IF(E131=0,"","A"&amp;E131&amp;"-0")</f>
        <v/>
      </c>
      <c r="G131" s="25"/>
      <c r="H131" s="26"/>
      <c r="I131" s="86"/>
      <c r="J131" s="49"/>
      <c r="K131" s="18"/>
      <c r="L131" s="51"/>
      <c r="M131" s="16"/>
      <c r="N131" s="51"/>
      <c r="O131" s="40"/>
    </row>
    <row r="132" spans="1:15" x14ac:dyDescent="0.15">
      <c r="A132" s="23"/>
      <c r="B132" s="28"/>
      <c r="C132" s="29"/>
      <c r="D132" s="30"/>
      <c r="E132" s="33" t="str">
        <f>IF(E131&gt;0,"下段","")</f>
        <v/>
      </c>
      <c r="F132" s="18" t="str">
        <f>IF(E131=0,"","A"&amp;E131&amp;"-1")</f>
        <v/>
      </c>
      <c r="G132" s="25"/>
      <c r="H132" s="26"/>
      <c r="I132" s="86"/>
      <c r="J132" s="49"/>
      <c r="K132" s="18"/>
      <c r="L132" s="51"/>
      <c r="M132" s="16"/>
      <c r="N132" s="51"/>
      <c r="O132" s="40"/>
    </row>
    <row r="133" spans="1:15" x14ac:dyDescent="0.15">
      <c r="A133" s="23"/>
      <c r="B133" s="28"/>
      <c r="C133" s="29"/>
      <c r="D133" s="30"/>
      <c r="E133" s="33"/>
      <c r="F133" s="18" t="str">
        <f>IF(E131=0,"","B"&amp;E131&amp;"-0")</f>
        <v/>
      </c>
      <c r="G133" s="25"/>
      <c r="H133" s="26"/>
      <c r="I133" s="86"/>
      <c r="J133" s="49"/>
      <c r="K133" s="18"/>
      <c r="L133" s="51"/>
      <c r="M133" s="16"/>
      <c r="N133" s="51"/>
      <c r="O133" s="40"/>
    </row>
    <row r="134" spans="1:15" x14ac:dyDescent="0.15">
      <c r="A134" s="23"/>
      <c r="B134" s="28"/>
      <c r="C134" s="29"/>
      <c r="D134" s="30"/>
      <c r="E134" s="33"/>
      <c r="F134" s="18" t="str">
        <f>IF(E131=0,"","B"&amp;E131&amp;"-1")</f>
        <v/>
      </c>
      <c r="G134" s="25"/>
      <c r="H134" s="26"/>
      <c r="I134" s="86"/>
      <c r="J134" s="49"/>
      <c r="K134" s="18"/>
      <c r="L134" s="51"/>
      <c r="M134" s="16"/>
      <c r="N134" s="51"/>
      <c r="O134" s="40"/>
    </row>
    <row r="135" spans="1:15" x14ac:dyDescent="0.15">
      <c r="A135" s="23"/>
      <c r="B135" s="28"/>
      <c r="C135" s="29"/>
      <c r="D135" s="30"/>
      <c r="E135" s="33"/>
      <c r="F135" s="18" t="str">
        <f>IF(E131=0,"","C"&amp;E131&amp;"-0")</f>
        <v/>
      </c>
      <c r="G135" s="25"/>
      <c r="H135" s="26"/>
      <c r="I135" s="86"/>
      <c r="J135" s="49"/>
      <c r="K135" s="18"/>
      <c r="L135" s="51"/>
      <c r="M135" s="16"/>
      <c r="N135" s="51"/>
      <c r="O135" s="40"/>
    </row>
    <row r="136" spans="1:15" x14ac:dyDescent="0.15">
      <c r="A136" s="24"/>
      <c r="B136" s="34"/>
      <c r="C136" s="35"/>
      <c r="D136" s="36"/>
      <c r="E136" s="37"/>
      <c r="F136" s="18" t="str">
        <f>IF(E131=0,"","C"&amp;E131&amp;"-1")</f>
        <v/>
      </c>
      <c r="G136" s="25"/>
      <c r="H136" s="26"/>
      <c r="I136" s="86"/>
      <c r="J136" s="49"/>
      <c r="K136" s="18"/>
      <c r="L136" s="51"/>
      <c r="M136" s="16"/>
      <c r="N136" s="51"/>
      <c r="O136" s="40"/>
    </row>
    <row r="137" spans="1:15" x14ac:dyDescent="0.15">
      <c r="A137" s="42">
        <f>IF(AND(A125&gt;=1,ROUNDUP($D$3/2,0)&gt;=A125+1),A125+1,0)</f>
        <v>0</v>
      </c>
      <c r="B137" s="43"/>
      <c r="C137" s="44"/>
      <c r="D137" s="45"/>
      <c r="E137" s="27">
        <f>IF(AND(E131&gt;1,$D$3&gt;=E131+1),E131+1,0)</f>
        <v>0</v>
      </c>
      <c r="F137" s="18" t="str">
        <f>IF(E137=0,"","A"&amp;E137&amp;"-0")</f>
        <v/>
      </c>
      <c r="G137" s="25"/>
      <c r="H137" s="26"/>
      <c r="I137" s="86"/>
      <c r="J137" s="48"/>
      <c r="K137" s="18"/>
      <c r="L137" s="51"/>
      <c r="M137" s="16"/>
      <c r="N137" s="51"/>
      <c r="O137" s="40"/>
    </row>
    <row r="138" spans="1:15" x14ac:dyDescent="0.15">
      <c r="A138" s="23"/>
      <c r="B138" s="28"/>
      <c r="C138" s="29"/>
      <c r="D138" s="30"/>
      <c r="E138" s="31" t="str">
        <f>IF(E137&gt;0,"上段","")</f>
        <v/>
      </c>
      <c r="F138" s="18" t="str">
        <f>IF(E137=0,"","A"&amp;E137&amp;"-1")</f>
        <v/>
      </c>
      <c r="G138" s="25"/>
      <c r="H138" s="26"/>
      <c r="I138" s="86"/>
      <c r="J138" s="49"/>
      <c r="K138" s="18"/>
      <c r="L138" s="51"/>
      <c r="M138" s="16"/>
      <c r="N138" s="51"/>
      <c r="O138" s="40"/>
    </row>
    <row r="139" spans="1:15" x14ac:dyDescent="0.15">
      <c r="A139" s="23"/>
      <c r="B139" s="28"/>
      <c r="C139" s="29"/>
      <c r="D139" s="30"/>
      <c r="E139" s="31"/>
      <c r="F139" s="18" t="str">
        <f>IF(E137=0,"","B"&amp;E137&amp;"-0")</f>
        <v/>
      </c>
      <c r="G139" s="25"/>
      <c r="H139" s="26"/>
      <c r="I139" s="86"/>
      <c r="J139" s="49"/>
      <c r="K139" s="18"/>
      <c r="L139" s="51"/>
      <c r="M139" s="16"/>
      <c r="N139" s="51"/>
      <c r="O139" s="40"/>
    </row>
    <row r="140" spans="1:15" x14ac:dyDescent="0.15">
      <c r="A140" s="23"/>
      <c r="B140" s="28"/>
      <c r="C140" s="29"/>
      <c r="D140" s="30"/>
      <c r="E140" s="31"/>
      <c r="F140" s="18" t="str">
        <f>IF(E137=0,"","B"&amp;E137&amp;"-1")</f>
        <v/>
      </c>
      <c r="G140" s="25"/>
      <c r="H140" s="26"/>
      <c r="I140" s="86"/>
      <c r="J140" s="49"/>
      <c r="K140" s="18"/>
      <c r="L140" s="51"/>
      <c r="M140" s="16"/>
      <c r="N140" s="51"/>
      <c r="O140" s="40"/>
    </row>
    <row r="141" spans="1:15" x14ac:dyDescent="0.15">
      <c r="A141" s="23"/>
      <c r="B141" s="28"/>
      <c r="C141" s="29"/>
      <c r="D141" s="30"/>
      <c r="E141" s="31"/>
      <c r="F141" s="18" t="str">
        <f>IF(E137=0,"","C"&amp;E137&amp;"-0")</f>
        <v/>
      </c>
      <c r="G141" s="25"/>
      <c r="H141" s="26"/>
      <c r="I141" s="86"/>
      <c r="J141" s="49"/>
      <c r="K141" s="18"/>
      <c r="L141" s="51"/>
      <c r="M141" s="16"/>
      <c r="N141" s="51"/>
      <c r="O141" s="40"/>
    </row>
    <row r="142" spans="1:15" x14ac:dyDescent="0.15">
      <c r="A142" s="23"/>
      <c r="B142" s="28"/>
      <c r="C142" s="29"/>
      <c r="D142" s="30"/>
      <c r="E142" s="31"/>
      <c r="F142" s="18" t="str">
        <f>IF(E137=0,"","C"&amp;E137&amp;"-1")</f>
        <v/>
      </c>
      <c r="G142" s="25"/>
      <c r="H142" s="26"/>
      <c r="I142" s="86"/>
      <c r="J142" s="49"/>
      <c r="K142" s="18"/>
      <c r="L142" s="51"/>
      <c r="M142" s="16"/>
      <c r="N142" s="51"/>
      <c r="O142" s="40"/>
    </row>
    <row r="143" spans="1:15" x14ac:dyDescent="0.15">
      <c r="A143" s="23"/>
      <c r="B143" s="28"/>
      <c r="C143" s="29"/>
      <c r="D143" s="30"/>
      <c r="E143" s="32">
        <f>IF(AND(E137&gt;1,$D$3&gt;=E137+1),E137+1,0)</f>
        <v>0</v>
      </c>
      <c r="F143" s="18" t="str">
        <f>IF(E143=0,"","A"&amp;E143&amp;"-0")</f>
        <v/>
      </c>
      <c r="G143" s="25"/>
      <c r="H143" s="26"/>
      <c r="I143" s="86"/>
      <c r="J143" s="49"/>
      <c r="K143" s="18"/>
      <c r="L143" s="51"/>
      <c r="M143" s="16"/>
      <c r="N143" s="51"/>
      <c r="O143" s="40"/>
    </row>
    <row r="144" spans="1:15" x14ac:dyDescent="0.15">
      <c r="A144" s="23"/>
      <c r="B144" s="28"/>
      <c r="C144" s="29"/>
      <c r="D144" s="30"/>
      <c r="E144" s="33" t="str">
        <f>IF(E143&gt;0,"下段","")</f>
        <v/>
      </c>
      <c r="F144" s="18" t="str">
        <f>IF(E143=0,"","A"&amp;E143&amp;"-1")</f>
        <v/>
      </c>
      <c r="G144" s="25"/>
      <c r="H144" s="26"/>
      <c r="I144" s="86"/>
      <c r="J144" s="49"/>
      <c r="K144" s="18"/>
      <c r="L144" s="51"/>
      <c r="M144" s="16"/>
      <c r="N144" s="51"/>
      <c r="O144" s="40"/>
    </row>
    <row r="145" spans="1:15" x14ac:dyDescent="0.15">
      <c r="A145" s="23"/>
      <c r="B145" s="28"/>
      <c r="C145" s="29"/>
      <c r="D145" s="30"/>
      <c r="E145" s="33"/>
      <c r="F145" s="18" t="str">
        <f>IF(E143=0,"","B"&amp;E143&amp;"-0")</f>
        <v/>
      </c>
      <c r="G145" s="25"/>
      <c r="H145" s="26"/>
      <c r="I145" s="86"/>
      <c r="J145" s="49"/>
      <c r="K145" s="18"/>
      <c r="L145" s="51"/>
      <c r="M145" s="16"/>
      <c r="N145" s="51"/>
      <c r="O145" s="40"/>
    </row>
    <row r="146" spans="1:15" x14ac:dyDescent="0.15">
      <c r="A146" s="23"/>
      <c r="B146" s="28"/>
      <c r="C146" s="29"/>
      <c r="D146" s="30"/>
      <c r="E146" s="33"/>
      <c r="F146" s="18" t="str">
        <f>IF(E143=0,"","B"&amp;E143&amp;"-1")</f>
        <v/>
      </c>
      <c r="G146" s="25"/>
      <c r="H146" s="26"/>
      <c r="I146" s="86"/>
      <c r="J146" s="49"/>
      <c r="K146" s="18"/>
      <c r="L146" s="51"/>
      <c r="M146" s="16"/>
      <c r="N146" s="51"/>
      <c r="O146" s="40"/>
    </row>
    <row r="147" spans="1:15" x14ac:dyDescent="0.15">
      <c r="A147" s="23"/>
      <c r="B147" s="28"/>
      <c r="C147" s="29"/>
      <c r="D147" s="30"/>
      <c r="E147" s="33"/>
      <c r="F147" s="18" t="str">
        <f>IF(E143=0,"","C"&amp;E143&amp;"-0")</f>
        <v/>
      </c>
      <c r="G147" s="25"/>
      <c r="H147" s="26"/>
      <c r="I147" s="86"/>
      <c r="J147" s="49"/>
      <c r="K147" s="18"/>
      <c r="L147" s="51"/>
      <c r="M147" s="16"/>
      <c r="N147" s="51"/>
      <c r="O147" s="40"/>
    </row>
    <row r="148" spans="1:15" x14ac:dyDescent="0.15">
      <c r="A148" s="24"/>
      <c r="B148" s="34"/>
      <c r="C148" s="35"/>
      <c r="D148" s="36"/>
      <c r="E148" s="37"/>
      <c r="F148" s="18" t="str">
        <f>IF(E143=0,"","C"&amp;E143&amp;"-1")</f>
        <v/>
      </c>
      <c r="G148" s="25"/>
      <c r="H148" s="26"/>
      <c r="I148" s="86"/>
      <c r="J148" s="49"/>
      <c r="K148" s="18"/>
      <c r="L148" s="51"/>
      <c r="M148" s="16"/>
      <c r="N148" s="51"/>
      <c r="O148" s="40"/>
    </row>
    <row r="149" spans="1:15" x14ac:dyDescent="0.15">
      <c r="A149" s="42">
        <f>IF(AND(A137&gt;=1,ROUNDUP($D$3/2,0)&gt;=A137+1),A137+1,0)</f>
        <v>0</v>
      </c>
      <c r="B149" s="43"/>
      <c r="C149" s="44"/>
      <c r="D149" s="45"/>
      <c r="E149" s="27">
        <f>IF(AND(E143&gt;1,$D$3&gt;=E143+1),E143+1,0)</f>
        <v>0</v>
      </c>
      <c r="F149" s="18" t="str">
        <f>IF(E149=0,"","A"&amp;E149&amp;"-0")</f>
        <v/>
      </c>
      <c r="G149" s="25"/>
      <c r="H149" s="26"/>
      <c r="I149" s="86"/>
      <c r="J149" s="48"/>
      <c r="K149" s="18"/>
      <c r="L149" s="51"/>
      <c r="M149" s="16"/>
      <c r="N149" s="51"/>
      <c r="O149" s="40"/>
    </row>
    <row r="150" spans="1:15" x14ac:dyDescent="0.15">
      <c r="A150" s="23"/>
      <c r="B150" s="28"/>
      <c r="C150" s="29"/>
      <c r="D150" s="30"/>
      <c r="E150" s="31" t="str">
        <f>IF(E149&gt;0,"上段","")</f>
        <v/>
      </c>
      <c r="F150" s="18" t="str">
        <f>IF(E149=0,"","A"&amp;E149&amp;"-1")</f>
        <v/>
      </c>
      <c r="G150" s="25"/>
      <c r="H150" s="26"/>
      <c r="I150" s="86"/>
      <c r="J150" s="49"/>
      <c r="K150" s="18"/>
      <c r="L150" s="51"/>
      <c r="M150" s="16"/>
      <c r="N150" s="51"/>
      <c r="O150" s="40"/>
    </row>
    <row r="151" spans="1:15" x14ac:dyDescent="0.15">
      <c r="A151" s="23"/>
      <c r="B151" s="28"/>
      <c r="C151" s="29"/>
      <c r="D151" s="30"/>
      <c r="E151" s="31"/>
      <c r="F151" s="18" t="str">
        <f>IF(E149=0,"","B"&amp;E149&amp;"-0")</f>
        <v/>
      </c>
      <c r="G151" s="25"/>
      <c r="H151" s="26"/>
      <c r="I151" s="86"/>
      <c r="J151" s="49"/>
      <c r="K151" s="18"/>
      <c r="L151" s="51"/>
      <c r="M151" s="16"/>
      <c r="N151" s="51"/>
      <c r="O151" s="40"/>
    </row>
    <row r="152" spans="1:15" x14ac:dyDescent="0.15">
      <c r="A152" s="23"/>
      <c r="B152" s="28"/>
      <c r="C152" s="29"/>
      <c r="D152" s="30"/>
      <c r="E152" s="31"/>
      <c r="F152" s="18" t="str">
        <f>IF(E149=0,"","B"&amp;E149&amp;"-1")</f>
        <v/>
      </c>
      <c r="G152" s="25"/>
      <c r="H152" s="26"/>
      <c r="I152" s="86"/>
      <c r="J152" s="49"/>
      <c r="K152" s="18"/>
      <c r="L152" s="51"/>
      <c r="M152" s="16"/>
      <c r="N152" s="51"/>
      <c r="O152" s="40"/>
    </row>
    <row r="153" spans="1:15" x14ac:dyDescent="0.15">
      <c r="A153" s="23"/>
      <c r="B153" s="28"/>
      <c r="C153" s="29"/>
      <c r="D153" s="30"/>
      <c r="E153" s="31"/>
      <c r="F153" s="18" t="str">
        <f>IF(E149=0,"","C"&amp;E149&amp;"-0")</f>
        <v/>
      </c>
      <c r="G153" s="25"/>
      <c r="H153" s="26"/>
      <c r="I153" s="86"/>
      <c r="J153" s="49"/>
      <c r="K153" s="18"/>
      <c r="L153" s="51"/>
      <c r="M153" s="16"/>
      <c r="N153" s="51"/>
      <c r="O153" s="40"/>
    </row>
    <row r="154" spans="1:15" x14ac:dyDescent="0.15">
      <c r="A154" s="23"/>
      <c r="B154" s="28"/>
      <c r="C154" s="29"/>
      <c r="D154" s="30"/>
      <c r="E154" s="31"/>
      <c r="F154" s="18" t="str">
        <f>IF(E149=0,"","C"&amp;E149&amp;"-1")</f>
        <v/>
      </c>
      <c r="G154" s="25"/>
      <c r="H154" s="26"/>
      <c r="I154" s="86"/>
      <c r="J154" s="49"/>
      <c r="K154" s="18"/>
      <c r="L154" s="51"/>
      <c r="M154" s="16"/>
      <c r="N154" s="51"/>
      <c r="O154" s="40"/>
    </row>
    <row r="155" spans="1:15" x14ac:dyDescent="0.15">
      <c r="A155" s="23"/>
      <c r="B155" s="28"/>
      <c r="C155" s="29"/>
      <c r="D155" s="30"/>
      <c r="E155" s="32">
        <f>IF(AND(E149&gt;1,$D$3&gt;=E149+1),E149+1,0)</f>
        <v>0</v>
      </c>
      <c r="F155" s="18" t="str">
        <f>IF(E155=0,"","A"&amp;E155&amp;"-0")</f>
        <v/>
      </c>
      <c r="G155" s="25"/>
      <c r="H155" s="26"/>
      <c r="I155" s="86"/>
      <c r="J155" s="49"/>
      <c r="K155" s="18"/>
      <c r="L155" s="51"/>
      <c r="M155" s="16"/>
      <c r="N155" s="51"/>
      <c r="O155" s="40"/>
    </row>
    <row r="156" spans="1:15" x14ac:dyDescent="0.15">
      <c r="A156" s="23"/>
      <c r="B156" s="28"/>
      <c r="C156" s="29"/>
      <c r="D156" s="30"/>
      <c r="E156" s="33" t="str">
        <f>IF(E155&gt;0,"下段","")</f>
        <v/>
      </c>
      <c r="F156" s="18" t="str">
        <f>IF(E155=0,"","A"&amp;E155&amp;"-1")</f>
        <v/>
      </c>
      <c r="G156" s="25"/>
      <c r="H156" s="26"/>
      <c r="I156" s="86"/>
      <c r="J156" s="49"/>
      <c r="K156" s="18"/>
      <c r="L156" s="51"/>
      <c r="M156" s="16"/>
      <c r="N156" s="51"/>
      <c r="O156" s="40"/>
    </row>
    <row r="157" spans="1:15" x14ac:dyDescent="0.15">
      <c r="A157" s="23"/>
      <c r="B157" s="28"/>
      <c r="C157" s="29"/>
      <c r="D157" s="30"/>
      <c r="E157" s="33"/>
      <c r="F157" s="18" t="str">
        <f>IF(E155=0,"","B"&amp;E155&amp;"-0")</f>
        <v/>
      </c>
      <c r="G157" s="25"/>
      <c r="H157" s="26"/>
      <c r="I157" s="86"/>
      <c r="J157" s="49"/>
      <c r="K157" s="18"/>
      <c r="L157" s="51"/>
      <c r="M157" s="16"/>
      <c r="N157" s="51"/>
      <c r="O157" s="40"/>
    </row>
    <row r="158" spans="1:15" x14ac:dyDescent="0.15">
      <c r="A158" s="23"/>
      <c r="B158" s="28"/>
      <c r="C158" s="29"/>
      <c r="D158" s="30"/>
      <c r="E158" s="33"/>
      <c r="F158" s="18" t="str">
        <f>IF(E155=0,"","B"&amp;E155&amp;"-1")</f>
        <v/>
      </c>
      <c r="G158" s="25"/>
      <c r="H158" s="26"/>
      <c r="I158" s="86"/>
      <c r="J158" s="49"/>
      <c r="K158" s="18"/>
      <c r="L158" s="51"/>
      <c r="M158" s="16"/>
      <c r="N158" s="51"/>
      <c r="O158" s="40"/>
    </row>
    <row r="159" spans="1:15" x14ac:dyDescent="0.15">
      <c r="A159" s="23"/>
      <c r="B159" s="28"/>
      <c r="C159" s="29"/>
      <c r="D159" s="30"/>
      <c r="E159" s="33"/>
      <c r="F159" s="18" t="str">
        <f>IF(E155=0,"","C"&amp;E155&amp;"-0")</f>
        <v/>
      </c>
      <c r="G159" s="25"/>
      <c r="H159" s="26"/>
      <c r="I159" s="86"/>
      <c r="J159" s="49"/>
      <c r="K159" s="18"/>
      <c r="L159" s="51"/>
      <c r="M159" s="16"/>
      <c r="N159" s="51"/>
      <c r="O159" s="40"/>
    </row>
    <row r="160" spans="1:15" x14ac:dyDescent="0.15">
      <c r="A160" s="24"/>
      <c r="B160" s="34"/>
      <c r="C160" s="35"/>
      <c r="D160" s="36"/>
      <c r="E160" s="37"/>
      <c r="F160" s="18" t="str">
        <f>IF(E155=0,"","C"&amp;E155&amp;"-1")</f>
        <v/>
      </c>
      <c r="G160" s="25"/>
      <c r="H160" s="26"/>
      <c r="I160" s="86"/>
      <c r="J160" s="49"/>
      <c r="K160" s="18"/>
      <c r="L160" s="51"/>
      <c r="M160" s="16"/>
      <c r="N160" s="51"/>
      <c r="O160" s="40"/>
    </row>
    <row r="161" spans="1:15" x14ac:dyDescent="0.15">
      <c r="A161" s="42">
        <f>IF(AND(A149&gt;=1,ROUNDUP($D$3/2,0)&gt;=A149+1),A149+1,0)</f>
        <v>0</v>
      </c>
      <c r="B161" s="43"/>
      <c r="C161" s="44"/>
      <c r="D161" s="45"/>
      <c r="E161" s="27">
        <f>IF(AND(E155&gt;1,$D$3&gt;=E155+1),E155+1,0)</f>
        <v>0</v>
      </c>
      <c r="F161" s="18" t="str">
        <f>IF(E161=0,"","A"&amp;E161&amp;"-0")</f>
        <v/>
      </c>
      <c r="G161" s="25"/>
      <c r="H161" s="26"/>
      <c r="I161" s="86"/>
      <c r="J161" s="48"/>
      <c r="K161" s="18"/>
      <c r="L161" s="51"/>
      <c r="M161" s="16"/>
      <c r="N161" s="51"/>
      <c r="O161" s="40"/>
    </row>
    <row r="162" spans="1:15" x14ac:dyDescent="0.15">
      <c r="A162" s="23"/>
      <c r="B162" s="28"/>
      <c r="C162" s="29"/>
      <c r="D162" s="30"/>
      <c r="E162" s="31" t="str">
        <f>IF(E161&gt;0,"上段","")</f>
        <v/>
      </c>
      <c r="F162" s="18" t="str">
        <f>IF(E161=0,"","A"&amp;E161&amp;"-1")</f>
        <v/>
      </c>
      <c r="G162" s="25"/>
      <c r="H162" s="26"/>
      <c r="I162" s="86"/>
      <c r="J162" s="49"/>
      <c r="K162" s="18"/>
      <c r="L162" s="51"/>
      <c r="M162" s="16"/>
      <c r="N162" s="51"/>
      <c r="O162" s="40"/>
    </row>
    <row r="163" spans="1:15" x14ac:dyDescent="0.15">
      <c r="A163" s="23"/>
      <c r="B163" s="28"/>
      <c r="C163" s="29"/>
      <c r="D163" s="30"/>
      <c r="E163" s="31"/>
      <c r="F163" s="18" t="str">
        <f>IF(E161=0,"","B"&amp;E161&amp;"-0")</f>
        <v/>
      </c>
      <c r="G163" s="25"/>
      <c r="H163" s="26"/>
      <c r="I163" s="86"/>
      <c r="J163" s="49"/>
      <c r="K163" s="18"/>
      <c r="L163" s="51"/>
      <c r="M163" s="16"/>
      <c r="N163" s="51"/>
      <c r="O163" s="40"/>
    </row>
    <row r="164" spans="1:15" x14ac:dyDescent="0.15">
      <c r="A164" s="23"/>
      <c r="B164" s="28"/>
      <c r="C164" s="29"/>
      <c r="D164" s="30"/>
      <c r="E164" s="31"/>
      <c r="F164" s="18" t="str">
        <f>IF(E161=0,"","B"&amp;E161&amp;"-1")</f>
        <v/>
      </c>
      <c r="G164" s="25"/>
      <c r="H164" s="26"/>
      <c r="I164" s="86"/>
      <c r="J164" s="49"/>
      <c r="K164" s="18"/>
      <c r="L164" s="51"/>
      <c r="M164" s="16"/>
      <c r="N164" s="51"/>
      <c r="O164" s="40"/>
    </row>
    <row r="165" spans="1:15" x14ac:dyDescent="0.15">
      <c r="A165" s="23"/>
      <c r="B165" s="28"/>
      <c r="C165" s="29"/>
      <c r="D165" s="30"/>
      <c r="E165" s="31"/>
      <c r="F165" s="18" t="str">
        <f>IF(E161=0,"","C"&amp;E161&amp;"-0")</f>
        <v/>
      </c>
      <c r="G165" s="25"/>
      <c r="H165" s="26"/>
      <c r="I165" s="86"/>
      <c r="J165" s="49"/>
      <c r="K165" s="18"/>
      <c r="L165" s="51"/>
      <c r="M165" s="16"/>
      <c r="N165" s="51"/>
      <c r="O165" s="40"/>
    </row>
    <row r="166" spans="1:15" x14ac:dyDescent="0.15">
      <c r="A166" s="23"/>
      <c r="B166" s="28"/>
      <c r="C166" s="29"/>
      <c r="D166" s="30"/>
      <c r="E166" s="31"/>
      <c r="F166" s="18" t="str">
        <f>IF(E161=0,"","C"&amp;E161&amp;"-1")</f>
        <v/>
      </c>
      <c r="G166" s="25"/>
      <c r="H166" s="26"/>
      <c r="I166" s="86"/>
      <c r="J166" s="49"/>
      <c r="K166" s="18"/>
      <c r="L166" s="51"/>
      <c r="M166" s="16"/>
      <c r="N166" s="51"/>
      <c r="O166" s="40"/>
    </row>
    <row r="167" spans="1:15" x14ac:dyDescent="0.15">
      <c r="A167" s="23"/>
      <c r="B167" s="28"/>
      <c r="C167" s="29"/>
      <c r="D167" s="30"/>
      <c r="E167" s="32">
        <f>IF(AND(E161&gt;1,$D$3&gt;=E161+1),E161+1,0)</f>
        <v>0</v>
      </c>
      <c r="F167" s="18" t="str">
        <f>IF(E167=0,"","A"&amp;E167&amp;"-0")</f>
        <v/>
      </c>
      <c r="G167" s="25"/>
      <c r="H167" s="26"/>
      <c r="I167" s="86"/>
      <c r="J167" s="49"/>
      <c r="K167" s="18"/>
      <c r="L167" s="51"/>
      <c r="M167" s="16"/>
      <c r="N167" s="51"/>
      <c r="O167" s="40"/>
    </row>
    <row r="168" spans="1:15" x14ac:dyDescent="0.15">
      <c r="A168" s="23"/>
      <c r="B168" s="28"/>
      <c r="C168" s="29"/>
      <c r="D168" s="30"/>
      <c r="E168" s="33" t="str">
        <f>IF(E167&gt;0,"下段","")</f>
        <v/>
      </c>
      <c r="F168" s="18" t="str">
        <f>IF(E167=0,"","A"&amp;E167&amp;"-1")</f>
        <v/>
      </c>
      <c r="G168" s="25"/>
      <c r="H168" s="26"/>
      <c r="I168" s="86"/>
      <c r="J168" s="49"/>
      <c r="K168" s="18"/>
      <c r="L168" s="51"/>
      <c r="M168" s="16"/>
      <c r="N168" s="51"/>
      <c r="O168" s="40"/>
    </row>
    <row r="169" spans="1:15" x14ac:dyDescent="0.15">
      <c r="A169" s="23"/>
      <c r="B169" s="28"/>
      <c r="C169" s="29"/>
      <c r="D169" s="30"/>
      <c r="E169" s="33"/>
      <c r="F169" s="18" t="str">
        <f>IF(E167=0,"","B"&amp;E167&amp;"-0")</f>
        <v/>
      </c>
      <c r="G169" s="25"/>
      <c r="H169" s="26"/>
      <c r="I169" s="86"/>
      <c r="J169" s="49"/>
      <c r="K169" s="18"/>
      <c r="L169" s="51"/>
      <c r="M169" s="16"/>
      <c r="N169" s="51"/>
      <c r="O169" s="40"/>
    </row>
    <row r="170" spans="1:15" x14ac:dyDescent="0.15">
      <c r="A170" s="23"/>
      <c r="B170" s="28"/>
      <c r="C170" s="29"/>
      <c r="D170" s="30"/>
      <c r="E170" s="33"/>
      <c r="F170" s="18" t="str">
        <f>IF(E167=0,"","B"&amp;E167&amp;"-1")</f>
        <v/>
      </c>
      <c r="G170" s="25"/>
      <c r="H170" s="26"/>
      <c r="I170" s="86"/>
      <c r="J170" s="49"/>
      <c r="K170" s="18"/>
      <c r="L170" s="51"/>
      <c r="M170" s="16"/>
      <c r="N170" s="51"/>
      <c r="O170" s="40"/>
    </row>
    <row r="171" spans="1:15" x14ac:dyDescent="0.15">
      <c r="A171" s="23"/>
      <c r="B171" s="28"/>
      <c r="C171" s="29"/>
      <c r="D171" s="30"/>
      <c r="E171" s="33"/>
      <c r="F171" s="18" t="str">
        <f>IF(E167=0,"","C"&amp;E167&amp;"-0")</f>
        <v/>
      </c>
      <c r="G171" s="25"/>
      <c r="H171" s="26"/>
      <c r="I171" s="86"/>
      <c r="J171" s="49"/>
      <c r="K171" s="18"/>
      <c r="L171" s="51"/>
      <c r="M171" s="16"/>
      <c r="N171" s="51"/>
      <c r="O171" s="40"/>
    </row>
    <row r="172" spans="1:15" x14ac:dyDescent="0.15">
      <c r="A172" s="24"/>
      <c r="B172" s="34"/>
      <c r="C172" s="35"/>
      <c r="D172" s="36"/>
      <c r="E172" s="37"/>
      <c r="F172" s="18" t="str">
        <f>IF(E167=0,"","C"&amp;E167&amp;"-1")</f>
        <v/>
      </c>
      <c r="G172" s="25"/>
      <c r="H172" s="26"/>
      <c r="I172" s="86"/>
      <c r="J172" s="49"/>
      <c r="K172" s="18"/>
      <c r="L172" s="51"/>
      <c r="M172" s="16"/>
      <c r="N172" s="51"/>
      <c r="O172" s="40"/>
    </row>
    <row r="173" spans="1:15" x14ac:dyDescent="0.15">
      <c r="A173" s="42">
        <f>IF(AND(A161&gt;=1,ROUNDUP($D$3/2,0)&gt;=A161+1),A161+1,0)</f>
        <v>0</v>
      </c>
      <c r="B173" s="43"/>
      <c r="C173" s="44"/>
      <c r="D173" s="45"/>
      <c r="E173" s="27">
        <f>IF(AND(E167&gt;1,$D$3&gt;=E167+1),E167+1,0)</f>
        <v>0</v>
      </c>
      <c r="F173" s="18" t="str">
        <f>IF(E173=0,"","A"&amp;E173&amp;"-0")</f>
        <v/>
      </c>
      <c r="G173" s="25"/>
      <c r="H173" s="26"/>
      <c r="I173" s="86"/>
      <c r="J173" s="48"/>
      <c r="K173" s="18"/>
      <c r="L173" s="51"/>
      <c r="M173" s="16"/>
      <c r="N173" s="51"/>
      <c r="O173" s="40"/>
    </row>
    <row r="174" spans="1:15" x14ac:dyDescent="0.15">
      <c r="A174" s="23"/>
      <c r="B174" s="28"/>
      <c r="C174" s="29"/>
      <c r="D174" s="30"/>
      <c r="E174" s="31" t="str">
        <f>IF(E173&gt;0,"上段","")</f>
        <v/>
      </c>
      <c r="F174" s="18" t="str">
        <f>IF(E173=0,"","A"&amp;E173&amp;"-1")</f>
        <v/>
      </c>
      <c r="G174" s="25"/>
      <c r="H174" s="26"/>
      <c r="I174" s="86"/>
      <c r="J174" s="49"/>
      <c r="K174" s="18"/>
      <c r="L174" s="51"/>
      <c r="M174" s="16"/>
      <c r="N174" s="51"/>
      <c r="O174" s="40"/>
    </row>
    <row r="175" spans="1:15" x14ac:dyDescent="0.15">
      <c r="A175" s="23"/>
      <c r="B175" s="28"/>
      <c r="C175" s="29"/>
      <c r="D175" s="30"/>
      <c r="E175" s="31"/>
      <c r="F175" s="18" t="str">
        <f>IF(E173=0,"","B"&amp;E173&amp;"-0")</f>
        <v/>
      </c>
      <c r="G175" s="25"/>
      <c r="H175" s="26"/>
      <c r="I175" s="86"/>
      <c r="J175" s="49"/>
      <c r="K175" s="18"/>
      <c r="L175" s="51"/>
      <c r="M175" s="16"/>
      <c r="N175" s="51"/>
      <c r="O175" s="40"/>
    </row>
    <row r="176" spans="1:15" x14ac:dyDescent="0.15">
      <c r="A176" s="23"/>
      <c r="B176" s="28"/>
      <c r="C176" s="29"/>
      <c r="D176" s="30"/>
      <c r="E176" s="31"/>
      <c r="F176" s="18" t="str">
        <f>IF(E173=0,"","B"&amp;E173&amp;"-1")</f>
        <v/>
      </c>
      <c r="G176" s="25"/>
      <c r="H176" s="26"/>
      <c r="I176" s="86"/>
      <c r="J176" s="49"/>
      <c r="K176" s="18"/>
      <c r="L176" s="51"/>
      <c r="M176" s="16"/>
      <c r="N176" s="51"/>
      <c r="O176" s="40"/>
    </row>
    <row r="177" spans="1:15" x14ac:dyDescent="0.15">
      <c r="A177" s="23"/>
      <c r="B177" s="28"/>
      <c r="C177" s="29"/>
      <c r="D177" s="30"/>
      <c r="E177" s="31"/>
      <c r="F177" s="18" t="str">
        <f>IF(E173=0,"","C"&amp;E173&amp;"-0")</f>
        <v/>
      </c>
      <c r="G177" s="25"/>
      <c r="H177" s="26"/>
      <c r="I177" s="86"/>
      <c r="J177" s="49"/>
      <c r="K177" s="18"/>
      <c r="L177" s="51"/>
      <c r="M177" s="16"/>
      <c r="N177" s="51"/>
      <c r="O177" s="40"/>
    </row>
    <row r="178" spans="1:15" x14ac:dyDescent="0.15">
      <c r="A178" s="23"/>
      <c r="B178" s="28"/>
      <c r="C178" s="29"/>
      <c r="D178" s="30"/>
      <c r="E178" s="31"/>
      <c r="F178" s="18" t="str">
        <f>IF(E173=0,"","C"&amp;E173&amp;"-1")</f>
        <v/>
      </c>
      <c r="G178" s="25"/>
      <c r="H178" s="26"/>
      <c r="I178" s="86"/>
      <c r="J178" s="49"/>
      <c r="K178" s="18"/>
      <c r="L178" s="51"/>
      <c r="M178" s="16"/>
      <c r="N178" s="51"/>
      <c r="O178" s="40"/>
    </row>
    <row r="179" spans="1:15" x14ac:dyDescent="0.15">
      <c r="A179" s="23"/>
      <c r="B179" s="28"/>
      <c r="C179" s="29"/>
      <c r="D179" s="30"/>
      <c r="E179" s="32">
        <f>IF(AND(E173&gt;1,$D$3&gt;=E173+1),E173+1,0)</f>
        <v>0</v>
      </c>
      <c r="F179" s="18" t="str">
        <f>IF(E179=0,"","A"&amp;E179&amp;"-0")</f>
        <v/>
      </c>
      <c r="G179" s="25"/>
      <c r="H179" s="26"/>
      <c r="I179" s="86"/>
      <c r="J179" s="49"/>
      <c r="K179" s="18"/>
      <c r="L179" s="51"/>
      <c r="M179" s="16"/>
      <c r="N179" s="51"/>
      <c r="O179" s="40"/>
    </row>
    <row r="180" spans="1:15" x14ac:dyDescent="0.15">
      <c r="A180" s="23"/>
      <c r="B180" s="28"/>
      <c r="C180" s="29"/>
      <c r="D180" s="30"/>
      <c r="E180" s="33" t="str">
        <f>IF(E179&gt;0,"下段","")</f>
        <v/>
      </c>
      <c r="F180" s="18" t="str">
        <f>IF(E179=0,"","A"&amp;E179&amp;"-1")</f>
        <v/>
      </c>
      <c r="G180" s="25"/>
      <c r="H180" s="26"/>
      <c r="I180" s="86"/>
      <c r="J180" s="49"/>
      <c r="K180" s="18"/>
      <c r="L180" s="51"/>
      <c r="M180" s="16"/>
      <c r="N180" s="51"/>
      <c r="O180" s="40"/>
    </row>
    <row r="181" spans="1:15" x14ac:dyDescent="0.15">
      <c r="A181" s="23"/>
      <c r="B181" s="28"/>
      <c r="C181" s="29"/>
      <c r="D181" s="30"/>
      <c r="E181" s="33"/>
      <c r="F181" s="18" t="str">
        <f>IF(E179=0,"","B"&amp;E179&amp;"-0")</f>
        <v/>
      </c>
      <c r="G181" s="25"/>
      <c r="H181" s="26"/>
      <c r="I181" s="86"/>
      <c r="J181" s="49"/>
      <c r="K181" s="18"/>
      <c r="L181" s="51"/>
      <c r="M181" s="16"/>
      <c r="N181" s="51"/>
      <c r="O181" s="40"/>
    </row>
    <row r="182" spans="1:15" x14ac:dyDescent="0.15">
      <c r="A182" s="23"/>
      <c r="B182" s="28"/>
      <c r="C182" s="29"/>
      <c r="D182" s="30"/>
      <c r="E182" s="33"/>
      <c r="F182" s="18" t="str">
        <f>IF(E179=0,"","B"&amp;E179&amp;"-1")</f>
        <v/>
      </c>
      <c r="G182" s="25"/>
      <c r="H182" s="26"/>
      <c r="I182" s="86"/>
      <c r="J182" s="49"/>
      <c r="K182" s="18"/>
      <c r="L182" s="51"/>
      <c r="M182" s="16"/>
      <c r="N182" s="51"/>
      <c r="O182" s="40"/>
    </row>
    <row r="183" spans="1:15" x14ac:dyDescent="0.15">
      <c r="A183" s="23"/>
      <c r="B183" s="28"/>
      <c r="C183" s="29"/>
      <c r="D183" s="30"/>
      <c r="E183" s="33"/>
      <c r="F183" s="18" t="str">
        <f>IF(E179=0,"","C"&amp;E179&amp;"-0")</f>
        <v/>
      </c>
      <c r="G183" s="25"/>
      <c r="H183" s="26"/>
      <c r="I183" s="86"/>
      <c r="J183" s="49"/>
      <c r="K183" s="18"/>
      <c r="L183" s="51"/>
      <c r="M183" s="16"/>
      <c r="N183" s="51"/>
      <c r="O183" s="40"/>
    </row>
    <row r="184" spans="1:15" x14ac:dyDescent="0.15">
      <c r="A184" s="24"/>
      <c r="B184" s="34"/>
      <c r="C184" s="35"/>
      <c r="D184" s="36"/>
      <c r="E184" s="37"/>
      <c r="F184" s="18" t="str">
        <f>IF(E179=0,"","C"&amp;E179&amp;"-1")</f>
        <v/>
      </c>
      <c r="G184" s="25"/>
      <c r="H184" s="26"/>
      <c r="I184" s="86"/>
      <c r="J184" s="49"/>
      <c r="K184" s="18"/>
      <c r="L184" s="51"/>
      <c r="M184" s="16"/>
      <c r="N184" s="51"/>
      <c r="O184" s="40"/>
    </row>
    <row r="185" spans="1:15" x14ac:dyDescent="0.15">
      <c r="A185" s="42">
        <f>IF(AND(A173&gt;=1,ROUNDUP($D$3/2,0)&gt;=A173+1),A173+1,0)</f>
        <v>0</v>
      </c>
      <c r="B185" s="43"/>
      <c r="C185" s="44"/>
      <c r="D185" s="45"/>
      <c r="E185" s="27">
        <f>IF(AND(E179&gt;1,$D$3&gt;=E179+1),E179+1,0)</f>
        <v>0</v>
      </c>
      <c r="F185" s="18" t="str">
        <f>IF(E185=0,"","A"&amp;E185&amp;"-0")</f>
        <v/>
      </c>
      <c r="G185" s="25"/>
      <c r="H185" s="26"/>
      <c r="I185" s="86"/>
      <c r="J185" s="48"/>
      <c r="K185" s="18"/>
      <c r="L185" s="51"/>
      <c r="M185" s="16"/>
      <c r="N185" s="51"/>
      <c r="O185" s="40"/>
    </row>
    <row r="186" spans="1:15" x14ac:dyDescent="0.15">
      <c r="A186" s="23"/>
      <c r="B186" s="28"/>
      <c r="C186" s="29"/>
      <c r="D186" s="30"/>
      <c r="E186" s="31" t="str">
        <f>IF(E185&gt;0,"上段","")</f>
        <v/>
      </c>
      <c r="F186" s="18" t="str">
        <f>IF(E185=0,"","A"&amp;E185&amp;"-1")</f>
        <v/>
      </c>
      <c r="G186" s="25"/>
      <c r="H186" s="26"/>
      <c r="I186" s="86"/>
      <c r="J186" s="49"/>
      <c r="K186" s="18"/>
      <c r="L186" s="51"/>
      <c r="M186" s="16"/>
      <c r="N186" s="51"/>
      <c r="O186" s="40"/>
    </row>
    <row r="187" spans="1:15" x14ac:dyDescent="0.15">
      <c r="A187" s="23"/>
      <c r="B187" s="28"/>
      <c r="C187" s="29"/>
      <c r="D187" s="30"/>
      <c r="E187" s="31"/>
      <c r="F187" s="18" t="str">
        <f>IF(E185=0,"","B"&amp;E185&amp;"-0")</f>
        <v/>
      </c>
      <c r="G187" s="25"/>
      <c r="H187" s="26"/>
      <c r="I187" s="86"/>
      <c r="J187" s="49"/>
      <c r="K187" s="18"/>
      <c r="L187" s="51"/>
      <c r="M187" s="16"/>
      <c r="N187" s="51"/>
      <c r="O187" s="40"/>
    </row>
    <row r="188" spans="1:15" x14ac:dyDescent="0.15">
      <c r="A188" s="23"/>
      <c r="B188" s="28"/>
      <c r="C188" s="29"/>
      <c r="D188" s="30"/>
      <c r="E188" s="31"/>
      <c r="F188" s="18" t="str">
        <f>IF(E185=0,"","B"&amp;E185&amp;"-1")</f>
        <v/>
      </c>
      <c r="G188" s="25"/>
      <c r="H188" s="26"/>
      <c r="I188" s="86"/>
      <c r="J188" s="49"/>
      <c r="K188" s="18"/>
      <c r="L188" s="51"/>
      <c r="M188" s="16"/>
      <c r="N188" s="51"/>
      <c r="O188" s="40"/>
    </row>
    <row r="189" spans="1:15" x14ac:dyDescent="0.15">
      <c r="A189" s="23"/>
      <c r="B189" s="28"/>
      <c r="C189" s="29"/>
      <c r="D189" s="30"/>
      <c r="E189" s="31"/>
      <c r="F189" s="18" t="str">
        <f>IF(E185=0,"","C"&amp;E185&amp;"-0")</f>
        <v/>
      </c>
      <c r="G189" s="25"/>
      <c r="H189" s="26"/>
      <c r="I189" s="86"/>
      <c r="J189" s="49"/>
      <c r="K189" s="18"/>
      <c r="L189" s="51"/>
      <c r="M189" s="16"/>
      <c r="N189" s="51"/>
      <c r="O189" s="40"/>
    </row>
    <row r="190" spans="1:15" x14ac:dyDescent="0.15">
      <c r="A190" s="23"/>
      <c r="B190" s="28"/>
      <c r="C190" s="29"/>
      <c r="D190" s="30"/>
      <c r="E190" s="31"/>
      <c r="F190" s="18" t="str">
        <f>IF(E185=0,"","C"&amp;E185&amp;"-1")</f>
        <v/>
      </c>
      <c r="G190" s="25"/>
      <c r="H190" s="26"/>
      <c r="I190" s="86"/>
      <c r="J190" s="49"/>
      <c r="K190" s="18"/>
      <c r="L190" s="51"/>
      <c r="M190" s="16"/>
      <c r="N190" s="51"/>
      <c r="O190" s="40"/>
    </row>
    <row r="191" spans="1:15" x14ac:dyDescent="0.15">
      <c r="A191" s="23"/>
      <c r="B191" s="28"/>
      <c r="C191" s="29"/>
      <c r="D191" s="30"/>
      <c r="E191" s="32">
        <f>IF(AND(E185&gt;1,$D$3&gt;=E185+1),E185+1,0)</f>
        <v>0</v>
      </c>
      <c r="F191" s="18" t="str">
        <f>IF(E191=0,"","A"&amp;E191&amp;"-0")</f>
        <v/>
      </c>
      <c r="G191" s="25"/>
      <c r="H191" s="26"/>
      <c r="I191" s="86"/>
      <c r="J191" s="49"/>
      <c r="K191" s="18"/>
      <c r="L191" s="51"/>
      <c r="M191" s="16"/>
      <c r="N191" s="51"/>
      <c r="O191" s="40"/>
    </row>
    <row r="192" spans="1:15" x14ac:dyDescent="0.15">
      <c r="A192" s="23"/>
      <c r="B192" s="28"/>
      <c r="C192" s="29"/>
      <c r="D192" s="30"/>
      <c r="E192" s="33" t="str">
        <f>IF(E191&gt;0,"下段","")</f>
        <v/>
      </c>
      <c r="F192" s="18" t="str">
        <f>IF(E191=0,"","A"&amp;E191&amp;"-1")</f>
        <v/>
      </c>
      <c r="G192" s="25"/>
      <c r="H192" s="26"/>
      <c r="I192" s="86"/>
      <c r="J192" s="49"/>
      <c r="K192" s="18"/>
      <c r="L192" s="51"/>
      <c r="M192" s="16"/>
      <c r="N192" s="51"/>
      <c r="O192" s="40"/>
    </row>
    <row r="193" spans="1:15" x14ac:dyDescent="0.15">
      <c r="A193" s="23"/>
      <c r="B193" s="28"/>
      <c r="C193" s="29"/>
      <c r="D193" s="30"/>
      <c r="E193" s="33"/>
      <c r="F193" s="18" t="str">
        <f>IF(E191=0,"","B"&amp;E191&amp;"-0")</f>
        <v/>
      </c>
      <c r="G193" s="25"/>
      <c r="H193" s="26"/>
      <c r="I193" s="86"/>
      <c r="J193" s="49"/>
      <c r="K193" s="18"/>
      <c r="L193" s="51"/>
      <c r="M193" s="16"/>
      <c r="N193" s="51"/>
      <c r="O193" s="40"/>
    </row>
    <row r="194" spans="1:15" x14ac:dyDescent="0.15">
      <c r="A194" s="23"/>
      <c r="B194" s="28"/>
      <c r="C194" s="29"/>
      <c r="D194" s="30"/>
      <c r="E194" s="33"/>
      <c r="F194" s="18" t="str">
        <f>IF(E191=0,"","B"&amp;E191&amp;"-1")</f>
        <v/>
      </c>
      <c r="G194" s="25"/>
      <c r="H194" s="26"/>
      <c r="I194" s="86"/>
      <c r="J194" s="49"/>
      <c r="K194" s="18"/>
      <c r="L194" s="51"/>
      <c r="M194" s="16"/>
      <c r="N194" s="51"/>
      <c r="O194" s="40"/>
    </row>
    <row r="195" spans="1:15" x14ac:dyDescent="0.15">
      <c r="A195" s="23"/>
      <c r="B195" s="28"/>
      <c r="C195" s="29"/>
      <c r="D195" s="30"/>
      <c r="E195" s="33"/>
      <c r="F195" s="18" t="str">
        <f>IF(E191=0,"","C"&amp;E191&amp;"-0")</f>
        <v/>
      </c>
      <c r="G195" s="25"/>
      <c r="H195" s="26"/>
      <c r="I195" s="86"/>
      <c r="J195" s="49"/>
      <c r="K195" s="18"/>
      <c r="L195" s="51"/>
      <c r="M195" s="16"/>
      <c r="N195" s="51"/>
      <c r="O195" s="40"/>
    </row>
    <row r="196" spans="1:15" x14ac:dyDescent="0.15">
      <c r="A196" s="24"/>
      <c r="B196" s="34"/>
      <c r="C196" s="35"/>
      <c r="D196" s="36"/>
      <c r="E196" s="37"/>
      <c r="F196" s="18" t="str">
        <f>IF(E191=0,"","C"&amp;E191&amp;"-1")</f>
        <v/>
      </c>
      <c r="G196" s="25"/>
      <c r="H196" s="26"/>
      <c r="I196" s="86"/>
      <c r="J196" s="49"/>
      <c r="K196" s="18"/>
      <c r="L196" s="51"/>
      <c r="M196" s="16"/>
      <c r="N196" s="51"/>
      <c r="O196" s="40"/>
    </row>
    <row r="197" spans="1:15" x14ac:dyDescent="0.15">
      <c r="A197" s="42">
        <f>IF(AND(A185&gt;=1,ROUNDUP($D$3/2,0)&gt;=A185+1),A185+1,0)</f>
        <v>0</v>
      </c>
      <c r="B197" s="43"/>
      <c r="C197" s="44"/>
      <c r="D197" s="45"/>
      <c r="E197" s="27">
        <f>IF(AND(E191&gt;1,$D$3&gt;=E191+1),E191+1,0)</f>
        <v>0</v>
      </c>
      <c r="F197" s="18" t="str">
        <f>IF(E197=0,"","A"&amp;E197&amp;"-0")</f>
        <v/>
      </c>
      <c r="G197" s="25"/>
      <c r="H197" s="26"/>
      <c r="I197" s="86"/>
      <c r="J197" s="48"/>
      <c r="K197" s="18"/>
      <c r="L197" s="51"/>
      <c r="M197" s="16"/>
      <c r="N197" s="51"/>
      <c r="O197" s="40"/>
    </row>
    <row r="198" spans="1:15" x14ac:dyDescent="0.15">
      <c r="A198" s="23"/>
      <c r="B198" s="28"/>
      <c r="C198" s="29"/>
      <c r="D198" s="30"/>
      <c r="E198" s="31" t="str">
        <f>IF(E197&gt;0,"上段","")</f>
        <v/>
      </c>
      <c r="F198" s="18" t="str">
        <f>IF(E197=0,"","A"&amp;E197&amp;"-1")</f>
        <v/>
      </c>
      <c r="G198" s="25"/>
      <c r="H198" s="26"/>
      <c r="I198" s="86"/>
      <c r="J198" s="49"/>
      <c r="K198" s="18"/>
      <c r="L198" s="51"/>
      <c r="M198" s="16"/>
      <c r="N198" s="51"/>
      <c r="O198" s="40"/>
    </row>
    <row r="199" spans="1:15" x14ac:dyDescent="0.15">
      <c r="A199" s="23"/>
      <c r="B199" s="28"/>
      <c r="C199" s="29"/>
      <c r="D199" s="30"/>
      <c r="E199" s="31"/>
      <c r="F199" s="18" t="str">
        <f>IF(E197=0,"","B"&amp;E197&amp;"-0")</f>
        <v/>
      </c>
      <c r="G199" s="25"/>
      <c r="H199" s="26"/>
      <c r="I199" s="86"/>
      <c r="J199" s="49"/>
      <c r="K199" s="18"/>
      <c r="L199" s="51"/>
      <c r="M199" s="16"/>
      <c r="N199" s="51"/>
      <c r="O199" s="40"/>
    </row>
    <row r="200" spans="1:15" x14ac:dyDescent="0.15">
      <c r="A200" s="23"/>
      <c r="B200" s="28"/>
      <c r="C200" s="29"/>
      <c r="D200" s="30"/>
      <c r="E200" s="31"/>
      <c r="F200" s="18" t="str">
        <f>IF(E197=0,"","B"&amp;E197&amp;"-1")</f>
        <v/>
      </c>
      <c r="G200" s="25"/>
      <c r="H200" s="26"/>
      <c r="I200" s="86"/>
      <c r="J200" s="49"/>
      <c r="K200" s="18"/>
      <c r="L200" s="51"/>
      <c r="M200" s="16"/>
      <c r="N200" s="51"/>
      <c r="O200" s="40"/>
    </row>
    <row r="201" spans="1:15" x14ac:dyDescent="0.15">
      <c r="A201" s="23"/>
      <c r="B201" s="28"/>
      <c r="C201" s="29"/>
      <c r="D201" s="30"/>
      <c r="E201" s="31"/>
      <c r="F201" s="18" t="str">
        <f>IF(E197=0,"","C"&amp;E197&amp;"-0")</f>
        <v/>
      </c>
      <c r="G201" s="25"/>
      <c r="H201" s="26"/>
      <c r="I201" s="86"/>
      <c r="J201" s="49"/>
      <c r="K201" s="18"/>
      <c r="L201" s="51"/>
      <c r="M201" s="16"/>
      <c r="N201" s="51"/>
      <c r="O201" s="40"/>
    </row>
    <row r="202" spans="1:15" x14ac:dyDescent="0.15">
      <c r="A202" s="23"/>
      <c r="B202" s="28"/>
      <c r="C202" s="29"/>
      <c r="D202" s="30"/>
      <c r="E202" s="31"/>
      <c r="F202" s="18" t="str">
        <f>IF(E197=0,"","C"&amp;E197&amp;"-1")</f>
        <v/>
      </c>
      <c r="G202" s="25"/>
      <c r="H202" s="26"/>
      <c r="I202" s="86"/>
      <c r="J202" s="49"/>
      <c r="K202" s="18"/>
      <c r="L202" s="51"/>
      <c r="M202" s="16"/>
      <c r="N202" s="51"/>
      <c r="O202" s="40"/>
    </row>
    <row r="203" spans="1:15" x14ac:dyDescent="0.15">
      <c r="A203" s="23"/>
      <c r="B203" s="28"/>
      <c r="C203" s="29"/>
      <c r="D203" s="30"/>
      <c r="E203" s="32">
        <f>IF(AND(E197&gt;1,$D$3&gt;=E197+1),E197+1,0)</f>
        <v>0</v>
      </c>
      <c r="F203" s="18" t="str">
        <f>IF(E203=0,"","A"&amp;E203&amp;"-0")</f>
        <v/>
      </c>
      <c r="G203" s="25"/>
      <c r="H203" s="26"/>
      <c r="I203" s="86"/>
      <c r="J203" s="49"/>
      <c r="K203" s="18"/>
      <c r="L203" s="51"/>
      <c r="M203" s="16"/>
      <c r="N203" s="51"/>
      <c r="O203" s="40"/>
    </row>
    <row r="204" spans="1:15" x14ac:dyDescent="0.15">
      <c r="A204" s="23"/>
      <c r="B204" s="28"/>
      <c r="C204" s="29"/>
      <c r="D204" s="30"/>
      <c r="E204" s="33" t="str">
        <f>IF(E203&gt;0,"下段","")</f>
        <v/>
      </c>
      <c r="F204" s="18" t="str">
        <f>IF(E203=0,"","A"&amp;E203&amp;"-1")</f>
        <v/>
      </c>
      <c r="G204" s="25"/>
      <c r="H204" s="26"/>
      <c r="I204" s="86"/>
      <c r="J204" s="49"/>
      <c r="K204" s="18"/>
      <c r="L204" s="51"/>
      <c r="M204" s="16"/>
      <c r="N204" s="51"/>
      <c r="O204" s="40"/>
    </row>
    <row r="205" spans="1:15" x14ac:dyDescent="0.15">
      <c r="A205" s="23"/>
      <c r="B205" s="28"/>
      <c r="C205" s="29"/>
      <c r="D205" s="30"/>
      <c r="E205" s="33"/>
      <c r="F205" s="18" t="str">
        <f>IF(E203=0,"","B"&amp;E203&amp;"-0")</f>
        <v/>
      </c>
      <c r="G205" s="25"/>
      <c r="H205" s="26"/>
      <c r="I205" s="86"/>
      <c r="J205" s="49"/>
      <c r="K205" s="18"/>
      <c r="L205" s="51"/>
      <c r="M205" s="16"/>
      <c r="N205" s="51"/>
      <c r="O205" s="40"/>
    </row>
    <row r="206" spans="1:15" x14ac:dyDescent="0.15">
      <c r="A206" s="23"/>
      <c r="B206" s="28"/>
      <c r="C206" s="29"/>
      <c r="D206" s="30"/>
      <c r="E206" s="33"/>
      <c r="F206" s="18" t="str">
        <f>IF(E203=0,"","B"&amp;E203&amp;"-1")</f>
        <v/>
      </c>
      <c r="G206" s="25"/>
      <c r="H206" s="26"/>
      <c r="I206" s="86"/>
      <c r="J206" s="49"/>
      <c r="K206" s="18"/>
      <c r="L206" s="51"/>
      <c r="M206" s="16"/>
      <c r="N206" s="51"/>
      <c r="O206" s="40"/>
    </row>
    <row r="207" spans="1:15" x14ac:dyDescent="0.15">
      <c r="A207" s="23"/>
      <c r="B207" s="28"/>
      <c r="C207" s="29"/>
      <c r="D207" s="30"/>
      <c r="E207" s="33"/>
      <c r="F207" s="18" t="str">
        <f>IF(E203=0,"","C"&amp;E203&amp;"-0")</f>
        <v/>
      </c>
      <c r="G207" s="25"/>
      <c r="H207" s="26"/>
      <c r="I207" s="86"/>
      <c r="J207" s="49"/>
      <c r="K207" s="18"/>
      <c r="L207" s="51"/>
      <c r="M207" s="16"/>
      <c r="N207" s="51"/>
      <c r="O207" s="40"/>
    </row>
    <row r="208" spans="1:15" x14ac:dyDescent="0.15">
      <c r="A208" s="24"/>
      <c r="B208" s="34"/>
      <c r="C208" s="35"/>
      <c r="D208" s="36"/>
      <c r="E208" s="37"/>
      <c r="F208" s="18" t="str">
        <f>IF(E203=0,"","C"&amp;E203&amp;"-1")</f>
        <v/>
      </c>
      <c r="G208" s="25"/>
      <c r="H208" s="26"/>
      <c r="I208" s="86"/>
      <c r="J208" s="49"/>
      <c r="K208" s="18"/>
      <c r="L208" s="51"/>
      <c r="M208" s="16"/>
      <c r="N208" s="51"/>
      <c r="O208" s="40"/>
    </row>
    <row r="209" spans="1:15" x14ac:dyDescent="0.15">
      <c r="A209" s="42">
        <f>IF(AND(A197&gt;=1,ROUNDUP($D$3/2,0)&gt;=A197+1),A197+1,0)</f>
        <v>0</v>
      </c>
      <c r="B209" s="43"/>
      <c r="C209" s="44"/>
      <c r="D209" s="45"/>
      <c r="E209" s="27">
        <f>IF(AND(E203&gt;1,$D$3&gt;=E203+1),E203+1,0)</f>
        <v>0</v>
      </c>
      <c r="F209" s="18" t="str">
        <f>IF(E209=0,"","A"&amp;E209&amp;"-0")</f>
        <v/>
      </c>
      <c r="G209" s="25"/>
      <c r="H209" s="26"/>
      <c r="I209" s="86"/>
      <c r="J209" s="48"/>
      <c r="K209" s="18"/>
      <c r="L209" s="51"/>
      <c r="M209" s="16"/>
      <c r="N209" s="51"/>
      <c r="O209" s="40"/>
    </row>
    <row r="210" spans="1:15" x14ac:dyDescent="0.15">
      <c r="A210" s="23"/>
      <c r="B210" s="28"/>
      <c r="C210" s="29"/>
      <c r="D210" s="30"/>
      <c r="E210" s="31" t="str">
        <f>IF(E209&gt;0,"上段","")</f>
        <v/>
      </c>
      <c r="F210" s="18" t="str">
        <f>IF(E209=0,"","A"&amp;E209&amp;"-1")</f>
        <v/>
      </c>
      <c r="G210" s="25"/>
      <c r="H210" s="26"/>
      <c r="I210" s="86"/>
      <c r="J210" s="49"/>
      <c r="K210" s="18"/>
      <c r="L210" s="51"/>
      <c r="M210" s="16"/>
      <c r="N210" s="51"/>
      <c r="O210" s="40"/>
    </row>
    <row r="211" spans="1:15" x14ac:dyDescent="0.15">
      <c r="A211" s="23"/>
      <c r="B211" s="28"/>
      <c r="C211" s="29"/>
      <c r="D211" s="30"/>
      <c r="E211" s="31"/>
      <c r="F211" s="18" t="str">
        <f>IF(E209=0,"","B"&amp;E209&amp;"-0")</f>
        <v/>
      </c>
      <c r="G211" s="25"/>
      <c r="H211" s="26"/>
      <c r="I211" s="86"/>
      <c r="J211" s="49"/>
      <c r="K211" s="18"/>
      <c r="L211" s="51"/>
      <c r="M211" s="16"/>
      <c r="N211" s="51"/>
      <c r="O211" s="40"/>
    </row>
    <row r="212" spans="1:15" x14ac:dyDescent="0.15">
      <c r="A212" s="23"/>
      <c r="B212" s="28"/>
      <c r="C212" s="29"/>
      <c r="D212" s="30"/>
      <c r="E212" s="31"/>
      <c r="F212" s="18" t="str">
        <f>IF(E209=0,"","B"&amp;E209&amp;"-1")</f>
        <v/>
      </c>
      <c r="G212" s="25"/>
      <c r="H212" s="26"/>
      <c r="I212" s="86"/>
      <c r="J212" s="49"/>
      <c r="K212" s="18"/>
      <c r="L212" s="51"/>
      <c r="M212" s="16"/>
      <c r="N212" s="51"/>
      <c r="O212" s="40"/>
    </row>
    <row r="213" spans="1:15" x14ac:dyDescent="0.15">
      <c r="A213" s="23"/>
      <c r="B213" s="28"/>
      <c r="C213" s="29"/>
      <c r="D213" s="30"/>
      <c r="E213" s="31"/>
      <c r="F213" s="18" t="str">
        <f>IF(E209=0,"","C"&amp;E209&amp;"-0")</f>
        <v/>
      </c>
      <c r="G213" s="25"/>
      <c r="H213" s="26"/>
      <c r="I213" s="86"/>
      <c r="J213" s="49"/>
      <c r="K213" s="18"/>
      <c r="L213" s="51"/>
      <c r="M213" s="16"/>
      <c r="N213" s="51"/>
      <c r="O213" s="40"/>
    </row>
    <row r="214" spans="1:15" x14ac:dyDescent="0.15">
      <c r="A214" s="23"/>
      <c r="B214" s="28"/>
      <c r="C214" s="29"/>
      <c r="D214" s="30"/>
      <c r="E214" s="31"/>
      <c r="F214" s="18" t="str">
        <f>IF(E209=0,"","C"&amp;E209&amp;"-1")</f>
        <v/>
      </c>
      <c r="G214" s="25"/>
      <c r="H214" s="26"/>
      <c r="I214" s="86"/>
      <c r="J214" s="49"/>
      <c r="K214" s="18"/>
      <c r="L214" s="51"/>
      <c r="M214" s="16"/>
      <c r="N214" s="51"/>
      <c r="O214" s="40"/>
    </row>
    <row r="215" spans="1:15" x14ac:dyDescent="0.15">
      <c r="A215" s="23"/>
      <c r="B215" s="28"/>
      <c r="C215" s="29"/>
      <c r="D215" s="30"/>
      <c r="E215" s="32">
        <f>IF(AND(E209&gt;1,$D$3&gt;=E209+1),E209+1,0)</f>
        <v>0</v>
      </c>
      <c r="F215" s="18" t="str">
        <f>IF(E215=0,"","A"&amp;E215&amp;"-0")</f>
        <v/>
      </c>
      <c r="G215" s="25"/>
      <c r="H215" s="26"/>
      <c r="I215" s="86"/>
      <c r="J215" s="49"/>
      <c r="K215" s="18"/>
      <c r="L215" s="51"/>
      <c r="M215" s="16"/>
      <c r="N215" s="51"/>
      <c r="O215" s="40"/>
    </row>
    <row r="216" spans="1:15" x14ac:dyDescent="0.15">
      <c r="A216" s="23"/>
      <c r="B216" s="28"/>
      <c r="C216" s="29"/>
      <c r="D216" s="30"/>
      <c r="E216" s="33" t="str">
        <f>IF(E215&gt;0,"下段","")</f>
        <v/>
      </c>
      <c r="F216" s="18" t="str">
        <f>IF(E215=0,"","A"&amp;E215&amp;"-1")</f>
        <v/>
      </c>
      <c r="G216" s="25"/>
      <c r="H216" s="26"/>
      <c r="I216" s="86"/>
      <c r="J216" s="49"/>
      <c r="K216" s="18"/>
      <c r="L216" s="51"/>
      <c r="M216" s="16"/>
      <c r="N216" s="51"/>
      <c r="O216" s="40"/>
    </row>
    <row r="217" spans="1:15" x14ac:dyDescent="0.15">
      <c r="A217" s="23"/>
      <c r="B217" s="28"/>
      <c r="C217" s="29"/>
      <c r="D217" s="30"/>
      <c r="E217" s="33"/>
      <c r="F217" s="18" t="str">
        <f>IF(E215=0,"","B"&amp;E215&amp;"-0")</f>
        <v/>
      </c>
      <c r="G217" s="25"/>
      <c r="H217" s="26"/>
      <c r="I217" s="86"/>
      <c r="J217" s="49"/>
      <c r="K217" s="18"/>
      <c r="L217" s="51"/>
      <c r="M217" s="16"/>
      <c r="N217" s="51"/>
      <c r="O217" s="40"/>
    </row>
    <row r="218" spans="1:15" x14ac:dyDescent="0.15">
      <c r="A218" s="23"/>
      <c r="B218" s="28"/>
      <c r="C218" s="29"/>
      <c r="D218" s="30"/>
      <c r="E218" s="33"/>
      <c r="F218" s="18" t="str">
        <f>IF(E215=0,"","B"&amp;E215&amp;"-1")</f>
        <v/>
      </c>
      <c r="G218" s="25"/>
      <c r="H218" s="26"/>
      <c r="I218" s="86"/>
      <c r="J218" s="49"/>
      <c r="K218" s="18"/>
      <c r="L218" s="51"/>
      <c r="M218" s="16"/>
      <c r="N218" s="51"/>
      <c r="O218" s="40"/>
    </row>
    <row r="219" spans="1:15" x14ac:dyDescent="0.15">
      <c r="A219" s="23"/>
      <c r="B219" s="28"/>
      <c r="C219" s="29"/>
      <c r="D219" s="30"/>
      <c r="E219" s="33"/>
      <c r="F219" s="18" t="str">
        <f>IF(E215=0,"","C"&amp;E215&amp;"-0")</f>
        <v/>
      </c>
      <c r="G219" s="25"/>
      <c r="H219" s="26"/>
      <c r="I219" s="86"/>
      <c r="J219" s="49"/>
      <c r="K219" s="18"/>
      <c r="L219" s="51"/>
      <c r="M219" s="16"/>
      <c r="N219" s="51"/>
      <c r="O219" s="40"/>
    </row>
    <row r="220" spans="1:15" x14ac:dyDescent="0.15">
      <c r="A220" s="24"/>
      <c r="B220" s="34"/>
      <c r="C220" s="35"/>
      <c r="D220" s="36"/>
      <c r="E220" s="37"/>
      <c r="F220" s="18" t="str">
        <f>IF(E215=0,"","C"&amp;E215&amp;"-1")</f>
        <v/>
      </c>
      <c r="G220" s="25"/>
      <c r="H220" s="26"/>
      <c r="I220" s="86"/>
      <c r="J220" s="49"/>
      <c r="K220" s="18"/>
      <c r="L220" s="51"/>
      <c r="M220" s="16"/>
      <c r="N220" s="51"/>
      <c r="O220" s="40"/>
    </row>
    <row r="221" spans="1:15" x14ac:dyDescent="0.15">
      <c r="A221" s="42">
        <f>IF(AND(A209&gt;=1,ROUNDUP($D$3/2,0)&gt;=A209+1),A209+1,0)</f>
        <v>0</v>
      </c>
      <c r="B221" s="43"/>
      <c r="C221" s="44"/>
      <c r="D221" s="45"/>
      <c r="E221" s="27">
        <f>IF(AND(E215&gt;1,$D$3&gt;=E215+1),E215+1,0)</f>
        <v>0</v>
      </c>
      <c r="F221" s="18" t="str">
        <f>IF(E221=0,"","A"&amp;E221&amp;"-0")</f>
        <v/>
      </c>
      <c r="G221" s="25"/>
      <c r="H221" s="26"/>
      <c r="I221" s="86"/>
      <c r="J221" s="48"/>
      <c r="K221" s="18"/>
      <c r="L221" s="51"/>
      <c r="M221" s="16"/>
      <c r="N221" s="51"/>
      <c r="O221" s="40"/>
    </row>
    <row r="222" spans="1:15" x14ac:dyDescent="0.15">
      <c r="A222" s="23"/>
      <c r="B222" s="28"/>
      <c r="C222" s="29"/>
      <c r="D222" s="30"/>
      <c r="E222" s="31" t="str">
        <f>IF(E221&gt;0,"上段","")</f>
        <v/>
      </c>
      <c r="F222" s="18" t="str">
        <f>IF(E221=0,"","A"&amp;E221&amp;"-1")</f>
        <v/>
      </c>
      <c r="G222" s="25"/>
      <c r="H222" s="26"/>
      <c r="I222" s="86"/>
      <c r="J222" s="49"/>
      <c r="K222" s="18"/>
      <c r="L222" s="51"/>
      <c r="M222" s="16"/>
      <c r="N222" s="51"/>
      <c r="O222" s="40"/>
    </row>
    <row r="223" spans="1:15" x14ac:dyDescent="0.15">
      <c r="A223" s="23"/>
      <c r="B223" s="28"/>
      <c r="C223" s="29"/>
      <c r="D223" s="30"/>
      <c r="E223" s="31"/>
      <c r="F223" s="18" t="str">
        <f>IF(E221=0,"","B"&amp;E221&amp;"-0")</f>
        <v/>
      </c>
      <c r="G223" s="25"/>
      <c r="H223" s="26"/>
      <c r="I223" s="86"/>
      <c r="J223" s="49"/>
      <c r="K223" s="18"/>
      <c r="L223" s="51"/>
      <c r="M223" s="16"/>
      <c r="N223" s="51"/>
      <c r="O223" s="40"/>
    </row>
    <row r="224" spans="1:15" x14ac:dyDescent="0.15">
      <c r="A224" s="23"/>
      <c r="B224" s="28"/>
      <c r="C224" s="29"/>
      <c r="D224" s="30"/>
      <c r="E224" s="31"/>
      <c r="F224" s="18" t="str">
        <f>IF(E221=0,"","B"&amp;E221&amp;"-1")</f>
        <v/>
      </c>
      <c r="G224" s="25"/>
      <c r="H224" s="26"/>
      <c r="I224" s="86"/>
      <c r="J224" s="49"/>
      <c r="K224" s="18"/>
      <c r="L224" s="51"/>
      <c r="M224" s="16"/>
      <c r="N224" s="51"/>
      <c r="O224" s="40"/>
    </row>
    <row r="225" spans="1:15" x14ac:dyDescent="0.15">
      <c r="A225" s="23"/>
      <c r="B225" s="28"/>
      <c r="C225" s="29"/>
      <c r="D225" s="30"/>
      <c r="E225" s="31"/>
      <c r="F225" s="18" t="str">
        <f>IF(E221=0,"","C"&amp;E221&amp;"-0")</f>
        <v/>
      </c>
      <c r="G225" s="25"/>
      <c r="H225" s="26"/>
      <c r="I225" s="86"/>
      <c r="J225" s="49"/>
      <c r="K225" s="18"/>
      <c r="L225" s="51"/>
      <c r="M225" s="16"/>
      <c r="N225" s="51"/>
      <c r="O225" s="40"/>
    </row>
    <row r="226" spans="1:15" x14ac:dyDescent="0.15">
      <c r="A226" s="23"/>
      <c r="B226" s="28"/>
      <c r="C226" s="29"/>
      <c r="D226" s="30"/>
      <c r="E226" s="31"/>
      <c r="F226" s="18" t="str">
        <f>IF(E221=0,"","C"&amp;E221&amp;"-1")</f>
        <v/>
      </c>
      <c r="G226" s="25"/>
      <c r="H226" s="26"/>
      <c r="I226" s="86"/>
      <c r="J226" s="49"/>
      <c r="K226" s="18"/>
      <c r="L226" s="51"/>
      <c r="M226" s="16"/>
      <c r="N226" s="51"/>
      <c r="O226" s="40"/>
    </row>
    <row r="227" spans="1:15" x14ac:dyDescent="0.15">
      <c r="A227" s="23"/>
      <c r="B227" s="28"/>
      <c r="C227" s="29"/>
      <c r="D227" s="30"/>
      <c r="E227" s="32">
        <f>IF(AND(E221&gt;1,$D$3&gt;=E221+1),E221+1,0)</f>
        <v>0</v>
      </c>
      <c r="F227" s="18" t="str">
        <f>IF(E227=0,"","A"&amp;E227&amp;"-0")</f>
        <v/>
      </c>
      <c r="G227" s="25"/>
      <c r="H227" s="26"/>
      <c r="I227" s="86"/>
      <c r="J227" s="49"/>
      <c r="K227" s="18"/>
      <c r="L227" s="51"/>
      <c r="M227" s="16"/>
      <c r="N227" s="51"/>
      <c r="O227" s="40"/>
    </row>
    <row r="228" spans="1:15" x14ac:dyDescent="0.15">
      <c r="A228" s="23"/>
      <c r="B228" s="28"/>
      <c r="C228" s="29"/>
      <c r="D228" s="30"/>
      <c r="E228" s="33" t="str">
        <f>IF(E227&gt;0,"下段","")</f>
        <v/>
      </c>
      <c r="F228" s="18" t="str">
        <f>IF(E227=0,"","A"&amp;E227&amp;"-1")</f>
        <v/>
      </c>
      <c r="G228" s="25"/>
      <c r="H228" s="26"/>
      <c r="I228" s="86"/>
      <c r="J228" s="49"/>
      <c r="K228" s="18"/>
      <c r="L228" s="51"/>
      <c r="M228" s="16"/>
      <c r="N228" s="51"/>
      <c r="O228" s="40"/>
    </row>
    <row r="229" spans="1:15" x14ac:dyDescent="0.15">
      <c r="A229" s="23"/>
      <c r="B229" s="28"/>
      <c r="C229" s="29"/>
      <c r="D229" s="30"/>
      <c r="E229" s="33"/>
      <c r="F229" s="18" t="str">
        <f>IF(E227=0,"","B"&amp;E227&amp;"-0")</f>
        <v/>
      </c>
      <c r="G229" s="25"/>
      <c r="H229" s="26"/>
      <c r="I229" s="86"/>
      <c r="J229" s="49"/>
      <c r="K229" s="18"/>
      <c r="L229" s="51"/>
      <c r="M229" s="16"/>
      <c r="N229" s="51"/>
      <c r="O229" s="40"/>
    </row>
    <row r="230" spans="1:15" x14ac:dyDescent="0.15">
      <c r="A230" s="23"/>
      <c r="B230" s="28"/>
      <c r="C230" s="29"/>
      <c r="D230" s="30"/>
      <c r="E230" s="33"/>
      <c r="F230" s="18" t="str">
        <f>IF(E227=0,"","B"&amp;E227&amp;"-1")</f>
        <v/>
      </c>
      <c r="G230" s="25"/>
      <c r="H230" s="26"/>
      <c r="I230" s="86"/>
      <c r="J230" s="49"/>
      <c r="K230" s="18"/>
      <c r="L230" s="51"/>
      <c r="M230" s="16"/>
      <c r="N230" s="51"/>
      <c r="O230" s="40"/>
    </row>
    <row r="231" spans="1:15" x14ac:dyDescent="0.15">
      <c r="A231" s="23"/>
      <c r="B231" s="28"/>
      <c r="C231" s="29"/>
      <c r="D231" s="30"/>
      <c r="E231" s="33"/>
      <c r="F231" s="18" t="str">
        <f>IF(E227=0,"","C"&amp;E227&amp;"-0")</f>
        <v/>
      </c>
      <c r="G231" s="25"/>
      <c r="H231" s="26"/>
      <c r="I231" s="86"/>
      <c r="J231" s="49"/>
      <c r="K231" s="18"/>
      <c r="L231" s="51"/>
      <c r="M231" s="16"/>
      <c r="N231" s="51"/>
      <c r="O231" s="40"/>
    </row>
    <row r="232" spans="1:15" x14ac:dyDescent="0.15">
      <c r="A232" s="24"/>
      <c r="B232" s="34"/>
      <c r="C232" s="35"/>
      <c r="D232" s="36"/>
      <c r="E232" s="37"/>
      <c r="F232" s="18" t="str">
        <f>IF(E227=0,"","C"&amp;E227&amp;"-1")</f>
        <v/>
      </c>
      <c r="G232" s="25"/>
      <c r="H232" s="26"/>
      <c r="I232" s="86"/>
      <c r="J232" s="49"/>
      <c r="K232" s="18"/>
      <c r="L232" s="51"/>
      <c r="M232" s="16"/>
      <c r="N232" s="51"/>
      <c r="O232" s="40"/>
    </row>
    <row r="233" spans="1:15" x14ac:dyDescent="0.15">
      <c r="A233" s="42">
        <f>IF(AND(A221&gt;=1,ROUNDUP($D$3/2,0)&gt;=A221+1),A221+1,0)</f>
        <v>0</v>
      </c>
      <c r="B233" s="43"/>
      <c r="C233" s="44"/>
      <c r="D233" s="45"/>
      <c r="E233" s="27">
        <f>IF(AND(E227&gt;1,$D$3&gt;=E227+1),E227+1,0)</f>
        <v>0</v>
      </c>
      <c r="F233" s="18" t="str">
        <f>IF(E233=0,"","A"&amp;E233&amp;"-0")</f>
        <v/>
      </c>
      <c r="G233" s="25"/>
      <c r="H233" s="26"/>
      <c r="I233" s="86"/>
      <c r="J233" s="48"/>
      <c r="K233" s="18"/>
      <c r="L233" s="51"/>
      <c r="M233" s="16"/>
      <c r="N233" s="51"/>
      <c r="O233" s="40"/>
    </row>
    <row r="234" spans="1:15" x14ac:dyDescent="0.15">
      <c r="A234" s="23"/>
      <c r="B234" s="28"/>
      <c r="C234" s="29"/>
      <c r="D234" s="30"/>
      <c r="E234" s="31" t="str">
        <f>IF(E233&gt;0,"上段","")</f>
        <v/>
      </c>
      <c r="F234" s="18" t="str">
        <f>IF(E233=0,"","A"&amp;E233&amp;"-1")</f>
        <v/>
      </c>
      <c r="G234" s="25"/>
      <c r="H234" s="26"/>
      <c r="I234" s="86"/>
      <c r="J234" s="49"/>
      <c r="K234" s="18"/>
      <c r="L234" s="51"/>
      <c r="M234" s="16"/>
      <c r="N234" s="51"/>
      <c r="O234" s="40"/>
    </row>
    <row r="235" spans="1:15" x14ac:dyDescent="0.15">
      <c r="A235" s="23"/>
      <c r="B235" s="28"/>
      <c r="C235" s="29"/>
      <c r="D235" s="30"/>
      <c r="E235" s="31"/>
      <c r="F235" s="18" t="str">
        <f>IF(E233=0,"","B"&amp;E233&amp;"-0")</f>
        <v/>
      </c>
      <c r="G235" s="25"/>
      <c r="H235" s="26"/>
      <c r="I235" s="86"/>
      <c r="J235" s="49"/>
      <c r="K235" s="18"/>
      <c r="L235" s="51"/>
      <c r="M235" s="16"/>
      <c r="N235" s="51"/>
      <c r="O235" s="40"/>
    </row>
    <row r="236" spans="1:15" x14ac:dyDescent="0.15">
      <c r="A236" s="23"/>
      <c r="B236" s="28"/>
      <c r="C236" s="29"/>
      <c r="D236" s="30"/>
      <c r="E236" s="31"/>
      <c r="F236" s="18" t="str">
        <f>IF(E233=0,"","B"&amp;E233&amp;"-1")</f>
        <v/>
      </c>
      <c r="G236" s="25"/>
      <c r="H236" s="26"/>
      <c r="I236" s="86"/>
      <c r="J236" s="49"/>
      <c r="K236" s="18"/>
      <c r="L236" s="51"/>
      <c r="M236" s="16"/>
      <c r="N236" s="51"/>
      <c r="O236" s="40"/>
    </row>
    <row r="237" spans="1:15" x14ac:dyDescent="0.15">
      <c r="A237" s="23"/>
      <c r="B237" s="28"/>
      <c r="C237" s="29"/>
      <c r="D237" s="30"/>
      <c r="E237" s="31"/>
      <c r="F237" s="18" t="str">
        <f>IF(E233=0,"","C"&amp;E233&amp;"-0")</f>
        <v/>
      </c>
      <c r="G237" s="25"/>
      <c r="H237" s="26"/>
      <c r="I237" s="86"/>
      <c r="J237" s="49"/>
      <c r="K237" s="18"/>
      <c r="L237" s="51"/>
      <c r="M237" s="16"/>
      <c r="N237" s="51"/>
      <c r="O237" s="40"/>
    </row>
    <row r="238" spans="1:15" x14ac:dyDescent="0.15">
      <c r="A238" s="23"/>
      <c r="B238" s="28"/>
      <c r="C238" s="29"/>
      <c r="D238" s="30"/>
      <c r="E238" s="31"/>
      <c r="F238" s="18" t="str">
        <f>IF(E233=0,"","C"&amp;E233&amp;"-1")</f>
        <v/>
      </c>
      <c r="G238" s="25"/>
      <c r="H238" s="26"/>
      <c r="I238" s="86"/>
      <c r="J238" s="49"/>
      <c r="K238" s="18"/>
      <c r="L238" s="51"/>
      <c r="M238" s="16"/>
      <c r="N238" s="51"/>
      <c r="O238" s="40"/>
    </row>
    <row r="239" spans="1:15" x14ac:dyDescent="0.15">
      <c r="A239" s="23"/>
      <c r="B239" s="28"/>
      <c r="C239" s="29"/>
      <c r="D239" s="30"/>
      <c r="E239" s="32">
        <f>IF(AND(E233&gt;1,$D$3&gt;=E233+1),E233+1,0)</f>
        <v>0</v>
      </c>
      <c r="F239" s="18" t="str">
        <f>IF(E239=0,"","A"&amp;E239&amp;"-0")</f>
        <v/>
      </c>
      <c r="G239" s="25"/>
      <c r="H239" s="26"/>
      <c r="I239" s="86"/>
      <c r="J239" s="49"/>
      <c r="K239" s="18"/>
      <c r="L239" s="51"/>
      <c r="M239" s="16"/>
      <c r="N239" s="51"/>
      <c r="O239" s="40"/>
    </row>
    <row r="240" spans="1:15" x14ac:dyDescent="0.15">
      <c r="A240" s="23"/>
      <c r="B240" s="28"/>
      <c r="C240" s="29"/>
      <c r="D240" s="30"/>
      <c r="E240" s="33" t="str">
        <f>IF(E239&gt;0,"下段","")</f>
        <v/>
      </c>
      <c r="F240" s="18" t="str">
        <f>IF(E239=0,"","A"&amp;E239&amp;"-1")</f>
        <v/>
      </c>
      <c r="G240" s="25"/>
      <c r="H240" s="26"/>
      <c r="I240" s="86"/>
      <c r="J240" s="49"/>
      <c r="K240" s="18"/>
      <c r="L240" s="51"/>
      <c r="M240" s="16"/>
      <c r="N240" s="51"/>
      <c r="O240" s="40"/>
    </row>
    <row r="241" spans="1:15" x14ac:dyDescent="0.15">
      <c r="A241" s="23"/>
      <c r="B241" s="28"/>
      <c r="C241" s="29"/>
      <c r="D241" s="30"/>
      <c r="E241" s="33"/>
      <c r="F241" s="18" t="str">
        <f>IF(E239=0,"","B"&amp;E239&amp;"-0")</f>
        <v/>
      </c>
      <c r="G241" s="25"/>
      <c r="H241" s="26"/>
      <c r="I241" s="86"/>
      <c r="J241" s="49"/>
      <c r="K241" s="18"/>
      <c r="L241" s="51"/>
      <c r="M241" s="16"/>
      <c r="N241" s="51"/>
      <c r="O241" s="40"/>
    </row>
    <row r="242" spans="1:15" x14ac:dyDescent="0.15">
      <c r="A242" s="23"/>
      <c r="B242" s="28"/>
      <c r="C242" s="29"/>
      <c r="D242" s="30"/>
      <c r="E242" s="33"/>
      <c r="F242" s="18" t="str">
        <f>IF(E239=0,"","B"&amp;E239&amp;"-1")</f>
        <v/>
      </c>
      <c r="G242" s="25"/>
      <c r="H242" s="26"/>
      <c r="I242" s="86"/>
      <c r="J242" s="49"/>
      <c r="K242" s="18"/>
      <c r="L242" s="51"/>
      <c r="M242" s="16"/>
      <c r="N242" s="51"/>
      <c r="O242" s="40"/>
    </row>
    <row r="243" spans="1:15" x14ac:dyDescent="0.15">
      <c r="A243" s="23"/>
      <c r="B243" s="28"/>
      <c r="C243" s="29"/>
      <c r="D243" s="30"/>
      <c r="E243" s="33"/>
      <c r="F243" s="18" t="str">
        <f>IF(E239=0,"","C"&amp;E239&amp;"-0")</f>
        <v/>
      </c>
      <c r="G243" s="25"/>
      <c r="H243" s="26"/>
      <c r="I243" s="86"/>
      <c r="J243" s="49"/>
      <c r="K243" s="18"/>
      <c r="L243" s="51"/>
      <c r="M243" s="16"/>
      <c r="N243" s="51"/>
      <c r="O243" s="40"/>
    </row>
    <row r="244" spans="1:15" x14ac:dyDescent="0.15">
      <c r="A244" s="24"/>
      <c r="B244" s="34"/>
      <c r="C244" s="35"/>
      <c r="D244" s="36"/>
      <c r="E244" s="37"/>
      <c r="F244" s="18" t="str">
        <f>IF(E239=0,"","C"&amp;E239&amp;"-1")</f>
        <v/>
      </c>
      <c r="G244" s="25"/>
      <c r="H244" s="26"/>
      <c r="I244" s="86"/>
      <c r="J244" s="49"/>
      <c r="K244" s="18"/>
      <c r="L244" s="51"/>
      <c r="M244" s="16"/>
      <c r="N244" s="51"/>
      <c r="O244" s="40"/>
    </row>
    <row r="245" spans="1:15" x14ac:dyDescent="0.15">
      <c r="A245" s="42">
        <f>IF(AND(A233&gt;=1,ROUNDUP($D$3/2,0)&gt;=A233+1),A233+1,0)</f>
        <v>0</v>
      </c>
      <c r="B245" s="43"/>
      <c r="C245" s="44"/>
      <c r="D245" s="45"/>
      <c r="E245" s="27">
        <f>IF(AND(E239&gt;1,$D$3&gt;=E239+1),E239+1,0)</f>
        <v>0</v>
      </c>
      <c r="F245" s="18" t="str">
        <f>IF(E245=0,"","A"&amp;E245&amp;"-0")</f>
        <v/>
      </c>
      <c r="G245" s="25"/>
      <c r="H245" s="26"/>
      <c r="I245" s="86"/>
      <c r="J245" s="48"/>
      <c r="K245" s="18"/>
      <c r="L245" s="51"/>
      <c r="M245" s="16"/>
      <c r="N245" s="51"/>
      <c r="O245" s="40"/>
    </row>
    <row r="246" spans="1:15" x14ac:dyDescent="0.15">
      <c r="A246" s="23"/>
      <c r="B246" s="28"/>
      <c r="C246" s="29"/>
      <c r="D246" s="30"/>
      <c r="E246" s="31" t="str">
        <f>IF(E245&gt;0,"上段","")</f>
        <v/>
      </c>
      <c r="F246" s="18" t="str">
        <f>IF(E245=0,"","A"&amp;E245&amp;"-1")</f>
        <v/>
      </c>
      <c r="G246" s="25"/>
      <c r="H246" s="26"/>
      <c r="I246" s="86"/>
      <c r="J246" s="49"/>
      <c r="K246" s="18"/>
      <c r="L246" s="51"/>
      <c r="M246" s="16"/>
      <c r="N246" s="51"/>
      <c r="O246" s="40"/>
    </row>
    <row r="247" spans="1:15" x14ac:dyDescent="0.15">
      <c r="A247" s="23"/>
      <c r="B247" s="28"/>
      <c r="C247" s="29"/>
      <c r="D247" s="30"/>
      <c r="E247" s="31"/>
      <c r="F247" s="18" t="str">
        <f>IF(E245=0,"","B"&amp;E245&amp;"-0")</f>
        <v/>
      </c>
      <c r="G247" s="25"/>
      <c r="H247" s="26"/>
      <c r="I247" s="86"/>
      <c r="J247" s="49"/>
      <c r="K247" s="18"/>
      <c r="L247" s="51"/>
      <c r="M247" s="16"/>
      <c r="N247" s="51"/>
      <c r="O247" s="40"/>
    </row>
    <row r="248" spans="1:15" x14ac:dyDescent="0.15">
      <c r="A248" s="23"/>
      <c r="B248" s="28"/>
      <c r="C248" s="29"/>
      <c r="D248" s="30"/>
      <c r="E248" s="31"/>
      <c r="F248" s="18" t="str">
        <f>IF(E245=0,"","B"&amp;E245&amp;"-1")</f>
        <v/>
      </c>
      <c r="G248" s="25"/>
      <c r="H248" s="26"/>
      <c r="I248" s="86"/>
      <c r="J248" s="49"/>
      <c r="K248" s="18"/>
      <c r="L248" s="51"/>
      <c r="M248" s="16"/>
      <c r="N248" s="51"/>
      <c r="O248" s="40"/>
    </row>
    <row r="249" spans="1:15" x14ac:dyDescent="0.15">
      <c r="A249" s="23"/>
      <c r="B249" s="28"/>
      <c r="C249" s="29"/>
      <c r="D249" s="30"/>
      <c r="E249" s="31"/>
      <c r="F249" s="18" t="str">
        <f>IF(E245=0,"","C"&amp;E245&amp;"-0")</f>
        <v/>
      </c>
      <c r="G249" s="25"/>
      <c r="H249" s="26"/>
      <c r="I249" s="86"/>
      <c r="J249" s="49"/>
      <c r="K249" s="18"/>
      <c r="L249" s="51"/>
      <c r="M249" s="16"/>
      <c r="N249" s="51"/>
      <c r="O249" s="40"/>
    </row>
    <row r="250" spans="1:15" x14ac:dyDescent="0.15">
      <c r="A250" s="23"/>
      <c r="B250" s="28"/>
      <c r="C250" s="29"/>
      <c r="D250" s="30"/>
      <c r="E250" s="31"/>
      <c r="F250" s="18" t="str">
        <f>IF(E245=0,"","C"&amp;E245&amp;"-1")</f>
        <v/>
      </c>
      <c r="G250" s="25"/>
      <c r="H250" s="26"/>
      <c r="I250" s="86"/>
      <c r="J250" s="49"/>
      <c r="K250" s="18"/>
      <c r="L250" s="51"/>
      <c r="M250" s="16"/>
      <c r="N250" s="51"/>
      <c r="O250" s="40"/>
    </row>
    <row r="251" spans="1:15" x14ac:dyDescent="0.15">
      <c r="A251" s="23"/>
      <c r="B251" s="28"/>
      <c r="C251" s="29"/>
      <c r="D251" s="30"/>
      <c r="E251" s="32">
        <f>IF(AND(E245&gt;1,$D$3&gt;=E245+1),E245+1,0)</f>
        <v>0</v>
      </c>
      <c r="F251" s="18" t="str">
        <f>IF(E251=0,"","A"&amp;E251&amp;"-0")</f>
        <v/>
      </c>
      <c r="G251" s="25"/>
      <c r="H251" s="26"/>
      <c r="I251" s="86"/>
      <c r="J251" s="49"/>
      <c r="K251" s="18"/>
      <c r="L251" s="51"/>
      <c r="M251" s="16"/>
      <c r="N251" s="51"/>
      <c r="O251" s="40"/>
    </row>
    <row r="252" spans="1:15" x14ac:dyDescent="0.15">
      <c r="A252" s="23"/>
      <c r="B252" s="28"/>
      <c r="C252" s="29"/>
      <c r="D252" s="30"/>
      <c r="E252" s="33" t="str">
        <f>IF(E251&gt;0,"下段","")</f>
        <v/>
      </c>
      <c r="F252" s="18" t="str">
        <f>IF(E251=0,"","A"&amp;E251&amp;"-1")</f>
        <v/>
      </c>
      <c r="G252" s="25"/>
      <c r="H252" s="26"/>
      <c r="I252" s="86"/>
      <c r="J252" s="49"/>
      <c r="K252" s="18"/>
      <c r="L252" s="51"/>
      <c r="M252" s="16"/>
      <c r="N252" s="51"/>
      <c r="O252" s="40"/>
    </row>
    <row r="253" spans="1:15" x14ac:dyDescent="0.15">
      <c r="A253" s="23"/>
      <c r="B253" s="28"/>
      <c r="C253" s="29"/>
      <c r="D253" s="30"/>
      <c r="E253" s="33"/>
      <c r="F253" s="18" t="str">
        <f>IF(E251=0,"","B"&amp;E251&amp;"-0")</f>
        <v/>
      </c>
      <c r="G253" s="25"/>
      <c r="H253" s="26"/>
      <c r="I253" s="86"/>
      <c r="J253" s="49"/>
      <c r="K253" s="18"/>
      <c r="L253" s="51"/>
      <c r="M253" s="16"/>
      <c r="N253" s="51"/>
      <c r="O253" s="40"/>
    </row>
    <row r="254" spans="1:15" x14ac:dyDescent="0.15">
      <c r="A254" s="23"/>
      <c r="B254" s="28"/>
      <c r="C254" s="29"/>
      <c r="D254" s="30"/>
      <c r="E254" s="33"/>
      <c r="F254" s="18" t="str">
        <f>IF(E251=0,"","B"&amp;E251&amp;"-1")</f>
        <v/>
      </c>
      <c r="G254" s="25"/>
      <c r="H254" s="26"/>
      <c r="I254" s="86"/>
      <c r="J254" s="49"/>
      <c r="K254" s="18"/>
      <c r="L254" s="51"/>
      <c r="M254" s="16"/>
      <c r="N254" s="51"/>
      <c r="O254" s="40"/>
    </row>
    <row r="255" spans="1:15" x14ac:dyDescent="0.15">
      <c r="A255" s="23"/>
      <c r="B255" s="28"/>
      <c r="C255" s="29"/>
      <c r="D255" s="30"/>
      <c r="E255" s="33"/>
      <c r="F255" s="18" t="str">
        <f>IF(E251=0,"","C"&amp;E251&amp;"-0")</f>
        <v/>
      </c>
      <c r="G255" s="25"/>
      <c r="H255" s="26"/>
      <c r="I255" s="86"/>
      <c r="J255" s="49"/>
      <c r="K255" s="18"/>
      <c r="L255" s="51"/>
      <c r="M255" s="16"/>
      <c r="N255" s="51"/>
      <c r="O255" s="40"/>
    </row>
    <row r="256" spans="1:15" x14ac:dyDescent="0.15">
      <c r="A256" s="24"/>
      <c r="B256" s="34"/>
      <c r="C256" s="35"/>
      <c r="D256" s="36"/>
      <c r="E256" s="37"/>
      <c r="F256" s="18" t="str">
        <f>IF(E251=0,"","C"&amp;E251&amp;"-1")</f>
        <v/>
      </c>
      <c r="G256" s="25"/>
      <c r="H256" s="26"/>
      <c r="I256" s="86"/>
      <c r="J256" s="49"/>
      <c r="K256" s="18"/>
      <c r="L256" s="51"/>
      <c r="M256" s="16"/>
      <c r="N256" s="51"/>
      <c r="O256" s="40"/>
    </row>
    <row r="257" spans="1:15" x14ac:dyDescent="0.15">
      <c r="A257" s="42">
        <f>IF(AND(A245&gt;=1,ROUNDUP($D$3/2,0)&gt;=A245+1),A245+1,0)</f>
        <v>0</v>
      </c>
      <c r="B257" s="43"/>
      <c r="C257" s="44"/>
      <c r="D257" s="45"/>
      <c r="E257" s="27">
        <f>IF(AND(E251&gt;1,$D$3&gt;=E251+1),E251+1,0)</f>
        <v>0</v>
      </c>
      <c r="F257" s="18" t="str">
        <f>IF(E257=0,"","A"&amp;E257&amp;"-0")</f>
        <v/>
      </c>
      <c r="G257" s="25"/>
      <c r="H257" s="26"/>
      <c r="I257" s="86"/>
      <c r="J257" s="48"/>
      <c r="K257" s="18"/>
      <c r="L257" s="51"/>
      <c r="M257" s="16"/>
      <c r="N257" s="51"/>
      <c r="O257" s="40"/>
    </row>
    <row r="258" spans="1:15" x14ac:dyDescent="0.15">
      <c r="A258" s="23"/>
      <c r="B258" s="28"/>
      <c r="C258" s="29"/>
      <c r="D258" s="30"/>
      <c r="E258" s="31" t="str">
        <f>IF(E257&gt;0,"上段","")</f>
        <v/>
      </c>
      <c r="F258" s="18" t="str">
        <f>IF(E257=0,"","A"&amp;E257&amp;"-1")</f>
        <v/>
      </c>
      <c r="G258" s="25"/>
      <c r="H258" s="26"/>
      <c r="I258" s="86"/>
      <c r="J258" s="49"/>
      <c r="K258" s="18"/>
      <c r="L258" s="51"/>
      <c r="M258" s="16"/>
      <c r="N258" s="51"/>
      <c r="O258" s="40"/>
    </row>
    <row r="259" spans="1:15" x14ac:dyDescent="0.15">
      <c r="A259" s="23"/>
      <c r="B259" s="28"/>
      <c r="C259" s="29"/>
      <c r="D259" s="30"/>
      <c r="E259" s="31"/>
      <c r="F259" s="18" t="str">
        <f>IF(E257=0,"","B"&amp;E257&amp;"-0")</f>
        <v/>
      </c>
      <c r="G259" s="25"/>
      <c r="H259" s="26"/>
      <c r="I259" s="86"/>
      <c r="J259" s="49"/>
      <c r="K259" s="18"/>
      <c r="L259" s="51"/>
      <c r="M259" s="16"/>
      <c r="N259" s="51"/>
      <c r="O259" s="40"/>
    </row>
    <row r="260" spans="1:15" x14ac:dyDescent="0.15">
      <c r="A260" s="23"/>
      <c r="B260" s="28"/>
      <c r="C260" s="29"/>
      <c r="D260" s="30"/>
      <c r="E260" s="31"/>
      <c r="F260" s="18" t="str">
        <f>IF(E257=0,"","B"&amp;E257&amp;"-1")</f>
        <v/>
      </c>
      <c r="G260" s="25"/>
      <c r="H260" s="26"/>
      <c r="I260" s="86"/>
      <c r="J260" s="49"/>
      <c r="K260" s="18"/>
      <c r="L260" s="51"/>
      <c r="M260" s="16"/>
      <c r="N260" s="51"/>
      <c r="O260" s="40"/>
    </row>
    <row r="261" spans="1:15" x14ac:dyDescent="0.15">
      <c r="A261" s="23"/>
      <c r="B261" s="28"/>
      <c r="C261" s="29"/>
      <c r="D261" s="30"/>
      <c r="E261" s="31"/>
      <c r="F261" s="18" t="str">
        <f>IF(E257=0,"","C"&amp;E257&amp;"-0")</f>
        <v/>
      </c>
      <c r="G261" s="25"/>
      <c r="H261" s="26"/>
      <c r="I261" s="86"/>
      <c r="J261" s="49"/>
      <c r="K261" s="18"/>
      <c r="L261" s="51"/>
      <c r="M261" s="16"/>
      <c r="N261" s="51"/>
      <c r="O261" s="40"/>
    </row>
    <row r="262" spans="1:15" x14ac:dyDescent="0.15">
      <c r="A262" s="23"/>
      <c r="B262" s="28"/>
      <c r="C262" s="29"/>
      <c r="D262" s="30"/>
      <c r="E262" s="31"/>
      <c r="F262" s="18" t="str">
        <f>IF(E257=0,"","C"&amp;E257&amp;"-1")</f>
        <v/>
      </c>
      <c r="G262" s="25"/>
      <c r="H262" s="26"/>
      <c r="I262" s="86"/>
      <c r="J262" s="49"/>
      <c r="K262" s="18"/>
      <c r="L262" s="51"/>
      <c r="M262" s="16"/>
      <c r="N262" s="51"/>
      <c r="O262" s="40"/>
    </row>
    <row r="263" spans="1:15" x14ac:dyDescent="0.15">
      <c r="A263" s="23"/>
      <c r="B263" s="28"/>
      <c r="C263" s="29"/>
      <c r="D263" s="30"/>
      <c r="E263" s="32">
        <f>IF(AND(E257&gt;1,$D$3&gt;=E257+1),E257+1,0)</f>
        <v>0</v>
      </c>
      <c r="F263" s="18" t="str">
        <f>IF(E263=0,"","A"&amp;E263&amp;"-0")</f>
        <v/>
      </c>
      <c r="G263" s="25"/>
      <c r="H263" s="26"/>
      <c r="I263" s="86"/>
      <c r="J263" s="49"/>
      <c r="K263" s="18"/>
      <c r="L263" s="51"/>
      <c r="M263" s="16"/>
      <c r="N263" s="51"/>
      <c r="O263" s="40"/>
    </row>
    <row r="264" spans="1:15" x14ac:dyDescent="0.15">
      <c r="A264" s="23"/>
      <c r="B264" s="28"/>
      <c r="C264" s="29"/>
      <c r="D264" s="30"/>
      <c r="E264" s="33" t="str">
        <f>IF(E263&gt;0,"下段","")</f>
        <v/>
      </c>
      <c r="F264" s="18" t="str">
        <f>IF(E263=0,"","A"&amp;E263&amp;"-1")</f>
        <v/>
      </c>
      <c r="G264" s="25"/>
      <c r="H264" s="26"/>
      <c r="I264" s="86"/>
      <c r="J264" s="49"/>
      <c r="K264" s="18"/>
      <c r="L264" s="51"/>
      <c r="M264" s="16"/>
      <c r="N264" s="51"/>
      <c r="O264" s="40"/>
    </row>
    <row r="265" spans="1:15" x14ac:dyDescent="0.15">
      <c r="A265" s="23"/>
      <c r="B265" s="28"/>
      <c r="C265" s="29"/>
      <c r="D265" s="30"/>
      <c r="E265" s="33"/>
      <c r="F265" s="18" t="str">
        <f>IF(E263=0,"","B"&amp;E263&amp;"-0")</f>
        <v/>
      </c>
      <c r="G265" s="25"/>
      <c r="H265" s="26"/>
      <c r="I265" s="86"/>
      <c r="J265" s="49"/>
      <c r="K265" s="18"/>
      <c r="L265" s="51"/>
      <c r="M265" s="16"/>
      <c r="N265" s="51"/>
      <c r="O265" s="40"/>
    </row>
    <row r="266" spans="1:15" x14ac:dyDescent="0.15">
      <c r="A266" s="23"/>
      <c r="B266" s="28"/>
      <c r="C266" s="29"/>
      <c r="D266" s="30"/>
      <c r="E266" s="33"/>
      <c r="F266" s="18" t="str">
        <f>IF(E263=0,"","B"&amp;E263&amp;"-1")</f>
        <v/>
      </c>
      <c r="G266" s="25"/>
      <c r="H266" s="26"/>
      <c r="I266" s="86"/>
      <c r="J266" s="49"/>
      <c r="K266" s="18"/>
      <c r="L266" s="51"/>
      <c r="M266" s="16"/>
      <c r="N266" s="51"/>
      <c r="O266" s="40"/>
    </row>
    <row r="267" spans="1:15" x14ac:dyDescent="0.15">
      <c r="A267" s="23"/>
      <c r="B267" s="28"/>
      <c r="C267" s="29"/>
      <c r="D267" s="30"/>
      <c r="E267" s="33"/>
      <c r="F267" s="18" t="str">
        <f>IF(E263=0,"","C"&amp;E263&amp;"-0")</f>
        <v/>
      </c>
      <c r="G267" s="25"/>
      <c r="H267" s="26"/>
      <c r="I267" s="86"/>
      <c r="J267" s="49"/>
      <c r="K267" s="18"/>
      <c r="L267" s="51"/>
      <c r="M267" s="16"/>
      <c r="N267" s="51"/>
      <c r="O267" s="40"/>
    </row>
    <row r="268" spans="1:15" x14ac:dyDescent="0.15">
      <c r="A268" s="24"/>
      <c r="B268" s="34"/>
      <c r="C268" s="35"/>
      <c r="D268" s="36"/>
      <c r="E268" s="37"/>
      <c r="F268" s="18" t="str">
        <f>IF(E263=0,"","C"&amp;E263&amp;"-1")</f>
        <v/>
      </c>
      <c r="G268" s="25"/>
      <c r="H268" s="26"/>
      <c r="I268" s="86"/>
      <c r="J268" s="49"/>
      <c r="K268" s="18"/>
      <c r="L268" s="51"/>
      <c r="M268" s="16"/>
      <c r="N268" s="51"/>
      <c r="O268" s="40"/>
    </row>
    <row r="269" spans="1:15" x14ac:dyDescent="0.15">
      <c r="A269" s="42">
        <f>IF(AND(A257&gt;=1,ROUNDUP($D$3/2,0)&gt;=A257+1),A257+1,0)</f>
        <v>0</v>
      </c>
      <c r="B269" s="43"/>
      <c r="C269" s="44"/>
      <c r="D269" s="45"/>
      <c r="E269" s="27">
        <f>IF(AND(E263&gt;1,$D$3&gt;=E263+1),E263+1,0)</f>
        <v>0</v>
      </c>
      <c r="F269" s="18" t="str">
        <f>IF(E269=0,"","A"&amp;E269&amp;"-0")</f>
        <v/>
      </c>
      <c r="G269" s="25"/>
      <c r="H269" s="26"/>
      <c r="I269" s="86"/>
      <c r="J269" s="48"/>
      <c r="K269" s="18"/>
      <c r="L269" s="51"/>
      <c r="M269" s="16"/>
      <c r="N269" s="51"/>
      <c r="O269" s="40"/>
    </row>
    <row r="270" spans="1:15" x14ac:dyDescent="0.15">
      <c r="A270" s="23"/>
      <c r="B270" s="28"/>
      <c r="C270" s="29"/>
      <c r="D270" s="30"/>
      <c r="E270" s="31" t="str">
        <f>IF(E269&gt;0,"上段","")</f>
        <v/>
      </c>
      <c r="F270" s="18" t="str">
        <f>IF(E269=0,"","A"&amp;E269&amp;"-1")</f>
        <v/>
      </c>
      <c r="G270" s="25"/>
      <c r="H270" s="26"/>
      <c r="I270" s="86"/>
      <c r="J270" s="49"/>
      <c r="K270" s="18"/>
      <c r="L270" s="51"/>
      <c r="M270" s="16"/>
      <c r="N270" s="51"/>
      <c r="O270" s="40"/>
    </row>
    <row r="271" spans="1:15" x14ac:dyDescent="0.15">
      <c r="A271" s="23"/>
      <c r="B271" s="28"/>
      <c r="C271" s="29"/>
      <c r="D271" s="30"/>
      <c r="E271" s="31"/>
      <c r="F271" s="18" t="str">
        <f>IF(E269=0,"","B"&amp;E269&amp;"-0")</f>
        <v/>
      </c>
      <c r="G271" s="25"/>
      <c r="H271" s="26"/>
      <c r="I271" s="86"/>
      <c r="J271" s="49"/>
      <c r="K271" s="18"/>
      <c r="L271" s="51"/>
      <c r="M271" s="16"/>
      <c r="N271" s="51"/>
      <c r="O271" s="40"/>
    </row>
    <row r="272" spans="1:15" x14ac:dyDescent="0.15">
      <c r="A272" s="23"/>
      <c r="B272" s="28"/>
      <c r="C272" s="29"/>
      <c r="D272" s="30"/>
      <c r="E272" s="31"/>
      <c r="F272" s="18" t="str">
        <f>IF(E269=0,"","B"&amp;E269&amp;"-1")</f>
        <v/>
      </c>
      <c r="G272" s="25"/>
      <c r="H272" s="26"/>
      <c r="I272" s="86"/>
      <c r="J272" s="49"/>
      <c r="K272" s="18"/>
      <c r="L272" s="51"/>
      <c r="M272" s="16"/>
      <c r="N272" s="51"/>
      <c r="O272" s="40"/>
    </row>
    <row r="273" spans="1:15" x14ac:dyDescent="0.15">
      <c r="A273" s="23"/>
      <c r="B273" s="28"/>
      <c r="C273" s="29"/>
      <c r="D273" s="30"/>
      <c r="E273" s="31"/>
      <c r="F273" s="18" t="str">
        <f>IF(E269=0,"","C"&amp;E269&amp;"-0")</f>
        <v/>
      </c>
      <c r="G273" s="25"/>
      <c r="H273" s="26"/>
      <c r="I273" s="86"/>
      <c r="J273" s="49"/>
      <c r="K273" s="18"/>
      <c r="L273" s="51"/>
      <c r="M273" s="16"/>
      <c r="N273" s="51"/>
      <c r="O273" s="40"/>
    </row>
    <row r="274" spans="1:15" x14ac:dyDescent="0.15">
      <c r="A274" s="23"/>
      <c r="B274" s="28"/>
      <c r="C274" s="29"/>
      <c r="D274" s="30"/>
      <c r="E274" s="31"/>
      <c r="F274" s="18" t="str">
        <f>IF(E269=0,"","C"&amp;E269&amp;"-1")</f>
        <v/>
      </c>
      <c r="G274" s="25"/>
      <c r="H274" s="26"/>
      <c r="I274" s="86"/>
      <c r="J274" s="49"/>
      <c r="K274" s="18"/>
      <c r="L274" s="51"/>
      <c r="M274" s="16"/>
      <c r="N274" s="51"/>
      <c r="O274" s="40"/>
    </row>
    <row r="275" spans="1:15" x14ac:dyDescent="0.15">
      <c r="A275" s="23"/>
      <c r="B275" s="28"/>
      <c r="C275" s="29"/>
      <c r="D275" s="30"/>
      <c r="E275" s="32">
        <f>IF(AND(E269&gt;1,$D$3&gt;=E269+1),E269+1,0)</f>
        <v>0</v>
      </c>
      <c r="F275" s="18" t="str">
        <f>IF(E275=0,"","A"&amp;E275&amp;"-0")</f>
        <v/>
      </c>
      <c r="G275" s="25"/>
      <c r="H275" s="26"/>
      <c r="I275" s="86"/>
      <c r="J275" s="49"/>
      <c r="K275" s="18"/>
      <c r="L275" s="51"/>
      <c r="M275" s="16"/>
      <c r="N275" s="51"/>
      <c r="O275" s="40"/>
    </row>
    <row r="276" spans="1:15" x14ac:dyDescent="0.15">
      <c r="A276" s="23"/>
      <c r="B276" s="28"/>
      <c r="C276" s="29"/>
      <c r="D276" s="30"/>
      <c r="E276" s="33" t="str">
        <f>IF(E275&gt;0,"下段","")</f>
        <v/>
      </c>
      <c r="F276" s="18" t="str">
        <f>IF(E275=0,"","A"&amp;E275&amp;"-1")</f>
        <v/>
      </c>
      <c r="G276" s="25"/>
      <c r="H276" s="26"/>
      <c r="I276" s="86"/>
      <c r="J276" s="49"/>
      <c r="K276" s="18"/>
      <c r="L276" s="51"/>
      <c r="M276" s="16"/>
      <c r="N276" s="51"/>
      <c r="O276" s="40"/>
    </row>
    <row r="277" spans="1:15" x14ac:dyDescent="0.15">
      <c r="A277" s="23"/>
      <c r="B277" s="28"/>
      <c r="C277" s="29"/>
      <c r="D277" s="30"/>
      <c r="E277" s="33"/>
      <c r="F277" s="18" t="str">
        <f>IF(E275=0,"","B"&amp;E275&amp;"-0")</f>
        <v/>
      </c>
      <c r="G277" s="25"/>
      <c r="H277" s="26"/>
      <c r="I277" s="86"/>
      <c r="J277" s="49"/>
      <c r="K277" s="18"/>
      <c r="L277" s="51"/>
      <c r="M277" s="16"/>
      <c r="N277" s="51"/>
      <c r="O277" s="40"/>
    </row>
    <row r="278" spans="1:15" x14ac:dyDescent="0.15">
      <c r="A278" s="23"/>
      <c r="B278" s="28"/>
      <c r="C278" s="29"/>
      <c r="D278" s="30"/>
      <c r="E278" s="33"/>
      <c r="F278" s="18" t="str">
        <f>IF(E275=0,"","B"&amp;E275&amp;"-1")</f>
        <v/>
      </c>
      <c r="G278" s="25"/>
      <c r="H278" s="26"/>
      <c r="I278" s="86"/>
      <c r="J278" s="49"/>
      <c r="K278" s="18"/>
      <c r="L278" s="51"/>
      <c r="M278" s="16"/>
      <c r="N278" s="51"/>
      <c r="O278" s="40"/>
    </row>
    <row r="279" spans="1:15" x14ac:dyDescent="0.15">
      <c r="A279" s="23"/>
      <c r="B279" s="28"/>
      <c r="C279" s="29"/>
      <c r="D279" s="30"/>
      <c r="E279" s="33"/>
      <c r="F279" s="18" t="str">
        <f>IF(E275=0,"","C"&amp;E275&amp;"-0")</f>
        <v/>
      </c>
      <c r="G279" s="25"/>
      <c r="H279" s="26"/>
      <c r="I279" s="86"/>
      <c r="J279" s="49"/>
      <c r="K279" s="18"/>
      <c r="L279" s="51"/>
      <c r="M279" s="16"/>
      <c r="N279" s="51"/>
      <c r="O279" s="40"/>
    </row>
    <row r="280" spans="1:15" x14ac:dyDescent="0.15">
      <c r="A280" s="24"/>
      <c r="B280" s="34"/>
      <c r="C280" s="35"/>
      <c r="D280" s="36"/>
      <c r="E280" s="37"/>
      <c r="F280" s="18" t="str">
        <f>IF(E275=0,"","C"&amp;E275&amp;"-1")</f>
        <v/>
      </c>
      <c r="G280" s="25"/>
      <c r="H280" s="26"/>
      <c r="I280" s="86"/>
      <c r="J280" s="49"/>
      <c r="K280" s="18"/>
      <c r="L280" s="51"/>
      <c r="M280" s="16"/>
      <c r="N280" s="51"/>
      <c r="O280" s="40"/>
    </row>
    <row r="281" spans="1:15" x14ac:dyDescent="0.15">
      <c r="A281" s="42">
        <f>IF(AND(A269&gt;=1,ROUNDUP($D$3/2,0)&gt;=A269+1),A269+1,0)</f>
        <v>0</v>
      </c>
      <c r="B281" s="43"/>
      <c r="C281" s="44"/>
      <c r="D281" s="45"/>
      <c r="E281" s="27">
        <f>IF(AND(E275&gt;1,$D$3&gt;=E275+1),E275+1,0)</f>
        <v>0</v>
      </c>
      <c r="F281" s="18" t="str">
        <f>IF(E281=0,"","A"&amp;E281&amp;"-0")</f>
        <v/>
      </c>
      <c r="G281" s="25"/>
      <c r="H281" s="26"/>
      <c r="I281" s="86"/>
      <c r="J281" s="48"/>
      <c r="K281" s="18"/>
      <c r="L281" s="51"/>
      <c r="M281" s="16"/>
      <c r="N281" s="51"/>
      <c r="O281" s="40"/>
    </row>
    <row r="282" spans="1:15" x14ac:dyDescent="0.15">
      <c r="A282" s="23"/>
      <c r="B282" s="28"/>
      <c r="C282" s="29"/>
      <c r="D282" s="30"/>
      <c r="E282" s="31" t="str">
        <f>IF(E281&gt;0,"上段","")</f>
        <v/>
      </c>
      <c r="F282" s="18" t="str">
        <f>IF(E281=0,"","A"&amp;E281&amp;"-1")</f>
        <v/>
      </c>
      <c r="G282" s="25"/>
      <c r="H282" s="26"/>
      <c r="I282" s="86"/>
      <c r="J282" s="49"/>
      <c r="K282" s="18"/>
      <c r="L282" s="51"/>
      <c r="M282" s="16"/>
      <c r="N282" s="51"/>
      <c r="O282" s="40"/>
    </row>
    <row r="283" spans="1:15" x14ac:dyDescent="0.15">
      <c r="A283" s="23"/>
      <c r="B283" s="28"/>
      <c r="C283" s="29"/>
      <c r="D283" s="30"/>
      <c r="E283" s="31"/>
      <c r="F283" s="18" t="str">
        <f>IF(E281=0,"","B"&amp;E281&amp;"-0")</f>
        <v/>
      </c>
      <c r="G283" s="25"/>
      <c r="H283" s="26"/>
      <c r="I283" s="86"/>
      <c r="J283" s="49"/>
      <c r="K283" s="18"/>
      <c r="L283" s="51"/>
      <c r="M283" s="16"/>
      <c r="N283" s="51"/>
      <c r="O283" s="40"/>
    </row>
    <row r="284" spans="1:15" x14ac:dyDescent="0.15">
      <c r="A284" s="23"/>
      <c r="B284" s="28"/>
      <c r="C284" s="29"/>
      <c r="D284" s="30"/>
      <c r="E284" s="31"/>
      <c r="F284" s="18" t="str">
        <f>IF(E281=0,"","B"&amp;E281&amp;"-1")</f>
        <v/>
      </c>
      <c r="G284" s="25"/>
      <c r="H284" s="26"/>
      <c r="I284" s="86"/>
      <c r="J284" s="49"/>
      <c r="K284" s="18"/>
      <c r="L284" s="51"/>
      <c r="M284" s="16"/>
      <c r="N284" s="51"/>
      <c r="O284" s="40"/>
    </row>
    <row r="285" spans="1:15" x14ac:dyDescent="0.15">
      <c r="A285" s="23"/>
      <c r="B285" s="28"/>
      <c r="C285" s="29"/>
      <c r="D285" s="30"/>
      <c r="E285" s="31"/>
      <c r="F285" s="18" t="str">
        <f>IF(E281=0,"","C"&amp;E281&amp;"-0")</f>
        <v/>
      </c>
      <c r="G285" s="25"/>
      <c r="H285" s="26"/>
      <c r="I285" s="86"/>
      <c r="J285" s="49"/>
      <c r="K285" s="18"/>
      <c r="L285" s="51"/>
      <c r="M285" s="16"/>
      <c r="N285" s="51"/>
      <c r="O285" s="40"/>
    </row>
    <row r="286" spans="1:15" x14ac:dyDescent="0.15">
      <c r="A286" s="23"/>
      <c r="B286" s="28"/>
      <c r="C286" s="29"/>
      <c r="D286" s="30"/>
      <c r="E286" s="31"/>
      <c r="F286" s="18" t="str">
        <f>IF(E281=0,"","C"&amp;E281&amp;"-1")</f>
        <v/>
      </c>
      <c r="G286" s="25"/>
      <c r="H286" s="26"/>
      <c r="I286" s="86"/>
      <c r="J286" s="49"/>
      <c r="K286" s="18"/>
      <c r="L286" s="51"/>
      <c r="M286" s="16"/>
      <c r="N286" s="51"/>
      <c r="O286" s="40"/>
    </row>
    <row r="287" spans="1:15" x14ac:dyDescent="0.15">
      <c r="A287" s="23"/>
      <c r="B287" s="28"/>
      <c r="C287" s="29"/>
      <c r="D287" s="30"/>
      <c r="E287" s="32">
        <f>IF(AND(E281&gt;1,$D$3&gt;=E281+1),E281+1,0)</f>
        <v>0</v>
      </c>
      <c r="F287" s="18" t="str">
        <f>IF(E287=0,"","A"&amp;E287&amp;"-0")</f>
        <v/>
      </c>
      <c r="G287" s="25"/>
      <c r="H287" s="26"/>
      <c r="I287" s="86"/>
      <c r="J287" s="49"/>
      <c r="K287" s="18"/>
      <c r="L287" s="51"/>
      <c r="M287" s="16"/>
      <c r="N287" s="51"/>
      <c r="O287" s="40"/>
    </row>
    <row r="288" spans="1:15" x14ac:dyDescent="0.15">
      <c r="A288" s="23"/>
      <c r="B288" s="28"/>
      <c r="C288" s="29"/>
      <c r="D288" s="30"/>
      <c r="E288" s="33" t="str">
        <f>IF(E287&gt;0,"下段","")</f>
        <v/>
      </c>
      <c r="F288" s="18" t="str">
        <f>IF(E287=0,"","A"&amp;E287&amp;"-1")</f>
        <v/>
      </c>
      <c r="G288" s="25"/>
      <c r="H288" s="26"/>
      <c r="I288" s="86"/>
      <c r="J288" s="49"/>
      <c r="K288" s="18"/>
      <c r="L288" s="51"/>
      <c r="M288" s="16"/>
      <c r="N288" s="51"/>
      <c r="O288" s="40"/>
    </row>
    <row r="289" spans="1:15" x14ac:dyDescent="0.15">
      <c r="A289" s="23"/>
      <c r="B289" s="28"/>
      <c r="C289" s="29"/>
      <c r="D289" s="30"/>
      <c r="E289" s="33"/>
      <c r="F289" s="18" t="str">
        <f>IF(E287=0,"","B"&amp;E287&amp;"-0")</f>
        <v/>
      </c>
      <c r="G289" s="25"/>
      <c r="H289" s="26"/>
      <c r="I289" s="86"/>
      <c r="J289" s="49"/>
      <c r="K289" s="18"/>
      <c r="L289" s="51"/>
      <c r="M289" s="16"/>
      <c r="N289" s="51"/>
      <c r="O289" s="40"/>
    </row>
    <row r="290" spans="1:15" x14ac:dyDescent="0.15">
      <c r="A290" s="23"/>
      <c r="B290" s="28"/>
      <c r="C290" s="29"/>
      <c r="D290" s="30"/>
      <c r="E290" s="33"/>
      <c r="F290" s="18" t="str">
        <f>IF(E287=0,"","B"&amp;E287&amp;"-1")</f>
        <v/>
      </c>
      <c r="G290" s="25"/>
      <c r="H290" s="26"/>
      <c r="I290" s="86"/>
      <c r="J290" s="49"/>
      <c r="K290" s="18"/>
      <c r="L290" s="51"/>
      <c r="M290" s="16"/>
      <c r="N290" s="51"/>
      <c r="O290" s="40"/>
    </row>
    <row r="291" spans="1:15" x14ac:dyDescent="0.15">
      <c r="A291" s="23"/>
      <c r="B291" s="28"/>
      <c r="C291" s="29"/>
      <c r="D291" s="30"/>
      <c r="E291" s="33"/>
      <c r="F291" s="18" t="str">
        <f>IF(E287=0,"","C"&amp;E287&amp;"-0")</f>
        <v/>
      </c>
      <c r="G291" s="25"/>
      <c r="H291" s="26"/>
      <c r="I291" s="86"/>
      <c r="J291" s="49"/>
      <c r="K291" s="18"/>
      <c r="L291" s="51"/>
      <c r="M291" s="16"/>
      <c r="N291" s="51"/>
      <c r="O291" s="40"/>
    </row>
    <row r="292" spans="1:15" x14ac:dyDescent="0.15">
      <c r="A292" s="24"/>
      <c r="B292" s="34"/>
      <c r="C292" s="35"/>
      <c r="D292" s="36"/>
      <c r="E292" s="37"/>
      <c r="F292" s="18" t="str">
        <f>IF(E287=0,"","C"&amp;E287&amp;"-1")</f>
        <v/>
      </c>
      <c r="G292" s="25"/>
      <c r="H292" s="26"/>
      <c r="I292" s="86"/>
      <c r="J292" s="49"/>
      <c r="K292" s="18"/>
      <c r="L292" s="51"/>
      <c r="M292" s="16"/>
      <c r="N292" s="51"/>
      <c r="O292" s="40"/>
    </row>
    <row r="293" spans="1:15" x14ac:dyDescent="0.15">
      <c r="A293" s="42">
        <f>IF(AND(A281&gt;=1,ROUNDUP($D$3/2,0)&gt;=A281+1),A281+1,0)</f>
        <v>0</v>
      </c>
      <c r="B293" s="43"/>
      <c r="C293" s="44"/>
      <c r="D293" s="45"/>
      <c r="E293" s="27">
        <f>IF(AND(E287&gt;1,$D$3&gt;=E287+1),E287+1,0)</f>
        <v>0</v>
      </c>
      <c r="F293" s="18" t="str">
        <f>IF(E293=0,"","A"&amp;E293&amp;"-0")</f>
        <v/>
      </c>
      <c r="G293" s="25"/>
      <c r="H293" s="26"/>
      <c r="I293" s="86"/>
      <c r="J293" s="48"/>
      <c r="K293" s="18"/>
      <c r="L293" s="51"/>
      <c r="M293" s="16"/>
      <c r="N293" s="51"/>
      <c r="O293" s="40"/>
    </row>
    <row r="294" spans="1:15" x14ac:dyDescent="0.15">
      <c r="A294" s="23"/>
      <c r="B294" s="28"/>
      <c r="C294" s="29"/>
      <c r="D294" s="30"/>
      <c r="E294" s="31" t="str">
        <f>IF(E293&gt;0,"上段","")</f>
        <v/>
      </c>
      <c r="F294" s="18" t="str">
        <f>IF(E293=0,"","A"&amp;E293&amp;"-1")</f>
        <v/>
      </c>
      <c r="G294" s="25"/>
      <c r="H294" s="26"/>
      <c r="I294" s="86"/>
      <c r="J294" s="49"/>
      <c r="K294" s="18"/>
      <c r="L294" s="51"/>
      <c r="M294" s="16"/>
      <c r="N294" s="51"/>
      <c r="O294" s="40"/>
    </row>
    <row r="295" spans="1:15" x14ac:dyDescent="0.15">
      <c r="A295" s="23"/>
      <c r="B295" s="28"/>
      <c r="C295" s="29"/>
      <c r="D295" s="30"/>
      <c r="E295" s="31"/>
      <c r="F295" s="18" t="str">
        <f>IF(E293=0,"","B"&amp;E293&amp;"-0")</f>
        <v/>
      </c>
      <c r="G295" s="25"/>
      <c r="H295" s="26"/>
      <c r="I295" s="86"/>
      <c r="J295" s="49"/>
      <c r="K295" s="18"/>
      <c r="L295" s="51"/>
      <c r="M295" s="16"/>
      <c r="N295" s="51"/>
      <c r="O295" s="40"/>
    </row>
    <row r="296" spans="1:15" x14ac:dyDescent="0.15">
      <c r="A296" s="23"/>
      <c r="B296" s="28"/>
      <c r="C296" s="29"/>
      <c r="D296" s="30"/>
      <c r="E296" s="31"/>
      <c r="F296" s="18" t="str">
        <f>IF(E293=0,"","B"&amp;E293&amp;"-1")</f>
        <v/>
      </c>
      <c r="G296" s="25"/>
      <c r="H296" s="26"/>
      <c r="I296" s="86"/>
      <c r="J296" s="49"/>
      <c r="K296" s="18"/>
      <c r="L296" s="51"/>
      <c r="M296" s="16"/>
      <c r="N296" s="51"/>
      <c r="O296" s="40"/>
    </row>
    <row r="297" spans="1:15" x14ac:dyDescent="0.15">
      <c r="A297" s="23"/>
      <c r="B297" s="28"/>
      <c r="C297" s="29"/>
      <c r="D297" s="30"/>
      <c r="E297" s="31"/>
      <c r="F297" s="18" t="str">
        <f>IF(E293=0,"","C"&amp;E293&amp;"-0")</f>
        <v/>
      </c>
      <c r="G297" s="25"/>
      <c r="H297" s="26"/>
      <c r="I297" s="86"/>
      <c r="J297" s="49"/>
      <c r="K297" s="18"/>
      <c r="L297" s="51"/>
      <c r="M297" s="16"/>
      <c r="N297" s="51"/>
      <c r="O297" s="40"/>
    </row>
    <row r="298" spans="1:15" x14ac:dyDescent="0.15">
      <c r="A298" s="23"/>
      <c r="B298" s="28"/>
      <c r="C298" s="29"/>
      <c r="D298" s="30"/>
      <c r="E298" s="31"/>
      <c r="F298" s="18" t="str">
        <f>IF(E293=0,"","C"&amp;E293&amp;"-1")</f>
        <v/>
      </c>
      <c r="G298" s="25"/>
      <c r="H298" s="26"/>
      <c r="I298" s="86"/>
      <c r="J298" s="49"/>
      <c r="K298" s="18"/>
      <c r="L298" s="51"/>
      <c r="M298" s="16"/>
      <c r="N298" s="51"/>
      <c r="O298" s="40"/>
    </row>
    <row r="299" spans="1:15" x14ac:dyDescent="0.15">
      <c r="A299" s="23"/>
      <c r="B299" s="28"/>
      <c r="C299" s="29"/>
      <c r="D299" s="30"/>
      <c r="E299" s="32">
        <f>IF(AND(E293&gt;1,$D$3&gt;=E293+1),E293+1,0)</f>
        <v>0</v>
      </c>
      <c r="F299" s="18" t="str">
        <f>IF(E299=0,"","A"&amp;E299&amp;"-0")</f>
        <v/>
      </c>
      <c r="G299" s="25"/>
      <c r="H299" s="26"/>
      <c r="I299" s="86"/>
      <c r="J299" s="49"/>
      <c r="K299" s="18"/>
      <c r="L299" s="51"/>
      <c r="M299" s="16"/>
      <c r="N299" s="51"/>
      <c r="O299" s="40"/>
    </row>
    <row r="300" spans="1:15" x14ac:dyDescent="0.15">
      <c r="A300" s="23"/>
      <c r="B300" s="28"/>
      <c r="C300" s="29"/>
      <c r="D300" s="30"/>
      <c r="E300" s="33" t="str">
        <f>IF(E299&gt;0,"下段","")</f>
        <v/>
      </c>
      <c r="F300" s="18" t="str">
        <f>IF(E299=0,"","A"&amp;E299&amp;"-1")</f>
        <v/>
      </c>
      <c r="G300" s="25"/>
      <c r="H300" s="26"/>
      <c r="I300" s="86"/>
      <c r="J300" s="49"/>
      <c r="K300" s="18"/>
      <c r="L300" s="51"/>
      <c r="M300" s="16"/>
      <c r="N300" s="51"/>
      <c r="O300" s="40"/>
    </row>
    <row r="301" spans="1:15" x14ac:dyDescent="0.15">
      <c r="A301" s="23"/>
      <c r="B301" s="28"/>
      <c r="C301" s="29"/>
      <c r="D301" s="30"/>
      <c r="E301" s="33"/>
      <c r="F301" s="18" t="str">
        <f>IF(E299=0,"","B"&amp;E299&amp;"-0")</f>
        <v/>
      </c>
      <c r="G301" s="25"/>
      <c r="H301" s="26"/>
      <c r="I301" s="86"/>
      <c r="J301" s="49"/>
      <c r="K301" s="18"/>
      <c r="L301" s="51"/>
      <c r="M301" s="16"/>
      <c r="N301" s="51"/>
      <c r="O301" s="40"/>
    </row>
    <row r="302" spans="1:15" x14ac:dyDescent="0.15">
      <c r="A302" s="23"/>
      <c r="B302" s="28"/>
      <c r="C302" s="29"/>
      <c r="D302" s="30"/>
      <c r="E302" s="33"/>
      <c r="F302" s="18" t="str">
        <f>IF(E299=0,"","B"&amp;E299&amp;"-1")</f>
        <v/>
      </c>
      <c r="G302" s="25"/>
      <c r="H302" s="26"/>
      <c r="I302" s="86"/>
      <c r="J302" s="49"/>
      <c r="K302" s="18"/>
      <c r="L302" s="51"/>
      <c r="M302" s="16"/>
      <c r="N302" s="51"/>
      <c r="O302" s="40"/>
    </row>
    <row r="303" spans="1:15" x14ac:dyDescent="0.15">
      <c r="A303" s="23"/>
      <c r="B303" s="28"/>
      <c r="C303" s="29"/>
      <c r="D303" s="30"/>
      <c r="E303" s="33"/>
      <c r="F303" s="18" t="str">
        <f>IF(E299=0,"","C"&amp;E299&amp;"-0")</f>
        <v/>
      </c>
      <c r="G303" s="25"/>
      <c r="H303" s="26"/>
      <c r="I303" s="86"/>
      <c r="J303" s="49"/>
      <c r="K303" s="18"/>
      <c r="L303" s="51"/>
      <c r="M303" s="16"/>
      <c r="N303" s="51"/>
      <c r="O303" s="40"/>
    </row>
    <row r="304" spans="1:15" x14ac:dyDescent="0.15">
      <c r="A304" s="24"/>
      <c r="B304" s="34"/>
      <c r="C304" s="35"/>
      <c r="D304" s="36"/>
      <c r="E304" s="37"/>
      <c r="F304" s="18" t="str">
        <f>IF(E299=0,"","C"&amp;E299&amp;"-1")</f>
        <v/>
      </c>
      <c r="G304" s="25"/>
      <c r="H304" s="26"/>
      <c r="I304" s="86"/>
      <c r="J304" s="49"/>
      <c r="K304" s="18"/>
      <c r="L304" s="51"/>
      <c r="M304" s="16"/>
      <c r="N304" s="51"/>
      <c r="O304" s="40"/>
    </row>
    <row r="305" spans="8:8" x14ac:dyDescent="0.15">
      <c r="H305" s="89"/>
    </row>
  </sheetData>
  <sheetProtection selectLockedCells="1"/>
  <sortState xmlns:xlrd2="http://schemas.microsoft.com/office/spreadsheetml/2017/richdata2" ref="Y2:AE4">
    <sortCondition descending="1" ref="AE2"/>
    <sortCondition ref="AD2"/>
  </sortState>
  <mergeCells count="2">
    <mergeCell ref="B2:C2"/>
    <mergeCell ref="B3:C3"/>
  </mergeCells>
  <phoneticPr fontId="1"/>
  <conditionalFormatting sqref="I5:I304">
    <cfRule type="expression" dxfId="4" priority="7" stopIfTrue="1">
      <formula>N5=1</formula>
    </cfRule>
  </conditionalFormatting>
  <conditionalFormatting sqref="F3">
    <cfRule type="expression" dxfId="3" priority="5" stopIfTrue="1">
      <formula>$F$3=""</formula>
    </cfRule>
  </conditionalFormatting>
  <conditionalFormatting sqref="H3">
    <cfRule type="expression" dxfId="2" priority="6" stopIfTrue="1">
      <formula>$H$3=""</formula>
    </cfRule>
  </conditionalFormatting>
  <conditionalFormatting sqref="I5:I304">
    <cfRule type="expression" dxfId="1" priority="3">
      <formula>AND(H5&lt;&gt;"",OR(I5&lt;$I$3,I5&gt;$J$3))</formula>
    </cfRule>
  </conditionalFormatting>
  <conditionalFormatting sqref="A1">
    <cfRule type="expression" dxfId="0" priority="2">
      <formula>$A$1&lt;&gt;""</formula>
    </cfRule>
  </conditionalFormatting>
  <dataValidations count="7">
    <dataValidation type="list" allowBlank="1" showInputMessage="1" showErrorMessage="1" sqref="G3" xr:uid="{00000000-0002-0000-0100-000000000000}">
      <formula1>SenKindTB</formula1>
    </dataValidation>
    <dataValidation type="list" allowBlank="1" showInputMessage="1" showErrorMessage="1" sqref="H3" xr:uid="{00000000-0002-0000-0100-000001000000}">
      <formula1>KeiCode</formula1>
    </dataValidation>
    <dataValidation type="decimal" imeMode="off" allowBlank="1" showInputMessage="1" showErrorMessage="1" error="入力値が不適格" sqref="H5:H304" xr:uid="{00000000-0002-0000-0100-000002000000}">
      <formula1>0.01</formula1>
      <formula2>1.5</formula2>
    </dataValidation>
    <dataValidation type="decimal" imeMode="off" allowBlank="1" showInputMessage="1" showErrorMessage="1" error="暑さが不適切" sqref="G5:G304" xr:uid="{00000000-0002-0000-0100-000003000000}">
      <formula1>1.39</formula1>
      <formula2>1.7</formula2>
    </dataValidation>
    <dataValidation type="date" imeMode="off" operator="lessThanOrEqual" allowBlank="1" showInputMessage="1" showErrorMessage="1" error="値が不適切（本日以降は不可）" sqref="B5 B17 B29 B41 B53 B65 B77 B89 B101 B113 B125 B137 B149 B161 B173 B185 B197 B209 B293 B233 B245 B257 B269 B281 B221" xr:uid="{00000000-0002-0000-0100-000004000000}">
      <formula1>TODAY()</formula1>
    </dataValidation>
    <dataValidation type="decimal" imeMode="off" allowBlank="1" showInputMessage="1" showErrorMessage="1" sqref="C5 C17 C29 C41 C53 C65 C77 C89 C101 C113 C125 C137 C149 C161 C173 C185 C197 C209 C293 C233 C245 C257 C269 C281 C221" xr:uid="{00000000-0002-0000-0100-000005000000}">
      <formula1>0</formula1>
      <formula2>20</formula2>
    </dataValidation>
    <dataValidation type="decimal" allowBlank="1" showInputMessage="1" showErrorMessage="1" sqref="D5 D17 D29 D41 D53 D65 D77 D89 D101 D113 D125 D137 D149 D161 D173 D185 D197 D209 D293 D233 D245 D257 D269 D281 D221" xr:uid="{00000000-0002-0000-0100-000006000000}">
      <formula1>-10</formula1>
      <formula2>50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3"/>
  <sheetViews>
    <sheetView showZeros="0" topLeftCell="A2" zoomScaleSheetLayoutView="100" workbookViewId="0">
      <selection activeCell="D22" sqref="D22"/>
    </sheetView>
  </sheetViews>
  <sheetFormatPr defaultRowHeight="13.5" x14ac:dyDescent="0.15"/>
  <cols>
    <col min="1" max="1" width="6" customWidth="1"/>
    <col min="2" max="2" width="7.875" customWidth="1"/>
    <col min="3" max="3" width="11.625" customWidth="1"/>
    <col min="4" max="4" width="10.625" customWidth="1"/>
    <col min="5" max="7" width="10.625" style="3" customWidth="1"/>
    <col min="8" max="8" width="10.625" style="4" customWidth="1"/>
    <col min="9" max="9" width="10.625" style="3" customWidth="1"/>
  </cols>
  <sheetData>
    <row r="1" spans="2:11" hidden="1" x14ac:dyDescent="0.15"/>
    <row r="2" spans="2:11" ht="17.25" x14ac:dyDescent="0.2">
      <c r="B2" s="14" t="s">
        <v>73</v>
      </c>
      <c r="C2" s="15" t="s">
        <v>74</v>
      </c>
      <c r="E2" s="13"/>
      <c r="F2" s="13"/>
      <c r="H2" s="13"/>
      <c r="I2" s="13"/>
      <c r="K2" s="81" t="s">
        <v>6</v>
      </c>
    </row>
    <row r="3" spans="2:11" x14ac:dyDescent="0.15">
      <c r="H3" s="3"/>
      <c r="K3" s="81" t="s">
        <v>0</v>
      </c>
    </row>
    <row r="4" spans="2:11" ht="14.25" x14ac:dyDescent="0.15">
      <c r="B4" s="52" t="s">
        <v>75</v>
      </c>
      <c r="C4" s="97">
        <f>測定値!B3</f>
        <v>0</v>
      </c>
      <c r="D4" s="98"/>
      <c r="H4" t="s">
        <v>89</v>
      </c>
    </row>
    <row r="5" spans="2:11" ht="14.45" customHeight="1" x14ac:dyDescent="0.15">
      <c r="B5" s="95" t="s">
        <v>76</v>
      </c>
      <c r="C5" s="96"/>
      <c r="D5" s="71">
        <f>IF(D9="","",測定値!$A5)</f>
        <v>1</v>
      </c>
      <c r="E5" s="71">
        <f>IF(E9="","",測定値!$A17)</f>
        <v>0</v>
      </c>
      <c r="F5" s="71">
        <f>IF(F9="","",測定値!$A29)</f>
        <v>0</v>
      </c>
      <c r="G5" s="71">
        <f>IF(G9="","",測定値!$A41)</f>
        <v>0</v>
      </c>
      <c r="H5" s="71">
        <f>IF(H9="","",測定値!$A53)</f>
        <v>0</v>
      </c>
    </row>
    <row r="6" spans="2:11" ht="14.45" customHeight="1" x14ac:dyDescent="0.15">
      <c r="B6" s="95" t="s">
        <v>77</v>
      </c>
      <c r="C6" s="96"/>
      <c r="D6" s="1">
        <f>IF(D9="","",測定値!$B5)</f>
        <v>0</v>
      </c>
      <c r="E6" s="1">
        <f>IF(E9="","",測定値!$B17)</f>
        <v>0</v>
      </c>
      <c r="F6" s="1">
        <f>IF(F9="","",測定値!$B29)</f>
        <v>0</v>
      </c>
      <c r="G6" s="1">
        <f>IF(G9="","",測定値!$B41)</f>
        <v>0</v>
      </c>
      <c r="H6" s="1">
        <f>IF(H9="","",測定値!$B53)</f>
        <v>0</v>
      </c>
    </row>
    <row r="7" spans="2:11" ht="14.45" customHeight="1" x14ac:dyDescent="0.15">
      <c r="B7" s="95" t="s">
        <v>40</v>
      </c>
      <c r="C7" s="96"/>
      <c r="D7" s="71">
        <f>IF(D9="","",測定値!$E5)</f>
        <v>1</v>
      </c>
      <c r="E7" s="71">
        <f>IF(E9=0,0,D7+2)</f>
        <v>0</v>
      </c>
      <c r="F7" s="71">
        <f>IF(F9=0,0,E7+2)</f>
        <v>0</v>
      </c>
      <c r="G7" s="71">
        <f>IF(G9=0,0,F7+2)</f>
        <v>0</v>
      </c>
      <c r="H7" s="71">
        <f>IF(H9=0,0,G7+2)</f>
        <v>0</v>
      </c>
    </row>
    <row r="8" spans="2:11" ht="14.45" customHeight="1" x14ac:dyDescent="0.15">
      <c r="B8" s="95" t="s">
        <v>54</v>
      </c>
      <c r="C8" s="96"/>
      <c r="D8" s="12">
        <f>IF(D9="","",測定値!$C5)</f>
        <v>0</v>
      </c>
      <c r="E8" s="12">
        <f>IF(E9="","",測定値!$C17)</f>
        <v>0</v>
      </c>
      <c r="F8" s="12">
        <f>IF(F9="","",測定値!$C29)</f>
        <v>0</v>
      </c>
      <c r="G8" s="12">
        <f>IF(G9="","",測定値!$C41)</f>
        <v>0</v>
      </c>
      <c r="H8" s="12">
        <f>IF(H9="","",測定値!$C53)</f>
        <v>0</v>
      </c>
    </row>
    <row r="9" spans="2:11" ht="14.45" customHeight="1" x14ac:dyDescent="0.15">
      <c r="B9" s="93" t="s">
        <v>78</v>
      </c>
      <c r="C9" s="7" t="s">
        <v>79</v>
      </c>
      <c r="D9" s="6">
        <f>測定値!I5</f>
        <v>0</v>
      </c>
      <c r="E9" s="6">
        <f>測定値!$I17</f>
        <v>0</v>
      </c>
      <c r="F9" s="6">
        <f>測定値!$I29</f>
        <v>0</v>
      </c>
      <c r="G9" s="6">
        <f>測定値!$I41</f>
        <v>0</v>
      </c>
      <c r="H9" s="6">
        <f>測定値!$I53</f>
        <v>0</v>
      </c>
    </row>
    <row r="10" spans="2:11" ht="14.45" customHeight="1" x14ac:dyDescent="0.15">
      <c r="B10" s="94"/>
      <c r="C10" s="8" t="s">
        <v>80</v>
      </c>
      <c r="D10" s="9">
        <f>測定値!$I6</f>
        <v>0</v>
      </c>
      <c r="E10" s="9">
        <f>測定値!$I18</f>
        <v>0</v>
      </c>
      <c r="F10" s="9">
        <f>測定値!$I30</f>
        <v>0</v>
      </c>
      <c r="G10" s="9">
        <f>測定値!$I42</f>
        <v>0</v>
      </c>
      <c r="H10" s="9">
        <f>測定値!$I54</f>
        <v>0</v>
      </c>
    </row>
    <row r="11" spans="2:11" ht="14.45" customHeight="1" x14ac:dyDescent="0.15">
      <c r="B11" s="94"/>
      <c r="C11" s="8" t="s">
        <v>81</v>
      </c>
      <c r="D11" s="9">
        <f>測定値!$I7</f>
        <v>0</v>
      </c>
      <c r="E11" s="9">
        <f>測定値!$I19</f>
        <v>0</v>
      </c>
      <c r="F11" s="9">
        <f>測定値!$I31</f>
        <v>0</v>
      </c>
      <c r="G11" s="9">
        <f>測定値!$I43</f>
        <v>0</v>
      </c>
      <c r="H11" s="9">
        <f>測定値!$I55</f>
        <v>0</v>
      </c>
    </row>
    <row r="12" spans="2:11" ht="14.45" customHeight="1" x14ac:dyDescent="0.15">
      <c r="B12" s="94"/>
      <c r="C12" s="8" t="s">
        <v>82</v>
      </c>
      <c r="D12" s="9">
        <f>測定値!$I8</f>
        <v>0</v>
      </c>
      <c r="E12" s="9">
        <f>測定値!$I20</f>
        <v>0</v>
      </c>
      <c r="F12" s="9">
        <f>測定値!$I32</f>
        <v>0</v>
      </c>
      <c r="G12" s="9">
        <f>測定値!$I44</f>
        <v>0</v>
      </c>
      <c r="H12" s="9">
        <f>測定値!$I56</f>
        <v>0</v>
      </c>
    </row>
    <row r="13" spans="2:11" ht="14.45" customHeight="1" x14ac:dyDescent="0.15">
      <c r="B13" s="94"/>
      <c r="C13" s="8" t="s">
        <v>83</v>
      </c>
      <c r="D13" s="9">
        <f>測定値!$I9</f>
        <v>0</v>
      </c>
      <c r="E13" s="9">
        <f>測定値!$I21</f>
        <v>0</v>
      </c>
      <c r="F13" s="9">
        <f>測定値!$I33</f>
        <v>0</v>
      </c>
      <c r="G13" s="9">
        <f>測定値!$I45</f>
        <v>0</v>
      </c>
      <c r="H13" s="9">
        <f>測定値!$I57</f>
        <v>0</v>
      </c>
    </row>
    <row r="14" spans="2:11" ht="14.45" customHeight="1" x14ac:dyDescent="0.15">
      <c r="B14" s="11" t="s">
        <v>84</v>
      </c>
      <c r="C14" s="10" t="s">
        <v>85</v>
      </c>
      <c r="D14" s="5">
        <f>測定値!$I10</f>
        <v>0</v>
      </c>
      <c r="E14" s="5">
        <f>測定値!$I22</f>
        <v>0</v>
      </c>
      <c r="F14" s="5">
        <f>測定値!$I34</f>
        <v>0</v>
      </c>
      <c r="G14" s="5">
        <f>測定値!$I46</f>
        <v>0</v>
      </c>
      <c r="H14" s="5">
        <f>測定値!$I58</f>
        <v>0</v>
      </c>
    </row>
    <row r="15" spans="2:11" ht="14.45" customHeight="1" x14ac:dyDescent="0.15">
      <c r="B15" s="95" t="s">
        <v>86</v>
      </c>
      <c r="C15" s="96"/>
      <c r="D15" s="2">
        <f>MIN(D9:D14)</f>
        <v>0</v>
      </c>
      <c r="E15" s="2">
        <f>MIN(E9:E14)</f>
        <v>0</v>
      </c>
      <c r="F15" s="2">
        <f>MIN(F9:F14)</f>
        <v>0</v>
      </c>
      <c r="G15" s="2">
        <f>MIN(G9:G14)</f>
        <v>0</v>
      </c>
      <c r="H15" s="2">
        <f>MIN(H9:H14)</f>
        <v>0</v>
      </c>
    </row>
    <row r="16" spans="2:11" ht="14.45" customHeight="1" x14ac:dyDescent="0.15">
      <c r="B16" s="95" t="s">
        <v>87</v>
      </c>
      <c r="C16" s="96"/>
      <c r="D16" s="2">
        <f>MAX(D9:D14)</f>
        <v>0</v>
      </c>
      <c r="E16" s="2">
        <f>MAX(E9:E14)</f>
        <v>0</v>
      </c>
      <c r="F16" s="2">
        <f>MAX(F9:F14)</f>
        <v>0</v>
      </c>
      <c r="G16" s="2">
        <f>MAX(G9:G14)</f>
        <v>0</v>
      </c>
      <c r="H16" s="2">
        <f>MAX(H9:H14)</f>
        <v>0</v>
      </c>
    </row>
    <row r="17" spans="1:8" ht="14.45" customHeight="1" x14ac:dyDescent="0.15">
      <c r="B17" s="95" t="s">
        <v>77</v>
      </c>
      <c r="C17" s="96"/>
      <c r="D17" s="1">
        <f>D6</f>
        <v>0</v>
      </c>
      <c r="E17" s="1">
        <f>E6</f>
        <v>0</v>
      </c>
      <c r="F17" s="1">
        <f>F6</f>
        <v>0</v>
      </c>
      <c r="G17" s="1">
        <f>G6</f>
        <v>0</v>
      </c>
      <c r="H17" s="1">
        <f>H6</f>
        <v>0</v>
      </c>
    </row>
    <row r="18" spans="1:8" ht="14.45" customHeight="1" x14ac:dyDescent="0.15">
      <c r="B18" s="95" t="s">
        <v>40</v>
      </c>
      <c r="C18" s="96"/>
      <c r="D18" s="71">
        <f>IF(D20=0,0,測定値!$E11)</f>
        <v>0</v>
      </c>
      <c r="E18" s="71">
        <f>IF(E20=0,0,D18+2)</f>
        <v>0</v>
      </c>
      <c r="F18" s="71">
        <f>IF(F20=0,0,E18+2)</f>
        <v>0</v>
      </c>
      <c r="G18" s="71">
        <f>IF(G20=0,0,F18+2)</f>
        <v>0</v>
      </c>
      <c r="H18" s="71">
        <f>IF(H20=0,0,G18+2)</f>
        <v>0</v>
      </c>
    </row>
    <row r="19" spans="1:8" ht="14.45" customHeight="1" x14ac:dyDescent="0.15">
      <c r="B19" s="95" t="s">
        <v>54</v>
      </c>
      <c r="C19" s="96"/>
      <c r="D19" s="12">
        <f>D8</f>
        <v>0</v>
      </c>
      <c r="E19" s="12" t="str">
        <f>IF(E18&lt;1,"",E8)</f>
        <v/>
      </c>
      <c r="F19" s="12">
        <f>F8</f>
        <v>0</v>
      </c>
      <c r="G19" s="12">
        <f>G8</f>
        <v>0</v>
      </c>
      <c r="H19" s="12">
        <f>H8</f>
        <v>0</v>
      </c>
    </row>
    <row r="20" spans="1:8" ht="14.45" customHeight="1" x14ac:dyDescent="0.15">
      <c r="B20" s="93" t="s">
        <v>88</v>
      </c>
      <c r="C20" s="7" t="s">
        <v>79</v>
      </c>
      <c r="D20" s="6">
        <f>測定値!$I11</f>
        <v>0</v>
      </c>
      <c r="E20" s="6">
        <f>測定値!$I23</f>
        <v>0</v>
      </c>
      <c r="F20" s="6">
        <f>測定値!$I35</f>
        <v>0</v>
      </c>
      <c r="G20" s="6">
        <f>測定値!$I47</f>
        <v>0</v>
      </c>
      <c r="H20" s="6">
        <f>測定値!$I59</f>
        <v>0</v>
      </c>
    </row>
    <row r="21" spans="1:8" ht="14.45" customHeight="1" x14ac:dyDescent="0.15">
      <c r="B21" s="94"/>
      <c r="C21" s="8" t="s">
        <v>80</v>
      </c>
      <c r="D21" s="9">
        <f>測定値!$I12</f>
        <v>0</v>
      </c>
      <c r="E21" s="9">
        <f>測定値!$I24</f>
        <v>0</v>
      </c>
      <c r="F21" s="9">
        <f>測定値!$I36</f>
        <v>0</v>
      </c>
      <c r="G21" s="9">
        <f>測定値!$I48</f>
        <v>0</v>
      </c>
      <c r="H21" s="9">
        <f>測定値!$I60</f>
        <v>0</v>
      </c>
    </row>
    <row r="22" spans="1:8" ht="14.45" customHeight="1" x14ac:dyDescent="0.15">
      <c r="B22" s="94"/>
      <c r="C22" s="8" t="s">
        <v>81</v>
      </c>
      <c r="D22" s="9">
        <f>測定値!$I13</f>
        <v>0</v>
      </c>
      <c r="E22" s="9">
        <f>測定値!$I25</f>
        <v>0</v>
      </c>
      <c r="F22" s="9">
        <f>測定値!$I37</f>
        <v>0</v>
      </c>
      <c r="G22" s="9">
        <f>測定値!$I49</f>
        <v>0</v>
      </c>
      <c r="H22" s="9">
        <f>測定値!$I61</f>
        <v>0</v>
      </c>
    </row>
    <row r="23" spans="1:8" ht="14.45" customHeight="1" x14ac:dyDescent="0.15">
      <c r="B23" s="94"/>
      <c r="C23" s="8" t="s">
        <v>82</v>
      </c>
      <c r="D23" s="9">
        <f>測定値!$I14</f>
        <v>0</v>
      </c>
      <c r="E23" s="9">
        <f>測定値!$I26</f>
        <v>0</v>
      </c>
      <c r="F23" s="9">
        <f>測定値!$I38</f>
        <v>0</v>
      </c>
      <c r="G23" s="9">
        <f>測定値!$I50</f>
        <v>0</v>
      </c>
      <c r="H23" s="9">
        <f>測定値!$I62</f>
        <v>0</v>
      </c>
    </row>
    <row r="24" spans="1:8" ht="14.45" customHeight="1" x14ac:dyDescent="0.15">
      <c r="B24" s="94"/>
      <c r="C24" s="8" t="s">
        <v>83</v>
      </c>
      <c r="D24" s="9">
        <f>測定値!$I15</f>
        <v>0</v>
      </c>
      <c r="E24" s="9">
        <f>測定値!$I27</f>
        <v>0</v>
      </c>
      <c r="F24" s="9">
        <f>測定値!$I39</f>
        <v>0</v>
      </c>
      <c r="G24" s="9">
        <f>測定値!$I51</f>
        <v>0</v>
      </c>
      <c r="H24" s="9">
        <f>測定値!$I63</f>
        <v>0</v>
      </c>
    </row>
    <row r="25" spans="1:8" ht="14.45" customHeight="1" x14ac:dyDescent="0.15">
      <c r="B25" s="11" t="s">
        <v>84</v>
      </c>
      <c r="C25" s="10" t="s">
        <v>85</v>
      </c>
      <c r="D25" s="5">
        <f>測定値!$I16</f>
        <v>0</v>
      </c>
      <c r="E25" s="5">
        <f>測定値!$I28</f>
        <v>0</v>
      </c>
      <c r="F25" s="5">
        <f>測定値!$I40</f>
        <v>0</v>
      </c>
      <c r="G25" s="5">
        <f>測定値!$I52</f>
        <v>0</v>
      </c>
      <c r="H25" s="5">
        <f>測定値!$I64</f>
        <v>0</v>
      </c>
    </row>
    <row r="26" spans="1:8" ht="14.45" customHeight="1" x14ac:dyDescent="0.15">
      <c r="B26" s="95" t="s">
        <v>86</v>
      </c>
      <c r="C26" s="96"/>
      <c r="D26" s="2">
        <f>MIN(D20:D25)</f>
        <v>0</v>
      </c>
      <c r="E26" s="2">
        <f>MIN(E20:E25)</f>
        <v>0</v>
      </c>
      <c r="F26" s="2">
        <f>MIN(F20:F25)</f>
        <v>0</v>
      </c>
      <c r="G26" s="2">
        <f>MIN(G20:G25)</f>
        <v>0</v>
      </c>
      <c r="H26" s="2">
        <f>MIN(H20:H25)</f>
        <v>0</v>
      </c>
    </row>
    <row r="27" spans="1:8" ht="14.45" customHeight="1" x14ac:dyDescent="0.15">
      <c r="B27" s="95" t="s">
        <v>87</v>
      </c>
      <c r="C27" s="96"/>
      <c r="D27" s="2">
        <f>MAX(D20:D25)</f>
        <v>0</v>
      </c>
      <c r="E27" s="2">
        <f>MAX(E20:E25)</f>
        <v>0</v>
      </c>
      <c r="F27" s="2">
        <f>MAX(F20:F25)</f>
        <v>0</v>
      </c>
      <c r="G27" s="2">
        <f>MAX(G20:G25)</f>
        <v>0</v>
      </c>
      <c r="H27" s="2">
        <f>MAX(H20:H25)</f>
        <v>0</v>
      </c>
    </row>
    <row r="28" spans="1:8" ht="14.45" customHeight="1" x14ac:dyDescent="0.15">
      <c r="A28" s="50"/>
    </row>
    <row r="29" spans="1:8" ht="14.45" customHeight="1" x14ac:dyDescent="0.15">
      <c r="B29" s="95" t="s">
        <v>76</v>
      </c>
      <c r="C29" s="96"/>
      <c r="D29" s="71">
        <f>IF(D33="","",測定値!$A65)</f>
        <v>0</v>
      </c>
      <c r="E29" s="71">
        <f>IF(E33="","",測定値!$A77)</f>
        <v>0</v>
      </c>
      <c r="F29" s="71">
        <f>IF(F33="","",測定値!$A89)</f>
        <v>0</v>
      </c>
      <c r="G29" s="71">
        <f>IF(G33="","",測定値!$A101)</f>
        <v>0</v>
      </c>
      <c r="H29" s="71">
        <f>IF(H33="","",測定値!$A113)</f>
        <v>0</v>
      </c>
    </row>
    <row r="30" spans="1:8" x14ac:dyDescent="0.15">
      <c r="B30" s="95" t="s">
        <v>77</v>
      </c>
      <c r="C30" s="96"/>
      <c r="D30" s="1">
        <f>IF(D33="","",測定値!$B65)</f>
        <v>0</v>
      </c>
      <c r="E30" s="1">
        <f>IF(E33="","",測定値!$B77)</f>
        <v>0</v>
      </c>
      <c r="F30" s="1">
        <f>IF(F33="","",測定値!$B89)</f>
        <v>0</v>
      </c>
      <c r="G30" s="1">
        <f>IF(G33="","",測定値!$B101)</f>
        <v>0</v>
      </c>
      <c r="H30" s="1">
        <f>IF(H33="","",測定値!$B113)</f>
        <v>0</v>
      </c>
    </row>
    <row r="31" spans="1:8" x14ac:dyDescent="0.15">
      <c r="B31" s="95" t="s">
        <v>40</v>
      </c>
      <c r="C31" s="96"/>
      <c r="D31" s="71">
        <f>IF(D33=0,0,H7+2)</f>
        <v>0</v>
      </c>
      <c r="E31" s="71">
        <f>IF(E33=0,0,D31+2)</f>
        <v>0</v>
      </c>
      <c r="F31" s="71">
        <f>IF(F33=0,0,E31+2)</f>
        <v>0</v>
      </c>
      <c r="G31" s="71">
        <f>IF(G33=0,0,F31+2)</f>
        <v>0</v>
      </c>
      <c r="H31" s="71">
        <f>IF(H33=0,0,G31+2)</f>
        <v>0</v>
      </c>
    </row>
    <row r="32" spans="1:8" x14ac:dyDescent="0.15">
      <c r="B32" s="95" t="s">
        <v>54</v>
      </c>
      <c r="C32" s="96"/>
      <c r="D32" s="12">
        <f>IF(D33="","",測定値!$C65)</f>
        <v>0</v>
      </c>
      <c r="E32" s="12">
        <f>IF(E33="","",測定値!$C77)</f>
        <v>0</v>
      </c>
      <c r="F32" s="12">
        <f>IF(F33="","",測定値!$C89)</f>
        <v>0</v>
      </c>
      <c r="G32" s="12">
        <f>IF(G33="","",測定値!$C101)</f>
        <v>0</v>
      </c>
      <c r="H32" s="12">
        <f>IF(H33="","",測定値!$C113)</f>
        <v>0</v>
      </c>
    </row>
    <row r="33" spans="2:8" ht="13.5" customHeight="1" x14ac:dyDescent="0.15">
      <c r="B33" s="93" t="s">
        <v>78</v>
      </c>
      <c r="C33" s="7" t="s">
        <v>79</v>
      </c>
      <c r="D33" s="6">
        <f>測定値!$I65</f>
        <v>0</v>
      </c>
      <c r="E33" s="6">
        <f>測定値!$I77</f>
        <v>0</v>
      </c>
      <c r="F33" s="6">
        <f>測定値!$I89</f>
        <v>0</v>
      </c>
      <c r="G33" s="6">
        <f>測定値!$I101</f>
        <v>0</v>
      </c>
      <c r="H33" s="6">
        <f>測定値!$I113</f>
        <v>0</v>
      </c>
    </row>
    <row r="34" spans="2:8" x14ac:dyDescent="0.15">
      <c r="B34" s="94"/>
      <c r="C34" s="8" t="s">
        <v>80</v>
      </c>
      <c r="D34" s="9">
        <f>測定値!$I66</f>
        <v>0</v>
      </c>
      <c r="E34" s="9">
        <f>測定値!$I78</f>
        <v>0</v>
      </c>
      <c r="F34" s="9">
        <f>測定値!$I90</f>
        <v>0</v>
      </c>
      <c r="G34" s="9">
        <f>測定値!$I102</f>
        <v>0</v>
      </c>
      <c r="H34" s="9">
        <f>測定値!$I114</f>
        <v>0</v>
      </c>
    </row>
    <row r="35" spans="2:8" x14ac:dyDescent="0.15">
      <c r="B35" s="94"/>
      <c r="C35" s="8" t="s">
        <v>81</v>
      </c>
      <c r="D35" s="9">
        <f>測定値!$I67</f>
        <v>0</v>
      </c>
      <c r="E35" s="9">
        <f>測定値!$I79</f>
        <v>0</v>
      </c>
      <c r="F35" s="9">
        <f>測定値!$I91</f>
        <v>0</v>
      </c>
      <c r="G35" s="9">
        <f>測定値!$I103</f>
        <v>0</v>
      </c>
      <c r="H35" s="9">
        <f>測定値!$I115</f>
        <v>0</v>
      </c>
    </row>
    <row r="36" spans="2:8" ht="16.149999999999999" customHeight="1" x14ac:dyDescent="0.15">
      <c r="B36" s="94"/>
      <c r="C36" s="8" t="s">
        <v>82</v>
      </c>
      <c r="D36" s="9">
        <f>測定値!$I68</f>
        <v>0</v>
      </c>
      <c r="E36" s="9">
        <f>測定値!$I80</f>
        <v>0</v>
      </c>
      <c r="F36" s="9">
        <f>測定値!$I92</f>
        <v>0</v>
      </c>
      <c r="G36" s="9">
        <f>測定値!$I104</f>
        <v>0</v>
      </c>
      <c r="H36" s="9">
        <f>測定値!$I116</f>
        <v>0</v>
      </c>
    </row>
    <row r="37" spans="2:8" ht="16.149999999999999" customHeight="1" x14ac:dyDescent="0.15">
      <c r="B37" s="94"/>
      <c r="C37" s="8" t="s">
        <v>83</v>
      </c>
      <c r="D37" s="9">
        <f>測定値!$I69</f>
        <v>0</v>
      </c>
      <c r="E37" s="9">
        <f>測定値!$I81</f>
        <v>0</v>
      </c>
      <c r="F37" s="9">
        <f>測定値!$I93</f>
        <v>0</v>
      </c>
      <c r="G37" s="9">
        <f>測定値!$I105</f>
        <v>0</v>
      </c>
      <c r="H37" s="9">
        <f>測定値!$I117</f>
        <v>0</v>
      </c>
    </row>
    <row r="38" spans="2:8" ht="16.149999999999999" customHeight="1" x14ac:dyDescent="0.15">
      <c r="B38" s="11" t="s">
        <v>84</v>
      </c>
      <c r="C38" s="10" t="s">
        <v>85</v>
      </c>
      <c r="D38" s="5">
        <f>測定値!$I70</f>
        <v>0</v>
      </c>
      <c r="E38" s="5">
        <f>測定値!$I82</f>
        <v>0</v>
      </c>
      <c r="F38" s="5">
        <f>測定値!$I94</f>
        <v>0</v>
      </c>
      <c r="G38" s="5">
        <f>測定値!$I106</f>
        <v>0</v>
      </c>
      <c r="H38" s="5">
        <f>測定値!$I118</f>
        <v>0</v>
      </c>
    </row>
    <row r="39" spans="2:8" ht="16.149999999999999" customHeight="1" x14ac:dyDescent="0.15">
      <c r="B39" s="95" t="s">
        <v>86</v>
      </c>
      <c r="C39" s="96"/>
      <c r="D39" s="2">
        <f>MIN(D33:D38)</f>
        <v>0</v>
      </c>
      <c r="E39" s="2">
        <f>MIN(E33:E38)</f>
        <v>0</v>
      </c>
      <c r="F39" s="2">
        <f>MIN(F33:F38)</f>
        <v>0</v>
      </c>
      <c r="G39" s="2">
        <f>MIN(G33:G38)</f>
        <v>0</v>
      </c>
      <c r="H39" s="2">
        <f>MIN(H33:H38)</f>
        <v>0</v>
      </c>
    </row>
    <row r="40" spans="2:8" ht="16.149999999999999" customHeight="1" x14ac:dyDescent="0.15">
      <c r="B40" s="95" t="s">
        <v>87</v>
      </c>
      <c r="C40" s="96"/>
      <c r="D40" s="2">
        <f>MAX(D33:D38)</f>
        <v>0</v>
      </c>
      <c r="E40" s="2">
        <f>MAX(E33:E38)</f>
        <v>0</v>
      </c>
      <c r="F40" s="2">
        <f>MAX(F33:F38)</f>
        <v>0</v>
      </c>
      <c r="G40" s="2">
        <f>MAX(G33:G38)</f>
        <v>0</v>
      </c>
      <c r="H40" s="2">
        <f>MAX(H33:H38)</f>
        <v>0</v>
      </c>
    </row>
    <row r="41" spans="2:8" ht="16.149999999999999" customHeight="1" x14ac:dyDescent="0.15">
      <c r="B41" s="95" t="s">
        <v>77</v>
      </c>
      <c r="C41" s="96"/>
      <c r="D41" s="1">
        <f>D30</f>
        <v>0</v>
      </c>
      <c r="E41" s="1">
        <f>E30</f>
        <v>0</v>
      </c>
      <c r="F41" s="1">
        <f>F30</f>
        <v>0</v>
      </c>
      <c r="G41" s="1">
        <f>G30</f>
        <v>0</v>
      </c>
      <c r="H41" s="1">
        <f>H30</f>
        <v>0</v>
      </c>
    </row>
    <row r="42" spans="2:8" ht="16.149999999999999" customHeight="1" x14ac:dyDescent="0.15">
      <c r="B42" s="95" t="s">
        <v>40</v>
      </c>
      <c r="C42" s="96"/>
      <c r="D42" s="71">
        <f>IF(D44=0,0,H18+2)</f>
        <v>0</v>
      </c>
      <c r="E42" s="71">
        <f>IF(E44=0,0,D42+2)</f>
        <v>0</v>
      </c>
      <c r="F42" s="71">
        <f>IF(F44=0,0,E42+2)</f>
        <v>0</v>
      </c>
      <c r="G42" s="71">
        <f>IF(G44=0,0,F42+2)</f>
        <v>0</v>
      </c>
      <c r="H42" s="71">
        <f>IF(H44=0,0,G42+2)</f>
        <v>0</v>
      </c>
    </row>
    <row r="43" spans="2:8" ht="16.149999999999999" customHeight="1" x14ac:dyDescent="0.15">
      <c r="B43" s="95" t="s">
        <v>54</v>
      </c>
      <c r="C43" s="96"/>
      <c r="D43" s="12">
        <f>D32</f>
        <v>0</v>
      </c>
      <c r="E43" s="12">
        <f>E32</f>
        <v>0</v>
      </c>
      <c r="F43" s="12">
        <f>F32</f>
        <v>0</v>
      </c>
      <c r="G43" s="12">
        <f>G32</f>
        <v>0</v>
      </c>
      <c r="H43" s="12">
        <f>H32</f>
        <v>0</v>
      </c>
    </row>
    <row r="44" spans="2:8" ht="16.149999999999999" customHeight="1" x14ac:dyDescent="0.15">
      <c r="B44" s="93" t="s">
        <v>88</v>
      </c>
      <c r="C44" s="7" t="s">
        <v>79</v>
      </c>
      <c r="D44" s="6">
        <f>測定値!$I71</f>
        <v>0</v>
      </c>
      <c r="E44" s="6">
        <f>測定値!$I83</f>
        <v>0</v>
      </c>
      <c r="F44" s="6">
        <f>測定値!$I95</f>
        <v>0</v>
      </c>
      <c r="G44" s="6">
        <f>測定値!$I107</f>
        <v>0</v>
      </c>
      <c r="H44" s="6">
        <f>測定値!$I119</f>
        <v>0</v>
      </c>
    </row>
    <row r="45" spans="2:8" ht="16.149999999999999" customHeight="1" x14ac:dyDescent="0.15">
      <c r="B45" s="94"/>
      <c r="C45" s="8" t="s">
        <v>80</v>
      </c>
      <c r="D45" s="9">
        <f>測定値!$I72</f>
        <v>0</v>
      </c>
      <c r="E45" s="9">
        <f>測定値!$I84</f>
        <v>0</v>
      </c>
      <c r="F45" s="9">
        <f>測定値!$I96</f>
        <v>0</v>
      </c>
      <c r="G45" s="9">
        <f>測定値!$I108</f>
        <v>0</v>
      </c>
      <c r="H45" s="9">
        <f>測定値!$I120</f>
        <v>0</v>
      </c>
    </row>
    <row r="46" spans="2:8" ht="16.149999999999999" customHeight="1" x14ac:dyDescent="0.15">
      <c r="B46" s="94"/>
      <c r="C46" s="8" t="s">
        <v>81</v>
      </c>
      <c r="D46" s="9">
        <f>測定値!$I73</f>
        <v>0</v>
      </c>
      <c r="E46" s="9">
        <f>測定値!$I85</f>
        <v>0</v>
      </c>
      <c r="F46" s="9">
        <f>測定値!$I97</f>
        <v>0</v>
      </c>
      <c r="G46" s="9">
        <f>測定値!$I109</f>
        <v>0</v>
      </c>
      <c r="H46" s="9">
        <f>測定値!$I121</f>
        <v>0</v>
      </c>
    </row>
    <row r="47" spans="2:8" ht="16.149999999999999" customHeight="1" x14ac:dyDescent="0.15">
      <c r="B47" s="94"/>
      <c r="C47" s="8" t="s">
        <v>82</v>
      </c>
      <c r="D47" s="9">
        <f>測定値!$I74</f>
        <v>0</v>
      </c>
      <c r="E47" s="9">
        <f>測定値!$I86</f>
        <v>0</v>
      </c>
      <c r="F47" s="9">
        <f>測定値!$I98</f>
        <v>0</v>
      </c>
      <c r="G47" s="9">
        <f>測定値!$I110</f>
        <v>0</v>
      </c>
      <c r="H47" s="9">
        <f>測定値!$I122</f>
        <v>0</v>
      </c>
    </row>
    <row r="48" spans="2:8" ht="16.149999999999999" customHeight="1" x14ac:dyDescent="0.15">
      <c r="B48" s="94"/>
      <c r="C48" s="8" t="s">
        <v>83</v>
      </c>
      <c r="D48" s="9">
        <f>測定値!$I75</f>
        <v>0</v>
      </c>
      <c r="E48" s="9">
        <f>測定値!$I87</f>
        <v>0</v>
      </c>
      <c r="F48" s="9">
        <f>測定値!$I99</f>
        <v>0</v>
      </c>
      <c r="G48" s="9">
        <f>測定値!$I111</f>
        <v>0</v>
      </c>
      <c r="H48" s="9">
        <f>測定値!$I123</f>
        <v>0</v>
      </c>
    </row>
    <row r="49" spans="1:8" ht="16.149999999999999" customHeight="1" x14ac:dyDescent="0.15">
      <c r="B49" s="11" t="s">
        <v>84</v>
      </c>
      <c r="C49" s="10" t="s">
        <v>85</v>
      </c>
      <c r="D49" s="5">
        <f>測定値!$I76</f>
        <v>0</v>
      </c>
      <c r="E49" s="5">
        <f>測定値!$I88</f>
        <v>0</v>
      </c>
      <c r="F49" s="5">
        <f>測定値!$I100</f>
        <v>0</v>
      </c>
      <c r="G49" s="5">
        <f>測定値!$I112</f>
        <v>0</v>
      </c>
      <c r="H49" s="5">
        <f>測定値!$I124</f>
        <v>0</v>
      </c>
    </row>
    <row r="50" spans="1:8" ht="16.149999999999999" customHeight="1" x14ac:dyDescent="0.15">
      <c r="B50" s="95" t="s">
        <v>86</v>
      </c>
      <c r="C50" s="96"/>
      <c r="D50" s="2">
        <f>MIN(D44:D49)</f>
        <v>0</v>
      </c>
      <c r="E50" s="2">
        <f>MIN(E44:E49)</f>
        <v>0</v>
      </c>
      <c r="F50" s="2">
        <f>MIN(F44:F49)</f>
        <v>0</v>
      </c>
      <c r="G50" s="2">
        <f>MIN(G44:G49)</f>
        <v>0</v>
      </c>
      <c r="H50" s="2">
        <f>MIN(H44:H49)</f>
        <v>0</v>
      </c>
    </row>
    <row r="51" spans="1:8" ht="16.149999999999999" customHeight="1" x14ac:dyDescent="0.15">
      <c r="B51" s="95" t="s">
        <v>87</v>
      </c>
      <c r="C51" s="96"/>
      <c r="D51" s="2">
        <f>MAX(D44:D49)</f>
        <v>0</v>
      </c>
      <c r="E51" s="2">
        <f>MAX(E44:E49)</f>
        <v>0</v>
      </c>
      <c r="F51" s="2">
        <f>MAX(F44:F49)</f>
        <v>0</v>
      </c>
      <c r="G51" s="2">
        <f>MAX(G44:G49)</f>
        <v>0</v>
      </c>
      <c r="H51" s="2">
        <f>MAX(H44:H49)</f>
        <v>0</v>
      </c>
    </row>
    <row r="52" spans="1:8" ht="17.25" hidden="1" customHeight="1" x14ac:dyDescent="0.15">
      <c r="A52" s="50"/>
    </row>
    <row r="53" spans="1:8" ht="14.45" customHeight="1" x14ac:dyDescent="0.15">
      <c r="B53" s="95" t="s">
        <v>76</v>
      </c>
      <c r="C53" s="96"/>
      <c r="D53" s="71">
        <f>IF(D57="","",測定値!$A125)</f>
        <v>0</v>
      </c>
      <c r="E53" s="71">
        <f>IF(E57="","",測定値!$A137)</f>
        <v>0</v>
      </c>
      <c r="F53" s="71">
        <f>IF(F57="","",測定値!$A149)</f>
        <v>0</v>
      </c>
      <c r="G53" s="71">
        <f>IF(G57="","",測定値!$A161)</f>
        <v>0</v>
      </c>
      <c r="H53" s="71">
        <f>IF(H57="","",測定値!$A173)</f>
        <v>0</v>
      </c>
    </row>
    <row r="54" spans="1:8" x14ac:dyDescent="0.15">
      <c r="B54" s="95" t="s">
        <v>77</v>
      </c>
      <c r="C54" s="96"/>
      <c r="D54" s="1">
        <f>IF(D57="","",測定値!B125)</f>
        <v>0</v>
      </c>
      <c r="E54" s="1">
        <f>IF(E57="","",測定値!$B137)</f>
        <v>0</v>
      </c>
      <c r="F54" s="1">
        <f>IF(F57="","",測定値!$B149)</f>
        <v>0</v>
      </c>
      <c r="G54" s="1">
        <f>IF(G57="","",測定値!$B161)</f>
        <v>0</v>
      </c>
      <c r="H54" s="1">
        <f>IF(H57="","",測定値!$B173)</f>
        <v>0</v>
      </c>
    </row>
    <row r="55" spans="1:8" x14ac:dyDescent="0.15">
      <c r="B55" s="95" t="s">
        <v>40</v>
      </c>
      <c r="C55" s="96"/>
      <c r="D55" s="71">
        <f>IF(D57=0,0,H42+1)</f>
        <v>0</v>
      </c>
      <c r="E55" s="71">
        <f>IF(E57=0,0,D55+2)</f>
        <v>0</v>
      </c>
      <c r="F55" s="71">
        <f>IF(F57=0,0,E55+2)</f>
        <v>0</v>
      </c>
      <c r="G55" s="71">
        <f>IF(G57=0,0,F55+2)</f>
        <v>0</v>
      </c>
      <c r="H55" s="71">
        <f>IF(H57=0,0,G55+2)</f>
        <v>0</v>
      </c>
    </row>
    <row r="56" spans="1:8" x14ac:dyDescent="0.15">
      <c r="B56" s="95" t="s">
        <v>54</v>
      </c>
      <c r="C56" s="96"/>
      <c r="D56" s="12">
        <f>IF(D57="","",測定値!$C125)</f>
        <v>0</v>
      </c>
      <c r="E56" s="12">
        <f>IF(E57="","",測定値!$C137)</f>
        <v>0</v>
      </c>
      <c r="F56" s="12">
        <f>IF(F57="","",測定値!$C149)</f>
        <v>0</v>
      </c>
      <c r="G56" s="12">
        <f>IF(G57="","",測定値!$C161)</f>
        <v>0</v>
      </c>
      <c r="H56" s="12">
        <f>IF(H57="","",測定値!$C173)</f>
        <v>0</v>
      </c>
    </row>
    <row r="57" spans="1:8" ht="13.5" customHeight="1" x14ac:dyDescent="0.15">
      <c r="B57" s="93" t="s">
        <v>78</v>
      </c>
      <c r="C57" s="7" t="s">
        <v>79</v>
      </c>
      <c r="D57" s="6">
        <f>測定値!$I125</f>
        <v>0</v>
      </c>
      <c r="E57" s="6">
        <f>測定値!$I137</f>
        <v>0</v>
      </c>
      <c r="F57" s="6">
        <f>測定値!$I149</f>
        <v>0</v>
      </c>
      <c r="G57" s="6">
        <f>測定値!$I161</f>
        <v>0</v>
      </c>
      <c r="H57" s="6">
        <f>測定値!$I173</f>
        <v>0</v>
      </c>
    </row>
    <row r="58" spans="1:8" x14ac:dyDescent="0.15">
      <c r="B58" s="94"/>
      <c r="C58" s="8" t="s">
        <v>80</v>
      </c>
      <c r="D58" s="9">
        <f>測定値!$I126</f>
        <v>0</v>
      </c>
      <c r="E58" s="9">
        <f>測定値!$I138</f>
        <v>0</v>
      </c>
      <c r="F58" s="9">
        <f>測定値!$I150</f>
        <v>0</v>
      </c>
      <c r="G58" s="9">
        <f>測定値!$I162</f>
        <v>0</v>
      </c>
      <c r="H58" s="9">
        <f>測定値!$I174</f>
        <v>0</v>
      </c>
    </row>
    <row r="59" spans="1:8" x14ac:dyDescent="0.15">
      <c r="B59" s="94"/>
      <c r="C59" s="8" t="s">
        <v>81</v>
      </c>
      <c r="D59" s="9">
        <f>測定値!$I127</f>
        <v>0</v>
      </c>
      <c r="E59" s="9">
        <f>測定値!$I139</f>
        <v>0</v>
      </c>
      <c r="F59" s="9">
        <f>測定値!$I151</f>
        <v>0</v>
      </c>
      <c r="G59" s="9">
        <f>測定値!$I163</f>
        <v>0</v>
      </c>
      <c r="H59" s="9">
        <f>測定値!$I175</f>
        <v>0</v>
      </c>
    </row>
    <row r="60" spans="1:8" ht="16.149999999999999" customHeight="1" x14ac:dyDescent="0.15">
      <c r="B60" s="94"/>
      <c r="C60" s="8" t="s">
        <v>82</v>
      </c>
      <c r="D60" s="9">
        <f>測定値!$I128</f>
        <v>0</v>
      </c>
      <c r="E60" s="9">
        <f>測定値!$I140</f>
        <v>0</v>
      </c>
      <c r="F60" s="9">
        <f>測定値!$I152</f>
        <v>0</v>
      </c>
      <c r="G60" s="9">
        <f>測定値!$I164</f>
        <v>0</v>
      </c>
      <c r="H60" s="9">
        <f>測定値!$I176</f>
        <v>0</v>
      </c>
    </row>
    <row r="61" spans="1:8" ht="16.149999999999999" customHeight="1" x14ac:dyDescent="0.15">
      <c r="B61" s="94"/>
      <c r="C61" s="8" t="s">
        <v>83</v>
      </c>
      <c r="D61" s="9">
        <f>測定値!$I129</f>
        <v>0</v>
      </c>
      <c r="E61" s="9">
        <f>測定値!$I141</f>
        <v>0</v>
      </c>
      <c r="F61" s="9">
        <f>測定値!$I153</f>
        <v>0</v>
      </c>
      <c r="G61" s="9">
        <f>測定値!$I165</f>
        <v>0</v>
      </c>
      <c r="H61" s="9">
        <f>測定値!$I177</f>
        <v>0</v>
      </c>
    </row>
    <row r="62" spans="1:8" ht="16.149999999999999" customHeight="1" x14ac:dyDescent="0.15">
      <c r="B62" s="11" t="s">
        <v>84</v>
      </c>
      <c r="C62" s="10" t="s">
        <v>85</v>
      </c>
      <c r="D62" s="5">
        <f>測定値!$I130</f>
        <v>0</v>
      </c>
      <c r="E62" s="5">
        <f>測定値!$I142</f>
        <v>0</v>
      </c>
      <c r="F62" s="5">
        <f>測定値!$I154</f>
        <v>0</v>
      </c>
      <c r="G62" s="5">
        <f>測定値!$I166</f>
        <v>0</v>
      </c>
      <c r="H62" s="5">
        <f>測定値!$I178</f>
        <v>0</v>
      </c>
    </row>
    <row r="63" spans="1:8" ht="16.149999999999999" customHeight="1" x14ac:dyDescent="0.15">
      <c r="B63" s="95" t="s">
        <v>86</v>
      </c>
      <c r="C63" s="96"/>
      <c r="D63" s="2">
        <f>MIN(D57:D62)</f>
        <v>0</v>
      </c>
      <c r="E63" s="2">
        <f>MIN(E57:E62)</f>
        <v>0</v>
      </c>
      <c r="F63" s="2">
        <f>MIN(F57:F62)</f>
        <v>0</v>
      </c>
      <c r="G63" s="2">
        <f>MIN(G57:G62)</f>
        <v>0</v>
      </c>
      <c r="H63" s="2">
        <f>MIN(H57:H62)</f>
        <v>0</v>
      </c>
    </row>
    <row r="64" spans="1:8" ht="16.149999999999999" customHeight="1" x14ac:dyDescent="0.15">
      <c r="B64" s="95" t="s">
        <v>87</v>
      </c>
      <c r="C64" s="96"/>
      <c r="D64" s="2">
        <f>MAX(D57:D62)</f>
        <v>0</v>
      </c>
      <c r="E64" s="2">
        <f>MAX(E57:E62)</f>
        <v>0</v>
      </c>
      <c r="F64" s="2">
        <f>MAX(F57:F62)</f>
        <v>0</v>
      </c>
      <c r="G64" s="2">
        <f>MAX(G57:G62)</f>
        <v>0</v>
      </c>
      <c r="H64" s="2">
        <f>MAX(H57:H62)</f>
        <v>0</v>
      </c>
    </row>
    <row r="65" spans="1:8" ht="16.149999999999999" customHeight="1" x14ac:dyDescent="0.15">
      <c r="B65" s="95" t="s">
        <v>77</v>
      </c>
      <c r="C65" s="96"/>
      <c r="D65" s="1">
        <f>D54</f>
        <v>0</v>
      </c>
      <c r="E65" s="1">
        <f>E54</f>
        <v>0</v>
      </c>
      <c r="F65" s="1">
        <f>F54</f>
        <v>0</v>
      </c>
      <c r="G65" s="1">
        <f>G54</f>
        <v>0</v>
      </c>
      <c r="H65" s="1">
        <f>H54</f>
        <v>0</v>
      </c>
    </row>
    <row r="66" spans="1:8" ht="16.149999999999999" customHeight="1" x14ac:dyDescent="0.15">
      <c r="B66" s="95" t="s">
        <v>40</v>
      </c>
      <c r="C66" s="96"/>
      <c r="D66" s="71">
        <f>IF(D68=0,0,D55+1)</f>
        <v>0</v>
      </c>
      <c r="E66" s="71">
        <f>IF(E68=0,0,D66+2)</f>
        <v>0</v>
      </c>
      <c r="F66" s="71">
        <f>IF(F68=0,0,E66+2)</f>
        <v>0</v>
      </c>
      <c r="G66" s="71">
        <f>IF(G68=0,0,F66+2)</f>
        <v>0</v>
      </c>
      <c r="H66" s="71">
        <f>IF(H68=0,0,G66+2)</f>
        <v>0</v>
      </c>
    </row>
    <row r="67" spans="1:8" ht="16.149999999999999" customHeight="1" x14ac:dyDescent="0.15">
      <c r="B67" s="95" t="s">
        <v>54</v>
      </c>
      <c r="C67" s="96"/>
      <c r="D67" s="12">
        <f>D56</f>
        <v>0</v>
      </c>
      <c r="E67" s="12">
        <f>E56</f>
        <v>0</v>
      </c>
      <c r="F67" s="12">
        <f>F56</f>
        <v>0</v>
      </c>
      <c r="G67" s="12">
        <f>G56</f>
        <v>0</v>
      </c>
      <c r="H67" s="12">
        <f>H56</f>
        <v>0</v>
      </c>
    </row>
    <row r="68" spans="1:8" ht="16.149999999999999" customHeight="1" x14ac:dyDescent="0.15">
      <c r="B68" s="93" t="s">
        <v>88</v>
      </c>
      <c r="C68" s="7" t="s">
        <v>79</v>
      </c>
      <c r="D68" s="6">
        <f>測定値!$I131</f>
        <v>0</v>
      </c>
      <c r="E68" s="6">
        <f>測定値!$I143</f>
        <v>0</v>
      </c>
      <c r="F68" s="6">
        <f>測定値!$I155</f>
        <v>0</v>
      </c>
      <c r="G68" s="6">
        <f>測定値!$I167</f>
        <v>0</v>
      </c>
      <c r="H68" s="6">
        <f>測定値!$I179</f>
        <v>0</v>
      </c>
    </row>
    <row r="69" spans="1:8" ht="16.149999999999999" customHeight="1" x14ac:dyDescent="0.15">
      <c r="B69" s="94"/>
      <c r="C69" s="8" t="s">
        <v>80</v>
      </c>
      <c r="D69" s="9">
        <f>測定値!$I132</f>
        <v>0</v>
      </c>
      <c r="E69" s="9">
        <f>測定値!$I144</f>
        <v>0</v>
      </c>
      <c r="F69" s="9">
        <f>測定値!$I156</f>
        <v>0</v>
      </c>
      <c r="G69" s="9">
        <f>測定値!$I168</f>
        <v>0</v>
      </c>
      <c r="H69" s="9">
        <f>測定値!$I180</f>
        <v>0</v>
      </c>
    </row>
    <row r="70" spans="1:8" ht="16.149999999999999" customHeight="1" x14ac:dyDescent="0.15">
      <c r="B70" s="94"/>
      <c r="C70" s="8" t="s">
        <v>81</v>
      </c>
      <c r="D70" s="9">
        <f>測定値!$I133</f>
        <v>0</v>
      </c>
      <c r="E70" s="9">
        <f>測定値!$I145</f>
        <v>0</v>
      </c>
      <c r="F70" s="9">
        <f>測定値!$I157</f>
        <v>0</v>
      </c>
      <c r="G70" s="9">
        <f>測定値!$I169</f>
        <v>0</v>
      </c>
      <c r="H70" s="9">
        <f>測定値!$I181</f>
        <v>0</v>
      </c>
    </row>
    <row r="71" spans="1:8" ht="16.149999999999999" customHeight="1" x14ac:dyDescent="0.15">
      <c r="B71" s="94"/>
      <c r="C71" s="8" t="s">
        <v>82</v>
      </c>
      <c r="D71" s="9">
        <f>測定値!$I134</f>
        <v>0</v>
      </c>
      <c r="E71" s="9">
        <f>測定値!$I146</f>
        <v>0</v>
      </c>
      <c r="F71" s="9">
        <f>測定値!$I158</f>
        <v>0</v>
      </c>
      <c r="G71" s="9">
        <f>測定値!$I170</f>
        <v>0</v>
      </c>
      <c r="H71" s="9">
        <f>測定値!$I182</f>
        <v>0</v>
      </c>
    </row>
    <row r="72" spans="1:8" ht="16.149999999999999" customHeight="1" x14ac:dyDescent="0.15">
      <c r="B72" s="94"/>
      <c r="C72" s="8" t="s">
        <v>83</v>
      </c>
      <c r="D72" s="9">
        <f>測定値!$I135</f>
        <v>0</v>
      </c>
      <c r="E72" s="9">
        <f>測定値!$I147</f>
        <v>0</v>
      </c>
      <c r="F72" s="9">
        <f>測定値!$I159</f>
        <v>0</v>
      </c>
      <c r="G72" s="9">
        <f>測定値!$I171</f>
        <v>0</v>
      </c>
      <c r="H72" s="9">
        <f>測定値!$I183</f>
        <v>0</v>
      </c>
    </row>
    <row r="73" spans="1:8" ht="16.149999999999999" customHeight="1" x14ac:dyDescent="0.15">
      <c r="B73" s="11" t="s">
        <v>84</v>
      </c>
      <c r="C73" s="10" t="s">
        <v>85</v>
      </c>
      <c r="D73" s="5">
        <f>測定値!$I136</f>
        <v>0</v>
      </c>
      <c r="E73" s="5">
        <f>測定値!$I148</f>
        <v>0</v>
      </c>
      <c r="F73" s="5">
        <f>測定値!$I160</f>
        <v>0</v>
      </c>
      <c r="G73" s="5">
        <f>測定値!$I172</f>
        <v>0</v>
      </c>
      <c r="H73" s="5">
        <f>測定値!$I184</f>
        <v>0</v>
      </c>
    </row>
    <row r="74" spans="1:8" ht="16.149999999999999" customHeight="1" x14ac:dyDescent="0.15">
      <c r="B74" s="95" t="s">
        <v>86</v>
      </c>
      <c r="C74" s="96"/>
      <c r="D74" s="2">
        <f>MIN(D68:D73)</f>
        <v>0</v>
      </c>
      <c r="E74" s="2">
        <f>MIN(E68:E73)</f>
        <v>0</v>
      </c>
      <c r="F74" s="2">
        <f>MIN(F68:F73)</f>
        <v>0</v>
      </c>
      <c r="G74" s="2">
        <f>MIN(G68:G73)</f>
        <v>0</v>
      </c>
      <c r="H74" s="2">
        <f>MIN(H68:H73)</f>
        <v>0</v>
      </c>
    </row>
    <row r="75" spans="1:8" ht="16.149999999999999" customHeight="1" x14ac:dyDescent="0.15">
      <c r="B75" s="95" t="s">
        <v>87</v>
      </c>
      <c r="C75" s="96"/>
      <c r="D75" s="2">
        <f>MAX(D68:D73)</f>
        <v>0</v>
      </c>
      <c r="E75" s="2">
        <f>MAX(E68:E73)</f>
        <v>0</v>
      </c>
      <c r="F75" s="2">
        <f>MAX(F68:F73)</f>
        <v>0</v>
      </c>
      <c r="G75" s="2">
        <f>MAX(G68:G73)</f>
        <v>0</v>
      </c>
      <c r="H75" s="2">
        <f>MAX(H68:H73)</f>
        <v>0</v>
      </c>
    </row>
    <row r="76" spans="1:8" ht="16.149999999999999" customHeight="1" x14ac:dyDescent="0.15">
      <c r="A76" s="50"/>
    </row>
    <row r="77" spans="1:8" ht="14.45" customHeight="1" x14ac:dyDescent="0.15">
      <c r="B77" s="95" t="s">
        <v>76</v>
      </c>
      <c r="C77" s="96"/>
      <c r="D77" s="71">
        <f>IF(D81="","",測定値!$A185)</f>
        <v>0</v>
      </c>
      <c r="E77" s="71">
        <f>IF(E81="","",測定値!$A197)</f>
        <v>0</v>
      </c>
      <c r="F77" s="71">
        <f>IF(F81="","",測定値!$A209)</f>
        <v>0</v>
      </c>
      <c r="G77" s="71">
        <f>IF(G81="","",測定値!$A221)</f>
        <v>0</v>
      </c>
      <c r="H77" s="71">
        <f>IF(H81="","",測定値!$A233)</f>
        <v>0</v>
      </c>
    </row>
    <row r="78" spans="1:8" x14ac:dyDescent="0.15">
      <c r="B78" s="95" t="s">
        <v>77</v>
      </c>
      <c r="C78" s="96"/>
      <c r="D78" s="1">
        <f>IF(D81="","",測定値!$B185)</f>
        <v>0</v>
      </c>
      <c r="E78" s="1">
        <f>IF(E81="","",測定値!$B197)</f>
        <v>0</v>
      </c>
      <c r="F78" s="1">
        <f>IF(F81="","",測定値!$B209)</f>
        <v>0</v>
      </c>
      <c r="G78" s="1">
        <f>IF(G81="","",測定値!$B221)</f>
        <v>0</v>
      </c>
      <c r="H78" s="1">
        <f>IF(H81="","",測定値!$B233)</f>
        <v>0</v>
      </c>
    </row>
    <row r="79" spans="1:8" x14ac:dyDescent="0.15">
      <c r="B79" s="95" t="s">
        <v>40</v>
      </c>
      <c r="C79" s="96"/>
      <c r="D79" s="71">
        <f>IF(D81=0,0,H55+2)</f>
        <v>0</v>
      </c>
      <c r="E79" s="71">
        <f>IF(E81=0,0,D79+2)</f>
        <v>0</v>
      </c>
      <c r="F79" s="71">
        <f>IF(F81=0,0,E79+2)</f>
        <v>0</v>
      </c>
      <c r="G79" s="71">
        <f>IF(G81=0,0,F79+2)</f>
        <v>0</v>
      </c>
      <c r="H79" s="71">
        <f>IF(H81=0,0,G79+2)</f>
        <v>0</v>
      </c>
    </row>
    <row r="80" spans="1:8" x14ac:dyDescent="0.15">
      <c r="B80" s="95" t="s">
        <v>54</v>
      </c>
      <c r="C80" s="96"/>
      <c r="D80" s="12">
        <f>IF(D81="","",測定値!$C185)</f>
        <v>0</v>
      </c>
      <c r="E80" s="12">
        <f>IF(E81="","",測定値!$C197)</f>
        <v>0</v>
      </c>
      <c r="F80" s="12">
        <f>IF(F81="","",測定値!$C209)</f>
        <v>0</v>
      </c>
      <c r="G80" s="12">
        <f>IF(G81="","",測定値!$C221)</f>
        <v>0</v>
      </c>
      <c r="H80" s="12">
        <f>IF(H81="","",測定値!$C233)</f>
        <v>0</v>
      </c>
    </row>
    <row r="81" spans="2:8" ht="13.5" customHeight="1" x14ac:dyDescent="0.15">
      <c r="B81" s="93" t="s">
        <v>78</v>
      </c>
      <c r="C81" s="7" t="s">
        <v>79</v>
      </c>
      <c r="D81" s="6">
        <f>測定値!$I185</f>
        <v>0</v>
      </c>
      <c r="E81" s="6">
        <f>測定値!$I197</f>
        <v>0</v>
      </c>
      <c r="F81" s="6">
        <f>測定値!$I209</f>
        <v>0</v>
      </c>
      <c r="G81" s="6">
        <f>測定値!$I221</f>
        <v>0</v>
      </c>
      <c r="H81" s="6">
        <f>測定値!$I233</f>
        <v>0</v>
      </c>
    </row>
    <row r="82" spans="2:8" x14ac:dyDescent="0.15">
      <c r="B82" s="94"/>
      <c r="C82" s="8" t="s">
        <v>80</v>
      </c>
      <c r="D82" s="9">
        <f>測定値!$I186</f>
        <v>0</v>
      </c>
      <c r="E82" s="9">
        <f>測定値!$I198</f>
        <v>0</v>
      </c>
      <c r="F82" s="9">
        <f>測定値!$I210</f>
        <v>0</v>
      </c>
      <c r="G82" s="9">
        <f>測定値!$I222</f>
        <v>0</v>
      </c>
      <c r="H82" s="9">
        <f>測定値!$I234</f>
        <v>0</v>
      </c>
    </row>
    <row r="83" spans="2:8" x14ac:dyDescent="0.15">
      <c r="B83" s="94"/>
      <c r="C83" s="8" t="s">
        <v>81</v>
      </c>
      <c r="D83" s="9">
        <f>測定値!$I187</f>
        <v>0</v>
      </c>
      <c r="E83" s="9">
        <f>測定値!$I199</f>
        <v>0</v>
      </c>
      <c r="F83" s="9">
        <f>測定値!$I211</f>
        <v>0</v>
      </c>
      <c r="G83" s="9">
        <f>測定値!$I223</f>
        <v>0</v>
      </c>
      <c r="H83" s="9">
        <f>測定値!$I235</f>
        <v>0</v>
      </c>
    </row>
    <row r="84" spans="2:8" ht="16.149999999999999" customHeight="1" x14ac:dyDescent="0.15">
      <c r="B84" s="94"/>
      <c r="C84" s="8" t="s">
        <v>82</v>
      </c>
      <c r="D84" s="9">
        <f>測定値!$I188</f>
        <v>0</v>
      </c>
      <c r="E84" s="9">
        <f>測定値!$I200</f>
        <v>0</v>
      </c>
      <c r="F84" s="9">
        <f>測定値!$I212</f>
        <v>0</v>
      </c>
      <c r="G84" s="9">
        <f>測定値!$I224</f>
        <v>0</v>
      </c>
      <c r="H84" s="9">
        <f>測定値!$I236</f>
        <v>0</v>
      </c>
    </row>
    <row r="85" spans="2:8" ht="16.149999999999999" customHeight="1" x14ac:dyDescent="0.15">
      <c r="B85" s="94"/>
      <c r="C85" s="8" t="s">
        <v>83</v>
      </c>
      <c r="D85" s="9">
        <f>測定値!$I189</f>
        <v>0</v>
      </c>
      <c r="E85" s="9">
        <f>測定値!$I201</f>
        <v>0</v>
      </c>
      <c r="F85" s="9">
        <f>測定値!$I213</f>
        <v>0</v>
      </c>
      <c r="G85" s="9">
        <f>測定値!$I225</f>
        <v>0</v>
      </c>
      <c r="H85" s="9">
        <f>測定値!$I237</f>
        <v>0</v>
      </c>
    </row>
    <row r="86" spans="2:8" ht="16.149999999999999" customHeight="1" x14ac:dyDescent="0.15">
      <c r="B86" s="11" t="s">
        <v>84</v>
      </c>
      <c r="C86" s="10" t="s">
        <v>85</v>
      </c>
      <c r="D86" s="5">
        <f>測定値!$I190</f>
        <v>0</v>
      </c>
      <c r="E86" s="5">
        <f>測定値!$I202</f>
        <v>0</v>
      </c>
      <c r="F86" s="5">
        <f>測定値!$I214</f>
        <v>0</v>
      </c>
      <c r="G86" s="5">
        <f>測定値!$I226</f>
        <v>0</v>
      </c>
      <c r="H86" s="5">
        <f>測定値!$I238</f>
        <v>0</v>
      </c>
    </row>
    <row r="87" spans="2:8" ht="16.149999999999999" customHeight="1" x14ac:dyDescent="0.15">
      <c r="B87" s="95" t="s">
        <v>86</v>
      </c>
      <c r="C87" s="96"/>
      <c r="D87" s="2">
        <f>MIN(D81:D86)</f>
        <v>0</v>
      </c>
      <c r="E87" s="2">
        <f>MIN(E81:E86)</f>
        <v>0</v>
      </c>
      <c r="F87" s="2">
        <f>MIN(F81:F86)</f>
        <v>0</v>
      </c>
      <c r="G87" s="2">
        <f>MIN(G81:G86)</f>
        <v>0</v>
      </c>
      <c r="H87" s="2">
        <f>MIN(H81:H86)</f>
        <v>0</v>
      </c>
    </row>
    <row r="88" spans="2:8" ht="16.149999999999999" customHeight="1" x14ac:dyDescent="0.15">
      <c r="B88" s="95" t="s">
        <v>87</v>
      </c>
      <c r="C88" s="96"/>
      <c r="D88" s="2">
        <f>MAX(D81:D86)</f>
        <v>0</v>
      </c>
      <c r="E88" s="2">
        <f>MAX(E81:E86)</f>
        <v>0</v>
      </c>
      <c r="F88" s="2">
        <f>MAX(F81:F86)</f>
        <v>0</v>
      </c>
      <c r="G88" s="2">
        <f>MAX(G81:G86)</f>
        <v>0</v>
      </c>
      <c r="H88" s="2">
        <f>MAX(H81:H86)</f>
        <v>0</v>
      </c>
    </row>
    <row r="89" spans="2:8" ht="16.149999999999999" customHeight="1" x14ac:dyDescent="0.15">
      <c r="B89" s="95" t="s">
        <v>77</v>
      </c>
      <c r="C89" s="96"/>
      <c r="D89" s="1">
        <f>D78</f>
        <v>0</v>
      </c>
      <c r="E89" s="1">
        <f>E78</f>
        <v>0</v>
      </c>
      <c r="F89" s="1">
        <f>F78</f>
        <v>0</v>
      </c>
      <c r="G89" s="1">
        <f>G78</f>
        <v>0</v>
      </c>
      <c r="H89" s="1">
        <f>H78</f>
        <v>0</v>
      </c>
    </row>
    <row r="90" spans="2:8" ht="16.149999999999999" customHeight="1" x14ac:dyDescent="0.15">
      <c r="B90" s="95" t="s">
        <v>40</v>
      </c>
      <c r="C90" s="96"/>
      <c r="D90" s="71">
        <f>IF(D92=0,0,H66+2)</f>
        <v>0</v>
      </c>
      <c r="E90" s="71">
        <f>IF(E92=0,0,D90+2)</f>
        <v>0</v>
      </c>
      <c r="F90" s="71">
        <f>IF(F92=0,0,E90+2)</f>
        <v>0</v>
      </c>
      <c r="G90" s="71">
        <f>IF(G92=0,0,F90+2)</f>
        <v>0</v>
      </c>
      <c r="H90" s="71">
        <f>IF(H92=0,0,G90+2)</f>
        <v>0</v>
      </c>
    </row>
    <row r="91" spans="2:8" ht="16.149999999999999" customHeight="1" x14ac:dyDescent="0.15">
      <c r="B91" s="95" t="s">
        <v>54</v>
      </c>
      <c r="C91" s="96"/>
      <c r="D91" s="12">
        <f>D80</f>
        <v>0</v>
      </c>
      <c r="E91" s="12">
        <f>E80</f>
        <v>0</v>
      </c>
      <c r="F91" s="12">
        <f>F80</f>
        <v>0</v>
      </c>
      <c r="G91" s="12">
        <f>G80</f>
        <v>0</v>
      </c>
      <c r="H91" s="12">
        <f>H80</f>
        <v>0</v>
      </c>
    </row>
    <row r="92" spans="2:8" ht="16.149999999999999" customHeight="1" x14ac:dyDescent="0.15">
      <c r="B92" s="93" t="s">
        <v>88</v>
      </c>
      <c r="C92" s="7" t="s">
        <v>79</v>
      </c>
      <c r="D92" s="6">
        <f>測定値!$I191</f>
        <v>0</v>
      </c>
      <c r="E92" s="6">
        <f>測定値!$I203</f>
        <v>0</v>
      </c>
      <c r="F92" s="6">
        <f>測定値!$I215</f>
        <v>0</v>
      </c>
      <c r="G92" s="6">
        <f>測定値!$I227</f>
        <v>0</v>
      </c>
      <c r="H92" s="6">
        <f>測定値!$I239</f>
        <v>0</v>
      </c>
    </row>
    <row r="93" spans="2:8" ht="16.149999999999999" customHeight="1" x14ac:dyDescent="0.15">
      <c r="B93" s="94"/>
      <c r="C93" s="8" t="s">
        <v>80</v>
      </c>
      <c r="D93" s="9">
        <f>測定値!$I192</f>
        <v>0</v>
      </c>
      <c r="E93" s="9">
        <f>測定値!$I204</f>
        <v>0</v>
      </c>
      <c r="F93" s="9">
        <f>測定値!$I216</f>
        <v>0</v>
      </c>
      <c r="G93" s="9">
        <f>測定値!$I228</f>
        <v>0</v>
      </c>
      <c r="H93" s="9">
        <f>測定値!$I240</f>
        <v>0</v>
      </c>
    </row>
    <row r="94" spans="2:8" ht="16.149999999999999" customHeight="1" x14ac:dyDescent="0.15">
      <c r="B94" s="94"/>
      <c r="C94" s="8" t="s">
        <v>81</v>
      </c>
      <c r="D94" s="9">
        <f>測定値!$I193</f>
        <v>0</v>
      </c>
      <c r="E94" s="9">
        <f>測定値!$I205</f>
        <v>0</v>
      </c>
      <c r="F94" s="9">
        <f>測定値!$I217</f>
        <v>0</v>
      </c>
      <c r="G94" s="9">
        <f>測定値!$I229</f>
        <v>0</v>
      </c>
      <c r="H94" s="9">
        <f>測定値!$I241</f>
        <v>0</v>
      </c>
    </row>
    <row r="95" spans="2:8" ht="16.149999999999999" customHeight="1" x14ac:dyDescent="0.15">
      <c r="B95" s="94"/>
      <c r="C95" s="8" t="s">
        <v>82</v>
      </c>
      <c r="D95" s="9">
        <f>測定値!$I194</f>
        <v>0</v>
      </c>
      <c r="E95" s="9">
        <f>測定値!$I206</f>
        <v>0</v>
      </c>
      <c r="F95" s="9">
        <f>測定値!$I218</f>
        <v>0</v>
      </c>
      <c r="G95" s="9">
        <f>測定値!$I230</f>
        <v>0</v>
      </c>
      <c r="H95" s="9">
        <f>測定値!$I242</f>
        <v>0</v>
      </c>
    </row>
    <row r="96" spans="2:8" ht="16.149999999999999" customHeight="1" x14ac:dyDescent="0.15">
      <c r="B96" s="94"/>
      <c r="C96" s="8" t="s">
        <v>83</v>
      </c>
      <c r="D96" s="9">
        <f>測定値!$I195</f>
        <v>0</v>
      </c>
      <c r="E96" s="9">
        <f>測定値!$I207</f>
        <v>0</v>
      </c>
      <c r="F96" s="9">
        <f>測定値!$I219</f>
        <v>0</v>
      </c>
      <c r="G96" s="9">
        <f>測定値!$I231</f>
        <v>0</v>
      </c>
      <c r="H96" s="9">
        <f>測定値!$I243</f>
        <v>0</v>
      </c>
    </row>
    <row r="97" spans="1:8" ht="16.149999999999999" customHeight="1" x14ac:dyDescent="0.15">
      <c r="B97" s="11" t="s">
        <v>84</v>
      </c>
      <c r="C97" s="10" t="s">
        <v>85</v>
      </c>
      <c r="D97" s="5">
        <f>測定値!$I196</f>
        <v>0</v>
      </c>
      <c r="E97" s="5">
        <f>測定値!$I208</f>
        <v>0</v>
      </c>
      <c r="F97" s="5">
        <f>測定値!$I220</f>
        <v>0</v>
      </c>
      <c r="G97" s="5">
        <f>測定値!$I232</f>
        <v>0</v>
      </c>
      <c r="H97" s="5">
        <f>測定値!$I244</f>
        <v>0</v>
      </c>
    </row>
    <row r="98" spans="1:8" ht="16.149999999999999" customHeight="1" x14ac:dyDescent="0.15">
      <c r="B98" s="95" t="s">
        <v>86</v>
      </c>
      <c r="C98" s="96"/>
      <c r="D98" s="2">
        <f>MIN(D92:D97)</f>
        <v>0</v>
      </c>
      <c r="E98" s="2">
        <f>MIN(E92:E97)</f>
        <v>0</v>
      </c>
      <c r="F98" s="2">
        <f>MIN(F92:F97)</f>
        <v>0</v>
      </c>
      <c r="G98" s="2">
        <f>MIN(G92:G97)</f>
        <v>0</v>
      </c>
      <c r="H98" s="2">
        <f>MIN(H92:H97)</f>
        <v>0</v>
      </c>
    </row>
    <row r="99" spans="1:8" ht="16.149999999999999" customHeight="1" x14ac:dyDescent="0.15">
      <c r="B99" s="95" t="s">
        <v>87</v>
      </c>
      <c r="C99" s="96"/>
      <c r="D99" s="2">
        <f>MAX(D92:D97)</f>
        <v>0</v>
      </c>
      <c r="E99" s="2">
        <f>MAX(E92:E97)</f>
        <v>0</v>
      </c>
      <c r="F99" s="2">
        <f>MAX(F92:F97)</f>
        <v>0</v>
      </c>
      <c r="G99" s="2">
        <f>MAX(G92:G97)</f>
        <v>0</v>
      </c>
      <c r="H99" s="2">
        <f>MAX(H92:H97)</f>
        <v>0</v>
      </c>
    </row>
    <row r="100" spans="1:8" ht="16.149999999999999" hidden="1" customHeight="1" x14ac:dyDescent="0.15">
      <c r="A100" s="50"/>
    </row>
    <row r="101" spans="1:8" ht="14.45" customHeight="1" x14ac:dyDescent="0.15">
      <c r="B101" s="95" t="s">
        <v>76</v>
      </c>
      <c r="C101" s="96"/>
      <c r="D101" s="71">
        <f>IF(D105="","",測定値!$A245)</f>
        <v>0</v>
      </c>
      <c r="E101" s="71">
        <f>IF(E105="","",測定値!$A257)</f>
        <v>0</v>
      </c>
      <c r="F101" s="71">
        <f>IF(F105="","",測定値!$A269)</f>
        <v>0</v>
      </c>
      <c r="G101" s="71">
        <f>IF(G105="","",測定値!$A281)</f>
        <v>0</v>
      </c>
      <c r="H101" s="71">
        <f>IF(H105="","",測定値!$A293)</f>
        <v>0</v>
      </c>
    </row>
    <row r="102" spans="1:8" x14ac:dyDescent="0.15">
      <c r="B102" s="95" t="s">
        <v>77</v>
      </c>
      <c r="C102" s="96"/>
      <c r="D102" s="1">
        <f>IF(D105="","",測定値!$B245)</f>
        <v>0</v>
      </c>
      <c r="E102" s="1">
        <f>IF(E105="","",測定値!$B257)</f>
        <v>0</v>
      </c>
      <c r="F102" s="1">
        <f>IF(F105="","",測定値!$B269)</f>
        <v>0</v>
      </c>
      <c r="G102" s="1">
        <f>IF(G105="","",測定値!$B281)</f>
        <v>0</v>
      </c>
      <c r="H102" s="1">
        <f>IF(H105="","",測定値!$B293)</f>
        <v>0</v>
      </c>
    </row>
    <row r="103" spans="1:8" x14ac:dyDescent="0.15">
      <c r="B103" s="95" t="s">
        <v>40</v>
      </c>
      <c r="C103" s="96"/>
      <c r="D103" s="71">
        <f>IF(D105=0,0,H79+2)</f>
        <v>0</v>
      </c>
      <c r="E103" s="71">
        <f>IF(E105=0,0,D103+2)</f>
        <v>0</v>
      </c>
      <c r="F103" s="71">
        <f>IF(F105=0,0,E103+2)</f>
        <v>0</v>
      </c>
      <c r="G103" s="71">
        <f>IF(G105=0,0,F103+2)</f>
        <v>0</v>
      </c>
      <c r="H103" s="71">
        <f>IF(H105=0,0,G103+2)</f>
        <v>0</v>
      </c>
    </row>
    <row r="104" spans="1:8" x14ac:dyDescent="0.15">
      <c r="B104" s="95" t="s">
        <v>54</v>
      </c>
      <c r="C104" s="96"/>
      <c r="D104" s="12">
        <f>IF(D105="","",測定値!$C245)</f>
        <v>0</v>
      </c>
      <c r="E104" s="12">
        <f>IF(E105="","",測定値!$C257)</f>
        <v>0</v>
      </c>
      <c r="F104" s="12">
        <f>IF(F105="","",測定値!$C269)</f>
        <v>0</v>
      </c>
      <c r="G104" s="12">
        <f>IF(G105="","",測定値!$C281)</f>
        <v>0</v>
      </c>
      <c r="H104" s="12">
        <f>IF(H105="","",測定値!$C293)</f>
        <v>0</v>
      </c>
    </row>
    <row r="105" spans="1:8" ht="13.5" customHeight="1" x14ac:dyDescent="0.15">
      <c r="B105" s="93" t="s">
        <v>78</v>
      </c>
      <c r="C105" s="7" t="s">
        <v>79</v>
      </c>
      <c r="D105" s="6">
        <f>測定値!$I245</f>
        <v>0</v>
      </c>
      <c r="E105" s="6">
        <f>測定値!$I257</f>
        <v>0</v>
      </c>
      <c r="F105" s="6">
        <f>測定値!$I269</f>
        <v>0</v>
      </c>
      <c r="G105" s="6">
        <f>測定値!$I281</f>
        <v>0</v>
      </c>
      <c r="H105" s="6">
        <f>測定値!$I293</f>
        <v>0</v>
      </c>
    </row>
    <row r="106" spans="1:8" x14ac:dyDescent="0.15">
      <c r="B106" s="94"/>
      <c r="C106" s="8" t="s">
        <v>80</v>
      </c>
      <c r="D106" s="9">
        <f>測定値!$I246</f>
        <v>0</v>
      </c>
      <c r="E106" s="9">
        <f>測定値!$I258</f>
        <v>0</v>
      </c>
      <c r="F106" s="9">
        <f>測定値!$I270</f>
        <v>0</v>
      </c>
      <c r="G106" s="9">
        <f>測定値!$I282</f>
        <v>0</v>
      </c>
      <c r="H106" s="9">
        <f>測定値!$I294</f>
        <v>0</v>
      </c>
    </row>
    <row r="107" spans="1:8" x14ac:dyDescent="0.15">
      <c r="B107" s="94"/>
      <c r="C107" s="8" t="s">
        <v>81</v>
      </c>
      <c r="D107" s="9">
        <f>測定値!$I247</f>
        <v>0</v>
      </c>
      <c r="E107" s="9">
        <f>測定値!$I259</f>
        <v>0</v>
      </c>
      <c r="F107" s="9">
        <f>測定値!$I271</f>
        <v>0</v>
      </c>
      <c r="G107" s="9">
        <f>測定値!$I283</f>
        <v>0</v>
      </c>
      <c r="H107" s="9">
        <f>測定値!$I295</f>
        <v>0</v>
      </c>
    </row>
    <row r="108" spans="1:8" ht="16.149999999999999" customHeight="1" x14ac:dyDescent="0.15">
      <c r="B108" s="94"/>
      <c r="C108" s="8" t="s">
        <v>82</v>
      </c>
      <c r="D108" s="9">
        <f>測定値!$I248</f>
        <v>0</v>
      </c>
      <c r="E108" s="9">
        <f>測定値!$I260</f>
        <v>0</v>
      </c>
      <c r="F108" s="9">
        <f>測定値!$I272</f>
        <v>0</v>
      </c>
      <c r="G108" s="9">
        <f>測定値!$I284</f>
        <v>0</v>
      </c>
      <c r="H108" s="9">
        <f>測定値!$I296</f>
        <v>0</v>
      </c>
    </row>
    <row r="109" spans="1:8" ht="16.149999999999999" customHeight="1" x14ac:dyDescent="0.15">
      <c r="B109" s="94"/>
      <c r="C109" s="8" t="s">
        <v>83</v>
      </c>
      <c r="D109" s="9">
        <f>測定値!$I249</f>
        <v>0</v>
      </c>
      <c r="E109" s="9">
        <f>測定値!$I261</f>
        <v>0</v>
      </c>
      <c r="F109" s="9">
        <f>測定値!$I273</f>
        <v>0</v>
      </c>
      <c r="G109" s="9">
        <f>測定値!$I285</f>
        <v>0</v>
      </c>
      <c r="H109" s="9">
        <f>測定値!$I297</f>
        <v>0</v>
      </c>
    </row>
    <row r="110" spans="1:8" ht="16.149999999999999" customHeight="1" x14ac:dyDescent="0.15">
      <c r="B110" s="11" t="s">
        <v>84</v>
      </c>
      <c r="C110" s="10" t="s">
        <v>85</v>
      </c>
      <c r="D110" s="5">
        <f>測定値!$I250</f>
        <v>0</v>
      </c>
      <c r="E110" s="5">
        <f>測定値!$I262</f>
        <v>0</v>
      </c>
      <c r="F110" s="5">
        <f>測定値!$I274</f>
        <v>0</v>
      </c>
      <c r="G110" s="5">
        <f>測定値!$I286</f>
        <v>0</v>
      </c>
      <c r="H110" s="5">
        <f>測定値!$I298</f>
        <v>0</v>
      </c>
    </row>
    <row r="111" spans="1:8" ht="16.149999999999999" customHeight="1" x14ac:dyDescent="0.15">
      <c r="B111" s="95" t="s">
        <v>86</v>
      </c>
      <c r="C111" s="96"/>
      <c r="D111" s="2">
        <f>MIN(D105:D110)</f>
        <v>0</v>
      </c>
      <c r="E111" s="2">
        <f>MIN(E105:E110)</f>
        <v>0</v>
      </c>
      <c r="F111" s="2">
        <f>MIN(F105:F110)</f>
        <v>0</v>
      </c>
      <c r="G111" s="2">
        <f>MIN(G105:G110)</f>
        <v>0</v>
      </c>
      <c r="H111" s="2">
        <f>MIN(H105:H110)</f>
        <v>0</v>
      </c>
    </row>
    <row r="112" spans="1:8" ht="16.149999999999999" customHeight="1" x14ac:dyDescent="0.15">
      <c r="B112" s="95" t="s">
        <v>87</v>
      </c>
      <c r="C112" s="96"/>
      <c r="D112" s="2">
        <f>MAX(D105:D110)</f>
        <v>0</v>
      </c>
      <c r="E112" s="2">
        <f>MAX(E105:E110)</f>
        <v>0</v>
      </c>
      <c r="F112" s="2">
        <f>MAX(F105:F110)</f>
        <v>0</v>
      </c>
      <c r="G112" s="2">
        <f>MAX(G105:G110)</f>
        <v>0</v>
      </c>
      <c r="H112" s="2">
        <f>MAX(H105:H110)</f>
        <v>0</v>
      </c>
    </row>
    <row r="113" spans="1:8" ht="16.149999999999999" customHeight="1" x14ac:dyDescent="0.15">
      <c r="B113" s="95" t="s">
        <v>77</v>
      </c>
      <c r="C113" s="96"/>
      <c r="D113" s="1">
        <f>D102</f>
        <v>0</v>
      </c>
      <c r="E113" s="1">
        <f>E102</f>
        <v>0</v>
      </c>
      <c r="F113" s="1">
        <f>F102</f>
        <v>0</v>
      </c>
      <c r="G113" s="1">
        <f>G102</f>
        <v>0</v>
      </c>
      <c r="H113" s="1">
        <f>H102</f>
        <v>0</v>
      </c>
    </row>
    <row r="114" spans="1:8" ht="16.149999999999999" customHeight="1" x14ac:dyDescent="0.15">
      <c r="B114" s="95" t="s">
        <v>40</v>
      </c>
      <c r="C114" s="96"/>
      <c r="D114" s="71">
        <f>IF(D116=0,0,H90+2)</f>
        <v>0</v>
      </c>
      <c r="E114" s="71">
        <f>IF(E116=0,0,D114+2)</f>
        <v>0</v>
      </c>
      <c r="F114" s="71">
        <f>IF(F116=0,0,E114+2)</f>
        <v>0</v>
      </c>
      <c r="G114" s="71">
        <f>IF(G116=0,0,F114+2)</f>
        <v>0</v>
      </c>
      <c r="H114" s="71">
        <f>IF(H116=0,0,G114+2)</f>
        <v>0</v>
      </c>
    </row>
    <row r="115" spans="1:8" ht="16.149999999999999" customHeight="1" x14ac:dyDescent="0.15">
      <c r="B115" s="95" t="s">
        <v>54</v>
      </c>
      <c r="C115" s="96"/>
      <c r="D115" s="12">
        <f>D104</f>
        <v>0</v>
      </c>
      <c r="E115" s="12">
        <f>E104</f>
        <v>0</v>
      </c>
      <c r="F115" s="12">
        <f>F104</f>
        <v>0</v>
      </c>
      <c r="G115" s="12">
        <f>G104</f>
        <v>0</v>
      </c>
      <c r="H115" s="12">
        <f>H104</f>
        <v>0</v>
      </c>
    </row>
    <row r="116" spans="1:8" ht="16.149999999999999" customHeight="1" x14ac:dyDescent="0.15">
      <c r="B116" s="93" t="s">
        <v>88</v>
      </c>
      <c r="C116" s="7" t="s">
        <v>79</v>
      </c>
      <c r="D116" s="6">
        <f>測定値!$I251</f>
        <v>0</v>
      </c>
      <c r="E116" s="6">
        <f>測定値!$I263</f>
        <v>0</v>
      </c>
      <c r="F116" s="6">
        <f>測定値!$I275</f>
        <v>0</v>
      </c>
      <c r="G116" s="6">
        <f>測定値!$I287</f>
        <v>0</v>
      </c>
      <c r="H116" s="6">
        <f>測定値!$I299</f>
        <v>0</v>
      </c>
    </row>
    <row r="117" spans="1:8" ht="16.149999999999999" customHeight="1" x14ac:dyDescent="0.15">
      <c r="B117" s="94"/>
      <c r="C117" s="8" t="s">
        <v>80</v>
      </c>
      <c r="D117" s="9">
        <f>測定値!$I252</f>
        <v>0</v>
      </c>
      <c r="E117" s="9">
        <f>測定値!$I264</f>
        <v>0</v>
      </c>
      <c r="F117" s="9">
        <f>測定値!$I276</f>
        <v>0</v>
      </c>
      <c r="G117" s="9">
        <f>測定値!$I288</f>
        <v>0</v>
      </c>
      <c r="H117" s="9">
        <f>測定値!$I300</f>
        <v>0</v>
      </c>
    </row>
    <row r="118" spans="1:8" ht="16.149999999999999" customHeight="1" x14ac:dyDescent="0.15">
      <c r="B118" s="94"/>
      <c r="C118" s="8" t="s">
        <v>81</v>
      </c>
      <c r="D118" s="9">
        <f>測定値!$I253</f>
        <v>0</v>
      </c>
      <c r="E118" s="9">
        <f>測定値!$I265</f>
        <v>0</v>
      </c>
      <c r="F118" s="9">
        <f>測定値!$I277</f>
        <v>0</v>
      </c>
      <c r="G118" s="9">
        <f>測定値!$I289</f>
        <v>0</v>
      </c>
      <c r="H118" s="9">
        <f>測定値!$I301</f>
        <v>0</v>
      </c>
    </row>
    <row r="119" spans="1:8" ht="16.149999999999999" customHeight="1" x14ac:dyDescent="0.15">
      <c r="B119" s="94"/>
      <c r="C119" s="8" t="s">
        <v>82</v>
      </c>
      <c r="D119" s="9">
        <f>測定値!$I254</f>
        <v>0</v>
      </c>
      <c r="E119" s="9">
        <f>測定値!$I266</f>
        <v>0</v>
      </c>
      <c r="F119" s="9">
        <f>測定値!$I278</f>
        <v>0</v>
      </c>
      <c r="G119" s="9">
        <f>測定値!$I290</f>
        <v>0</v>
      </c>
      <c r="H119" s="9">
        <f>測定値!$I302</f>
        <v>0</v>
      </c>
    </row>
    <row r="120" spans="1:8" ht="16.149999999999999" customHeight="1" x14ac:dyDescent="0.15">
      <c r="B120" s="94"/>
      <c r="C120" s="8" t="s">
        <v>83</v>
      </c>
      <c r="D120" s="9">
        <f>測定値!$I255</f>
        <v>0</v>
      </c>
      <c r="E120" s="9">
        <f>測定値!$I267</f>
        <v>0</v>
      </c>
      <c r="F120" s="9">
        <f>測定値!$I279</f>
        <v>0</v>
      </c>
      <c r="G120" s="9">
        <f>測定値!$I291</f>
        <v>0</v>
      </c>
      <c r="H120" s="9">
        <f>測定値!$I303</f>
        <v>0</v>
      </c>
    </row>
    <row r="121" spans="1:8" ht="16.149999999999999" customHeight="1" x14ac:dyDescent="0.15">
      <c r="B121" s="11" t="s">
        <v>84</v>
      </c>
      <c r="C121" s="10" t="s">
        <v>85</v>
      </c>
      <c r="D121" s="5">
        <f>測定値!$I256</f>
        <v>0</v>
      </c>
      <c r="E121" s="5">
        <f>測定値!$I268</f>
        <v>0</v>
      </c>
      <c r="F121" s="5">
        <f>測定値!$I280</f>
        <v>0</v>
      </c>
      <c r="G121" s="5">
        <f>測定値!$I292</f>
        <v>0</v>
      </c>
      <c r="H121" s="5">
        <f>測定値!$I304</f>
        <v>0</v>
      </c>
    </row>
    <row r="122" spans="1:8" ht="16.149999999999999" customHeight="1" x14ac:dyDescent="0.15">
      <c r="B122" s="95" t="s">
        <v>86</v>
      </c>
      <c r="C122" s="96"/>
      <c r="D122" s="2">
        <f>MIN(D116:D121)</f>
        <v>0</v>
      </c>
      <c r="E122" s="2">
        <f>MIN(E116:E121)</f>
        <v>0</v>
      </c>
      <c r="F122" s="2">
        <f>MIN(F116:F121)</f>
        <v>0</v>
      </c>
      <c r="G122" s="2">
        <f>MIN(G116:G121)</f>
        <v>0</v>
      </c>
      <c r="H122" s="2">
        <f>MIN(H116:H121)</f>
        <v>0</v>
      </c>
    </row>
    <row r="123" spans="1:8" ht="16.149999999999999" customHeight="1" x14ac:dyDescent="0.15">
      <c r="B123" s="95" t="s">
        <v>87</v>
      </c>
      <c r="C123" s="96"/>
      <c r="D123" s="2">
        <f>MAX(D116:D121)</f>
        <v>0</v>
      </c>
      <c r="E123" s="2">
        <f>MAX(E116:E121)</f>
        <v>0</v>
      </c>
      <c r="F123" s="2">
        <f>MAX(F116:F121)</f>
        <v>0</v>
      </c>
      <c r="G123" s="2">
        <f>MAX(G116:G121)</f>
        <v>0</v>
      </c>
      <c r="H123" s="2">
        <f>MAX(H116:H121)</f>
        <v>0</v>
      </c>
    </row>
    <row r="124" spans="1:8" ht="16.149999999999999" customHeight="1" x14ac:dyDescent="0.15">
      <c r="A124" s="50"/>
    </row>
    <row r="125" spans="1:8" ht="16.149999999999999" customHeight="1" x14ac:dyDescent="0.15"/>
    <row r="126" spans="1:8" ht="16.149999999999999" customHeight="1" x14ac:dyDescent="0.15"/>
    <row r="127" spans="1:8" ht="16.149999999999999" customHeight="1" x14ac:dyDescent="0.15"/>
    <row r="128" spans="1:8" ht="16.149999999999999" customHeight="1" x14ac:dyDescent="0.15"/>
    <row r="129" ht="16.149999999999999" customHeight="1" x14ac:dyDescent="0.15"/>
    <row r="130" ht="16.149999999999999" customHeight="1" x14ac:dyDescent="0.15"/>
    <row r="131" ht="16.149999999999999" customHeight="1" x14ac:dyDescent="0.15"/>
    <row r="132" ht="16.149999999999999" customHeight="1" x14ac:dyDescent="0.15"/>
    <row r="133" ht="16.149999999999999" customHeight="1" x14ac:dyDescent="0.15"/>
    <row r="134" ht="16.149999999999999" customHeight="1" x14ac:dyDescent="0.15"/>
    <row r="135" ht="16.149999999999999" customHeight="1" x14ac:dyDescent="0.15"/>
    <row r="136" ht="16.149999999999999" customHeight="1" x14ac:dyDescent="0.15"/>
    <row r="137" ht="16.149999999999999" customHeight="1" x14ac:dyDescent="0.15"/>
    <row r="138" ht="16.149999999999999" customHeight="1" x14ac:dyDescent="0.15"/>
    <row r="139" ht="16.149999999999999" customHeight="1" x14ac:dyDescent="0.15"/>
    <row r="140" ht="16.149999999999999" customHeight="1" x14ac:dyDescent="0.15"/>
    <row r="141" ht="16.149999999999999" customHeight="1" x14ac:dyDescent="0.15"/>
    <row r="142" ht="16.149999999999999" customHeight="1" x14ac:dyDescent="0.15"/>
    <row r="143" ht="16.149999999999999" customHeight="1" x14ac:dyDescent="0.15"/>
    <row r="144" ht="16.149999999999999" customHeight="1" x14ac:dyDescent="0.15"/>
    <row r="145" ht="16.149999999999999" customHeight="1" x14ac:dyDescent="0.15"/>
    <row r="146" ht="16.149999999999999" customHeight="1" x14ac:dyDescent="0.15"/>
    <row r="147" ht="16.149999999999999" customHeight="1" x14ac:dyDescent="0.15"/>
    <row r="148" ht="16.149999999999999" customHeight="1" x14ac:dyDescent="0.15"/>
    <row r="149" ht="16.149999999999999" customHeight="1" x14ac:dyDescent="0.15"/>
    <row r="150" ht="16.149999999999999" customHeight="1" x14ac:dyDescent="0.15"/>
    <row r="151" ht="16.149999999999999" customHeight="1" x14ac:dyDescent="0.15"/>
    <row r="152" ht="16.149999999999999" customHeight="1" x14ac:dyDescent="0.15"/>
    <row r="153" ht="16.149999999999999" customHeight="1" x14ac:dyDescent="0.15"/>
  </sheetData>
  <sheetProtection sheet="1" objects="1" scenarios="1"/>
  <mergeCells count="66">
    <mergeCell ref="B51:C51"/>
    <mergeCell ref="B42:C42"/>
    <mergeCell ref="B43:C43"/>
    <mergeCell ref="B50:C50"/>
    <mergeCell ref="B44:B48"/>
    <mergeCell ref="B41:C41"/>
    <mergeCell ref="B33:B37"/>
    <mergeCell ref="B20:B24"/>
    <mergeCell ref="B26:C26"/>
    <mergeCell ref="B27:C27"/>
    <mergeCell ref="B39:C39"/>
    <mergeCell ref="B40:C40"/>
    <mergeCell ref="B29:C29"/>
    <mergeCell ref="B30:C30"/>
    <mergeCell ref="B31:C31"/>
    <mergeCell ref="B32:C32"/>
    <mergeCell ref="C4:D4"/>
    <mergeCell ref="B8:C8"/>
    <mergeCell ref="B19:C19"/>
    <mergeCell ref="B5:C5"/>
    <mergeCell ref="B6:C6"/>
    <mergeCell ref="B7:C7"/>
    <mergeCell ref="B9:B13"/>
    <mergeCell ref="B15:C15"/>
    <mergeCell ref="B16:C16"/>
    <mergeCell ref="B17:C17"/>
    <mergeCell ref="B18:C18"/>
    <mergeCell ref="B78:C78"/>
    <mergeCell ref="B79:C79"/>
    <mergeCell ref="B53:C53"/>
    <mergeCell ref="B54:C54"/>
    <mergeCell ref="B55:C55"/>
    <mergeCell ref="B56:C56"/>
    <mergeCell ref="B57:B61"/>
    <mergeCell ref="B63:C63"/>
    <mergeCell ref="B64:C64"/>
    <mergeCell ref="B65:C65"/>
    <mergeCell ref="B66:C66"/>
    <mergeCell ref="B67:C67"/>
    <mergeCell ref="B68:B72"/>
    <mergeCell ref="B74:C74"/>
    <mergeCell ref="B75:C75"/>
    <mergeCell ref="B77:C77"/>
    <mergeCell ref="B105:B109"/>
    <mergeCell ref="B111:C111"/>
    <mergeCell ref="B80:C80"/>
    <mergeCell ref="B81:B85"/>
    <mergeCell ref="B87:C87"/>
    <mergeCell ref="B88:C88"/>
    <mergeCell ref="B89:C89"/>
    <mergeCell ref="B90:C90"/>
    <mergeCell ref="B91:C91"/>
    <mergeCell ref="B92:B96"/>
    <mergeCell ref="B98:C98"/>
    <mergeCell ref="B99:C99"/>
    <mergeCell ref="B101:C101"/>
    <mergeCell ref="B102:C102"/>
    <mergeCell ref="B103:C103"/>
    <mergeCell ref="B104:C104"/>
    <mergeCell ref="B116:B120"/>
    <mergeCell ref="B122:C122"/>
    <mergeCell ref="B123:C123"/>
    <mergeCell ref="B112:C112"/>
    <mergeCell ref="B113:C113"/>
    <mergeCell ref="B114:C114"/>
    <mergeCell ref="B115:C115"/>
  </mergeCells>
  <phoneticPr fontId="1"/>
  <printOptions horizontalCentered="1"/>
  <pageMargins left="0.19685039370078741" right="0.23622047244094491" top="0.88" bottom="0.61" header="0.51181102362204722" footer="0.28999999999999998"/>
  <pageSetup paperSize="9" orientation="portrait" blackAndWhite="1" horizontalDpi="300" verticalDpi="300" r:id="rId1"/>
  <headerFooter alignWithMargins="0">
    <oddHeader>&amp;Rラジエ工業株式会社</oddHeader>
    <oddFooter>&amp;L線量計は各段(上下)端(A,B)と中央に添付照射管理ﾗﾍﾞﾙは端のC側に貼付してあります。&amp;C&amp;P/&amp;N</oddFooter>
  </headerFooter>
  <rowBreaks count="2" manualBreakCount="2">
    <brk id="51" max="16383" man="1"/>
    <brk id="9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27</vt:i4>
      </vt:variant>
    </vt:vector>
  </HeadingPairs>
  <TitlesOfParts>
    <vt:vector size="30" baseType="lpstr">
      <vt:lpstr>使用方法 </vt:lpstr>
      <vt:lpstr>測定値</vt:lpstr>
      <vt:lpstr>報告書</vt:lpstr>
      <vt:lpstr>Bach</vt:lpstr>
      <vt:lpstr>DataTB</vt:lpstr>
      <vt:lpstr>Debug</vt:lpstr>
      <vt:lpstr>Dose</vt:lpstr>
      <vt:lpstr>Honnsuu</vt:lpstr>
      <vt:lpstr>HyoujiKeta</vt:lpstr>
      <vt:lpstr>Jyogen</vt:lpstr>
      <vt:lpstr>Kagenn</vt:lpstr>
      <vt:lpstr>KaisyaCD</vt:lpstr>
      <vt:lpstr>KeiCode</vt:lpstr>
      <vt:lpstr>keicord</vt:lpstr>
      <vt:lpstr>keicordS</vt:lpstr>
      <vt:lpstr>KirokuFolder</vt:lpstr>
      <vt:lpstr>Nenndo</vt:lpstr>
      <vt:lpstr>測定値!Print_Area</vt:lpstr>
      <vt:lpstr>報告書!Print_Area</vt:lpstr>
      <vt:lpstr>測定値!Print_Titles</vt:lpstr>
      <vt:lpstr>報告書!Print_Titles</vt:lpstr>
      <vt:lpstr>ReadFlg</vt:lpstr>
      <vt:lpstr>RicNo</vt:lpstr>
      <vt:lpstr>SenKind</vt:lpstr>
      <vt:lpstr>SenKindTB</vt:lpstr>
      <vt:lpstr>SikiPara</vt:lpstr>
      <vt:lpstr>SikiTep</vt:lpstr>
      <vt:lpstr>SokuKiki</vt:lpstr>
      <vt:lpstr>UkeHed</vt:lpstr>
      <vt:lpstr>Uno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RIC-215</cp:lastModifiedBy>
  <cp:lastPrinted>2020-03-02T14:57:12Z</cp:lastPrinted>
  <dcterms:created xsi:type="dcterms:W3CDTF">2003-11-14T00:44:56Z</dcterms:created>
  <dcterms:modified xsi:type="dcterms:W3CDTF">2020-03-03T01:21:51Z</dcterms:modified>
</cp:coreProperties>
</file>