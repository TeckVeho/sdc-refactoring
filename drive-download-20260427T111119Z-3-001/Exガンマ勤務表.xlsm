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defaultThemeVersion="124226"/>
  <mc:AlternateContent xmlns:mc="http://schemas.openxmlformats.org/markup-compatibility/2006">
    <mc:Choice Requires="x15">
      <x15ac:absPath xmlns:x15ac="http://schemas.microsoft.com/office/spreadsheetml/2010/11/ac" url="D:\ExSys実行\"/>
    </mc:Choice>
  </mc:AlternateContent>
  <xr:revisionPtr revIDLastSave="0" documentId="13_ncr:1_{509C6790-6D70-4CF7-B8D6-E814591959ED}" xr6:coauthVersionLast="47" xr6:coauthVersionMax="47" xr10:uidLastSave="{00000000-0000-0000-0000-000000000000}"/>
  <bookViews>
    <workbookView xWindow="-108" yWindow="-108" windowWidth="23256" windowHeight="12576" tabRatio="683" xr2:uid="{00000000-000D-0000-FFFF-FFFF00000000}"/>
  </bookViews>
  <sheets>
    <sheet name="勤務計画" sheetId="16" r:id="rId1"/>
    <sheet name="トイレ掃除" sheetId="18" r:id="rId2"/>
    <sheet name="再入室表" sheetId="29" r:id="rId3"/>
    <sheet name="社員データ" sheetId="23" r:id="rId4"/>
    <sheet name="トイレチェック表" sheetId="22" r:id="rId5"/>
    <sheet name="勤務計画印刷用" sheetId="26" r:id="rId6"/>
    <sheet name="使用方法" sheetId="24" r:id="rId7"/>
  </sheets>
  <functionGroups builtInGroupCount="19"/>
  <definedNames>
    <definedName name="_xlnm._FilterDatabase" localSheetId="3" hidden="1">社員データ!$D$6:$H$46</definedName>
    <definedName name="DBFolder">使用方法!$C$13</definedName>
    <definedName name="DBForder">使用方法!$C$45</definedName>
    <definedName name="DebugF">使用方法!$A$1</definedName>
    <definedName name="E_day" localSheetId="2">再入室表!#REF!</definedName>
    <definedName name="E_day">勤務計画!$I$7</definedName>
    <definedName name="HenUMU">社員データ!$C$7:$C$46</definedName>
    <definedName name="Hyouji">社員データ!$D$4</definedName>
    <definedName name="Infometion" localSheetId="2">再入室表!#REF!</definedName>
    <definedName name="Infometion">勤務計画!$S$6</definedName>
    <definedName name="Jyunnjyo">社員データ!$D$14:$D$46</definedName>
    <definedName name="K_Simei" localSheetId="2">再入室表!#REF!</definedName>
    <definedName name="K_Simei">勤務計画!$E$12:$G$39</definedName>
    <definedName name="K_Yasumi" localSheetId="2">再入室表!#REF!</definedName>
    <definedName name="K_Yasumi">勤務計画!$H$9:$AL$11</definedName>
    <definedName name="Kairann">社員データ!$AC$7:$AC$12</definedName>
    <definedName name="KibouTate" localSheetId="2">再入室表!#REF!</definedName>
    <definedName name="KibouTate">勤務計画!$H$58</definedName>
    <definedName name="KikanE">社員データ!$W$5</definedName>
    <definedName name="KikanS">社員データ!$T$5</definedName>
    <definedName name="KinmuHyou" localSheetId="2">再入室表!#REF!</definedName>
    <definedName name="KinmuHyou">勤務計画!$E$12:$AP$39</definedName>
    <definedName name="KinmuMoto" localSheetId="2">再入室表!#REF!</definedName>
    <definedName name="KinmuMoto">勤務計画!$H$8:$AL$8</definedName>
    <definedName name="KinmuTB">社員データ!$T$31:$W$33</definedName>
    <definedName name="KinmuTime">社員データ!$T$7:$X$33</definedName>
    <definedName name="Kinnmu1" localSheetId="2">再入室表!#REF!</definedName>
    <definedName name="Kinnmu1">勤務計画!$H$12:$AL$39</definedName>
    <definedName name="MsgCell" localSheetId="2">再入室表!#REF!</definedName>
    <definedName name="MsgCell">勤務計画!$AC$6</definedName>
    <definedName name="PasWard">使用方法!$C$53</definedName>
    <definedName name="_xlnm.Print_Area" localSheetId="4">トイレチェック表!$B$2:$G$21</definedName>
    <definedName name="_xlnm.Print_Area" localSheetId="1">トイレ掃除!$G$3:$AL$71</definedName>
    <definedName name="_xlnm.Print_Area" localSheetId="0">勤務計画!$G$5:$AN$39</definedName>
    <definedName name="_xlnm.Print_Area" localSheetId="5">勤務計画印刷用!$G$5:$AN$27</definedName>
    <definedName name="_xlnm.Print_Area" localSheetId="2">再入室表!$G$1:$AL$41</definedName>
    <definedName name="_xlnm.Print_Area" localSheetId="6">使用方法!$B$3:$C$53</definedName>
    <definedName name="S_Day" localSheetId="2">再入室表!#REF!</definedName>
    <definedName name="S_Day">勤務計画!$G$7</definedName>
    <definedName name="Siki1">社員データ!$C$5</definedName>
    <definedName name="Siki2">トイレ掃除!$H$7:$AL$7</definedName>
    <definedName name="Simei">社員データ!$F$7:$F$46</definedName>
    <definedName name="ST_Day">トイレ掃除!$K$3</definedName>
    <definedName name="SyainSika">社員データ!$E$7:$J$46</definedName>
    <definedName name="SyainTB1">社員データ!$D$7:$J$46</definedName>
    <definedName name="SyainTB2">社員データ!$K$7:$Q$46</definedName>
    <definedName name="SyaName" localSheetId="2">再入室表!#REF!</definedName>
    <definedName name="SyaName">勤務計画!$AN$8</definedName>
    <definedName name="T_Simei">トイレ掃除!$E$12:$G$71</definedName>
    <definedName name="TB_Kinmu" localSheetId="2">再入室表!#REF!</definedName>
    <definedName name="TB_Kinmu">勤務計画!$E$12:$AL$39</definedName>
    <definedName name="Toire_TB">トイレ掃除!$E$12:$AL$71</definedName>
    <definedName name="Toire1">トイレ掃除!$H$12:$AL$71</definedName>
    <definedName name="ToireMoto">トイレ掃除!$AD$3:$AH$3</definedName>
  </definedNames>
  <calcPr calcId="191029"/>
</workbook>
</file>

<file path=xl/calcChain.xml><?xml version="1.0" encoding="utf-8"?>
<calcChain xmlns="http://schemas.openxmlformats.org/spreadsheetml/2006/main">
  <c r="AL72" i="18" l="1"/>
  <c r="AK72" i="18"/>
  <c r="AJ72" i="18"/>
  <c r="AI72" i="18"/>
  <c r="AH72" i="18"/>
  <c r="AG72" i="18"/>
  <c r="AF72" i="18"/>
  <c r="AE72" i="18"/>
  <c r="AD72" i="18"/>
  <c r="AC72" i="18"/>
  <c r="AB72" i="18"/>
  <c r="AA72" i="18"/>
  <c r="Z72" i="18"/>
  <c r="Y72" i="18"/>
  <c r="X72" i="18"/>
  <c r="W72" i="18"/>
  <c r="V72" i="18"/>
  <c r="U72" i="18"/>
  <c r="T72" i="18"/>
  <c r="S72" i="18"/>
  <c r="R72" i="18"/>
  <c r="Q72" i="18"/>
  <c r="P72" i="18"/>
  <c r="O72" i="18"/>
  <c r="N72" i="18"/>
  <c r="M72" i="18"/>
  <c r="L72" i="18"/>
  <c r="K72" i="18"/>
  <c r="J72" i="18"/>
  <c r="I72" i="18"/>
  <c r="H72" i="18"/>
  <c r="AK7" i="23"/>
  <c r="AL7" i="23"/>
  <c r="AM7" i="23"/>
  <c r="I6" i="29" l="1"/>
  <c r="J6" i="29"/>
  <c r="K6" i="29"/>
  <c r="L6" i="29"/>
  <c r="M6" i="29"/>
  <c r="N6" i="29"/>
  <c r="O6" i="29"/>
  <c r="P6" i="29"/>
  <c r="Q6" i="29"/>
  <c r="R6" i="29"/>
  <c r="S6" i="29"/>
  <c r="T6" i="29"/>
  <c r="U6" i="29"/>
  <c r="V6" i="29"/>
  <c r="W6" i="29"/>
  <c r="X6" i="29"/>
  <c r="Y6" i="29"/>
  <c r="Z6" i="29"/>
  <c r="AA6" i="29"/>
  <c r="AB6" i="29"/>
  <c r="AC6" i="29"/>
  <c r="AD6" i="29"/>
  <c r="AE6" i="29"/>
  <c r="AF6" i="29"/>
  <c r="AG6" i="29"/>
  <c r="AH6" i="29"/>
  <c r="AI6" i="29"/>
  <c r="AJ6" i="29"/>
  <c r="AK6" i="29"/>
  <c r="AL6" i="29"/>
  <c r="I8" i="29"/>
  <c r="J8" i="29"/>
  <c r="K8" i="29"/>
  <c r="L8" i="29"/>
  <c r="M8" i="29"/>
  <c r="N8" i="29"/>
  <c r="O8" i="29"/>
  <c r="P8" i="29"/>
  <c r="Q8" i="29"/>
  <c r="R8" i="29"/>
  <c r="S8" i="29"/>
  <c r="T8" i="29"/>
  <c r="U8" i="29"/>
  <c r="V8" i="29"/>
  <c r="W8" i="29"/>
  <c r="X8" i="29"/>
  <c r="Y8" i="29"/>
  <c r="Z8" i="29"/>
  <c r="AA8" i="29"/>
  <c r="AB8" i="29"/>
  <c r="AC8" i="29"/>
  <c r="AD8" i="29"/>
  <c r="AE8" i="29"/>
  <c r="AF8" i="29"/>
  <c r="AG8" i="29"/>
  <c r="AH8" i="29"/>
  <c r="AI8" i="29"/>
  <c r="AJ8" i="29"/>
  <c r="AK8" i="29"/>
  <c r="AL8" i="29"/>
  <c r="H8" i="29"/>
  <c r="H6" i="29"/>
  <c r="G38" i="29"/>
  <c r="G36" i="29"/>
  <c r="G34" i="29"/>
  <c r="G32" i="29"/>
  <c r="G30" i="29"/>
  <c r="G28" i="29"/>
  <c r="G26" i="29"/>
  <c r="G24" i="29"/>
  <c r="G22" i="29"/>
  <c r="G20" i="29"/>
  <c r="G18" i="29"/>
  <c r="G16" i="29"/>
  <c r="G14" i="29"/>
  <c r="G12" i="29"/>
  <c r="G10" i="29"/>
  <c r="G8" i="29"/>
  <c r="G6" i="29"/>
  <c r="G4" i="29"/>
  <c r="I99" i="16"/>
  <c r="I37" i="29" s="1"/>
  <c r="I41" i="29" s="1"/>
  <c r="J99" i="16"/>
  <c r="J37" i="29" s="1"/>
  <c r="J41" i="29" s="1"/>
  <c r="K99" i="16"/>
  <c r="K37" i="29" s="1"/>
  <c r="K41" i="29" s="1"/>
  <c r="L99" i="16"/>
  <c r="L37" i="29" s="1"/>
  <c r="L41" i="29" s="1"/>
  <c r="M99" i="16"/>
  <c r="M37" i="29" s="1"/>
  <c r="M41" i="29" s="1"/>
  <c r="N99" i="16"/>
  <c r="N37" i="29" s="1"/>
  <c r="N41" i="29" s="1"/>
  <c r="O99" i="16"/>
  <c r="O37" i="29" s="1"/>
  <c r="O41" i="29" s="1"/>
  <c r="P99" i="16"/>
  <c r="P37" i="29" s="1"/>
  <c r="P41" i="29" s="1"/>
  <c r="Q99" i="16"/>
  <c r="Q37" i="29" s="1"/>
  <c r="Q41" i="29" s="1"/>
  <c r="R99" i="16"/>
  <c r="R37" i="29" s="1"/>
  <c r="R41" i="29" s="1"/>
  <c r="S99" i="16"/>
  <c r="S37" i="29" s="1"/>
  <c r="S41" i="29" s="1"/>
  <c r="T99" i="16"/>
  <c r="T37" i="29" s="1"/>
  <c r="T41" i="29" s="1"/>
  <c r="U99" i="16"/>
  <c r="U37" i="29" s="1"/>
  <c r="U41" i="29" s="1"/>
  <c r="V99" i="16"/>
  <c r="V37" i="29" s="1"/>
  <c r="V41" i="29" s="1"/>
  <c r="W99" i="16"/>
  <c r="W37" i="29" s="1"/>
  <c r="W41" i="29" s="1"/>
  <c r="X99" i="16"/>
  <c r="X37" i="29" s="1"/>
  <c r="X41" i="29" s="1"/>
  <c r="Y99" i="16"/>
  <c r="Y37" i="29" s="1"/>
  <c r="Y41" i="29" s="1"/>
  <c r="Z99" i="16"/>
  <c r="Z37" i="29" s="1"/>
  <c r="Z41" i="29" s="1"/>
  <c r="AA99" i="16"/>
  <c r="AA37" i="29" s="1"/>
  <c r="AA41" i="29" s="1"/>
  <c r="AB99" i="16"/>
  <c r="AB37" i="29" s="1"/>
  <c r="AB41" i="29" s="1"/>
  <c r="AC99" i="16"/>
  <c r="AC37" i="29" s="1"/>
  <c r="AC41" i="29" s="1"/>
  <c r="AD99" i="16"/>
  <c r="AD37" i="29" s="1"/>
  <c r="AD41" i="29" s="1"/>
  <c r="AE99" i="16"/>
  <c r="AE37" i="29" s="1"/>
  <c r="AE41" i="29" s="1"/>
  <c r="AF99" i="16"/>
  <c r="AF37" i="29" s="1"/>
  <c r="AF41" i="29" s="1"/>
  <c r="AG99" i="16"/>
  <c r="AG37" i="29" s="1"/>
  <c r="AG41" i="29" s="1"/>
  <c r="AH99" i="16"/>
  <c r="AH37" i="29" s="1"/>
  <c r="AH41" i="29" s="1"/>
  <c r="AI99" i="16"/>
  <c r="AI37" i="29" s="1"/>
  <c r="AI41" i="29" s="1"/>
  <c r="AJ99" i="16"/>
  <c r="AJ37" i="29" s="1"/>
  <c r="AJ41" i="29" s="1"/>
  <c r="AK99" i="16"/>
  <c r="AK37" i="29" s="1"/>
  <c r="AK41" i="29" s="1"/>
  <c r="H99" i="16"/>
  <c r="H37" i="29" s="1"/>
  <c r="H41" i="29" s="1"/>
  <c r="I101" i="16"/>
  <c r="I39" i="29" s="1"/>
  <c r="J101" i="16"/>
  <c r="J39" i="29" s="1"/>
  <c r="K101" i="16"/>
  <c r="K39" i="29" s="1"/>
  <c r="L101" i="16"/>
  <c r="L39" i="29" s="1"/>
  <c r="M101" i="16"/>
  <c r="M39" i="29" s="1"/>
  <c r="N101" i="16"/>
  <c r="N39" i="29" s="1"/>
  <c r="O101" i="16"/>
  <c r="O39" i="29" s="1"/>
  <c r="P101" i="16"/>
  <c r="P39" i="29" s="1"/>
  <c r="Q101" i="16"/>
  <c r="Q39" i="29" s="1"/>
  <c r="R101" i="16"/>
  <c r="R39" i="29" s="1"/>
  <c r="S101" i="16"/>
  <c r="S39" i="29" s="1"/>
  <c r="T101" i="16"/>
  <c r="T39" i="29" s="1"/>
  <c r="U101" i="16"/>
  <c r="U39" i="29" s="1"/>
  <c r="V101" i="16"/>
  <c r="V39" i="29" s="1"/>
  <c r="W101" i="16"/>
  <c r="W39" i="29" s="1"/>
  <c r="X101" i="16"/>
  <c r="X39" i="29" s="1"/>
  <c r="Y101" i="16"/>
  <c r="Y39" i="29" s="1"/>
  <c r="Z101" i="16"/>
  <c r="Z39" i="29" s="1"/>
  <c r="AA101" i="16"/>
  <c r="AA39" i="29" s="1"/>
  <c r="AB101" i="16"/>
  <c r="AB39" i="29" s="1"/>
  <c r="AC101" i="16"/>
  <c r="AC39" i="29" s="1"/>
  <c r="AD101" i="16"/>
  <c r="AD39" i="29" s="1"/>
  <c r="AE101" i="16"/>
  <c r="AE39" i="29" s="1"/>
  <c r="AF101" i="16"/>
  <c r="AF39" i="29" s="1"/>
  <c r="AG101" i="16"/>
  <c r="AG39" i="29" s="1"/>
  <c r="AH101" i="16"/>
  <c r="AH39" i="29" s="1"/>
  <c r="AI101" i="16"/>
  <c r="AI39" i="29" s="1"/>
  <c r="AJ101" i="16"/>
  <c r="AJ39" i="29" s="1"/>
  <c r="AK101" i="16"/>
  <c r="AK39" i="29" s="1"/>
  <c r="H101" i="16"/>
  <c r="H39" i="29" s="1"/>
  <c r="I88" i="16"/>
  <c r="I26" i="29" s="1"/>
  <c r="J88" i="16"/>
  <c r="J26" i="29" s="1"/>
  <c r="K88" i="16"/>
  <c r="K26" i="29" s="1"/>
  <c r="L88" i="16"/>
  <c r="L26" i="29" s="1"/>
  <c r="M88" i="16"/>
  <c r="M26" i="29" s="1"/>
  <c r="N88" i="16"/>
  <c r="N26" i="29" s="1"/>
  <c r="O88" i="16"/>
  <c r="O26" i="29" s="1"/>
  <c r="P88" i="16"/>
  <c r="P26" i="29" s="1"/>
  <c r="Q88" i="16"/>
  <c r="Q26" i="29" s="1"/>
  <c r="R88" i="16"/>
  <c r="R26" i="29" s="1"/>
  <c r="S88" i="16"/>
  <c r="S26" i="29" s="1"/>
  <c r="T88" i="16"/>
  <c r="T26" i="29" s="1"/>
  <c r="U88" i="16"/>
  <c r="U26" i="29" s="1"/>
  <c r="V88" i="16"/>
  <c r="V26" i="29" s="1"/>
  <c r="W88" i="16"/>
  <c r="W26" i="29" s="1"/>
  <c r="X88" i="16"/>
  <c r="X26" i="29" s="1"/>
  <c r="Y88" i="16"/>
  <c r="Y26" i="29" s="1"/>
  <c r="Z88" i="16"/>
  <c r="Z26" i="29" s="1"/>
  <c r="AA88" i="16"/>
  <c r="AA26" i="29" s="1"/>
  <c r="AB88" i="16"/>
  <c r="AB26" i="29" s="1"/>
  <c r="AC88" i="16"/>
  <c r="AC26" i="29" s="1"/>
  <c r="AD88" i="16"/>
  <c r="AD26" i="29" s="1"/>
  <c r="AE88" i="16"/>
  <c r="AE26" i="29" s="1"/>
  <c r="AF88" i="16"/>
  <c r="AF26" i="29" s="1"/>
  <c r="AG88" i="16"/>
  <c r="AG26" i="29" s="1"/>
  <c r="AH88" i="16"/>
  <c r="AH26" i="29" s="1"/>
  <c r="AI88" i="16"/>
  <c r="AI26" i="29" s="1"/>
  <c r="AJ88" i="16"/>
  <c r="AJ26" i="29" s="1"/>
  <c r="AK88" i="16"/>
  <c r="AK26" i="29" s="1"/>
  <c r="AL88" i="16"/>
  <c r="AL26" i="29" s="1"/>
  <c r="I89" i="16"/>
  <c r="I27" i="29" s="1"/>
  <c r="J89" i="16"/>
  <c r="J27" i="29" s="1"/>
  <c r="K89" i="16"/>
  <c r="K27" i="29" s="1"/>
  <c r="L89" i="16"/>
  <c r="L27" i="29" s="1"/>
  <c r="M89" i="16"/>
  <c r="M27" i="29" s="1"/>
  <c r="N89" i="16"/>
  <c r="N27" i="29" s="1"/>
  <c r="O89" i="16"/>
  <c r="O27" i="29" s="1"/>
  <c r="P89" i="16"/>
  <c r="P27" i="29" s="1"/>
  <c r="Q89" i="16"/>
  <c r="Q27" i="29" s="1"/>
  <c r="R89" i="16"/>
  <c r="R27" i="29" s="1"/>
  <c r="S89" i="16"/>
  <c r="S27" i="29" s="1"/>
  <c r="T89" i="16"/>
  <c r="T27" i="29" s="1"/>
  <c r="U89" i="16"/>
  <c r="U27" i="29" s="1"/>
  <c r="V89" i="16"/>
  <c r="V27" i="29" s="1"/>
  <c r="W89" i="16"/>
  <c r="W27" i="29" s="1"/>
  <c r="X89" i="16"/>
  <c r="X27" i="29" s="1"/>
  <c r="Y89" i="16"/>
  <c r="Y27" i="29" s="1"/>
  <c r="Z89" i="16"/>
  <c r="Z27" i="29" s="1"/>
  <c r="AA89" i="16"/>
  <c r="AA27" i="29" s="1"/>
  <c r="AB89" i="16"/>
  <c r="AB27" i="29" s="1"/>
  <c r="AC89" i="16"/>
  <c r="AC27" i="29" s="1"/>
  <c r="AD89" i="16"/>
  <c r="AD27" i="29" s="1"/>
  <c r="AE89" i="16"/>
  <c r="AE27" i="29" s="1"/>
  <c r="AF89" i="16"/>
  <c r="AF27" i="29" s="1"/>
  <c r="AG89" i="16"/>
  <c r="AG27" i="29" s="1"/>
  <c r="AH89" i="16"/>
  <c r="AH27" i="29" s="1"/>
  <c r="AI89" i="16"/>
  <c r="AI27" i="29" s="1"/>
  <c r="AJ89" i="16"/>
  <c r="AJ27" i="29" s="1"/>
  <c r="AK89" i="16"/>
  <c r="AK27" i="29" s="1"/>
  <c r="AL89" i="16"/>
  <c r="AL27" i="29" s="1"/>
  <c r="I90" i="16"/>
  <c r="I28" i="29" s="1"/>
  <c r="J90" i="16"/>
  <c r="J28" i="29" s="1"/>
  <c r="K90" i="16"/>
  <c r="K28" i="29" s="1"/>
  <c r="L90" i="16"/>
  <c r="L28" i="29" s="1"/>
  <c r="M90" i="16"/>
  <c r="M28" i="29" s="1"/>
  <c r="N90" i="16"/>
  <c r="N28" i="29" s="1"/>
  <c r="O90" i="16"/>
  <c r="O28" i="29" s="1"/>
  <c r="P90" i="16"/>
  <c r="P28" i="29" s="1"/>
  <c r="Q90" i="16"/>
  <c r="Q28" i="29" s="1"/>
  <c r="R90" i="16"/>
  <c r="R28" i="29" s="1"/>
  <c r="S90" i="16"/>
  <c r="S28" i="29" s="1"/>
  <c r="T90" i="16"/>
  <c r="T28" i="29" s="1"/>
  <c r="U90" i="16"/>
  <c r="U28" i="29" s="1"/>
  <c r="V90" i="16"/>
  <c r="V28" i="29" s="1"/>
  <c r="W90" i="16"/>
  <c r="W28" i="29" s="1"/>
  <c r="X90" i="16"/>
  <c r="X28" i="29" s="1"/>
  <c r="Y90" i="16"/>
  <c r="Y28" i="29" s="1"/>
  <c r="Z90" i="16"/>
  <c r="Z28" i="29" s="1"/>
  <c r="AA90" i="16"/>
  <c r="AA28" i="29" s="1"/>
  <c r="AB90" i="16"/>
  <c r="AB28" i="29" s="1"/>
  <c r="AC90" i="16"/>
  <c r="AC28" i="29" s="1"/>
  <c r="AD90" i="16"/>
  <c r="AD28" i="29" s="1"/>
  <c r="AE90" i="16"/>
  <c r="AE28" i="29" s="1"/>
  <c r="AF90" i="16"/>
  <c r="AF28" i="29" s="1"/>
  <c r="AG90" i="16"/>
  <c r="AG28" i="29" s="1"/>
  <c r="AH90" i="16"/>
  <c r="AH28" i="29" s="1"/>
  <c r="AI90" i="16"/>
  <c r="AI28" i="29" s="1"/>
  <c r="AJ90" i="16"/>
  <c r="AJ28" i="29" s="1"/>
  <c r="AK90" i="16"/>
  <c r="AK28" i="29" s="1"/>
  <c r="AL90" i="16"/>
  <c r="AL28" i="29" s="1"/>
  <c r="I91" i="16"/>
  <c r="I29" i="29" s="1"/>
  <c r="J91" i="16"/>
  <c r="J29" i="29" s="1"/>
  <c r="K91" i="16"/>
  <c r="K29" i="29" s="1"/>
  <c r="L91" i="16"/>
  <c r="L29" i="29" s="1"/>
  <c r="M91" i="16"/>
  <c r="M29" i="29" s="1"/>
  <c r="N91" i="16"/>
  <c r="N29" i="29" s="1"/>
  <c r="O91" i="16"/>
  <c r="O29" i="29" s="1"/>
  <c r="P91" i="16"/>
  <c r="P29" i="29" s="1"/>
  <c r="Q91" i="16"/>
  <c r="Q29" i="29" s="1"/>
  <c r="R91" i="16"/>
  <c r="R29" i="29" s="1"/>
  <c r="S91" i="16"/>
  <c r="S29" i="29" s="1"/>
  <c r="T91" i="16"/>
  <c r="T29" i="29" s="1"/>
  <c r="U91" i="16"/>
  <c r="U29" i="29" s="1"/>
  <c r="V91" i="16"/>
  <c r="V29" i="29" s="1"/>
  <c r="W91" i="16"/>
  <c r="W29" i="29" s="1"/>
  <c r="X91" i="16"/>
  <c r="X29" i="29" s="1"/>
  <c r="Y91" i="16"/>
  <c r="Y29" i="29" s="1"/>
  <c r="Z91" i="16"/>
  <c r="Z29" i="29" s="1"/>
  <c r="AA91" i="16"/>
  <c r="AA29" i="29" s="1"/>
  <c r="AB91" i="16"/>
  <c r="AB29" i="29" s="1"/>
  <c r="AC91" i="16"/>
  <c r="AC29" i="29" s="1"/>
  <c r="AD91" i="16"/>
  <c r="AD29" i="29" s="1"/>
  <c r="AE91" i="16"/>
  <c r="AE29" i="29" s="1"/>
  <c r="AF91" i="16"/>
  <c r="AF29" i="29" s="1"/>
  <c r="AG91" i="16"/>
  <c r="AG29" i="29" s="1"/>
  <c r="AH91" i="16"/>
  <c r="AH29" i="29" s="1"/>
  <c r="AI91" i="16"/>
  <c r="AI29" i="29" s="1"/>
  <c r="AJ91" i="16"/>
  <c r="AJ29" i="29" s="1"/>
  <c r="AK91" i="16"/>
  <c r="AK29" i="29" s="1"/>
  <c r="AL91" i="16"/>
  <c r="AL29" i="29" s="1"/>
  <c r="I92" i="16"/>
  <c r="I30" i="29" s="1"/>
  <c r="J92" i="16"/>
  <c r="J30" i="29" s="1"/>
  <c r="K92" i="16"/>
  <c r="K30" i="29" s="1"/>
  <c r="L92" i="16"/>
  <c r="L30" i="29" s="1"/>
  <c r="M92" i="16"/>
  <c r="M30" i="29" s="1"/>
  <c r="N92" i="16"/>
  <c r="N30" i="29" s="1"/>
  <c r="O92" i="16"/>
  <c r="O30" i="29" s="1"/>
  <c r="P92" i="16"/>
  <c r="P30" i="29" s="1"/>
  <c r="Q92" i="16"/>
  <c r="Q30" i="29" s="1"/>
  <c r="R92" i="16"/>
  <c r="R30" i="29" s="1"/>
  <c r="S92" i="16"/>
  <c r="S30" i="29" s="1"/>
  <c r="T92" i="16"/>
  <c r="T30" i="29" s="1"/>
  <c r="U92" i="16"/>
  <c r="U30" i="29" s="1"/>
  <c r="V92" i="16"/>
  <c r="V30" i="29" s="1"/>
  <c r="W92" i="16"/>
  <c r="W30" i="29" s="1"/>
  <c r="X92" i="16"/>
  <c r="X30" i="29" s="1"/>
  <c r="Y92" i="16"/>
  <c r="Y30" i="29" s="1"/>
  <c r="Z92" i="16"/>
  <c r="Z30" i="29" s="1"/>
  <c r="AA92" i="16"/>
  <c r="AA30" i="29" s="1"/>
  <c r="AB92" i="16"/>
  <c r="AB30" i="29" s="1"/>
  <c r="AC92" i="16"/>
  <c r="AC30" i="29" s="1"/>
  <c r="AD92" i="16"/>
  <c r="AD30" i="29" s="1"/>
  <c r="AE92" i="16"/>
  <c r="AE30" i="29" s="1"/>
  <c r="AF92" i="16"/>
  <c r="AF30" i="29" s="1"/>
  <c r="AG92" i="16"/>
  <c r="AG30" i="29" s="1"/>
  <c r="AH92" i="16"/>
  <c r="AH30" i="29" s="1"/>
  <c r="AI92" i="16"/>
  <c r="AI30" i="29" s="1"/>
  <c r="AJ92" i="16"/>
  <c r="AJ30" i="29" s="1"/>
  <c r="AK92" i="16"/>
  <c r="AK30" i="29" s="1"/>
  <c r="AL92" i="16"/>
  <c r="AL30" i="29" s="1"/>
  <c r="I93" i="16"/>
  <c r="I31" i="29" s="1"/>
  <c r="J93" i="16"/>
  <c r="J31" i="29" s="1"/>
  <c r="K93" i="16"/>
  <c r="K31" i="29" s="1"/>
  <c r="L93" i="16"/>
  <c r="L31" i="29" s="1"/>
  <c r="M93" i="16"/>
  <c r="M31" i="29" s="1"/>
  <c r="N93" i="16"/>
  <c r="N31" i="29" s="1"/>
  <c r="O93" i="16"/>
  <c r="O31" i="29" s="1"/>
  <c r="P93" i="16"/>
  <c r="P31" i="29" s="1"/>
  <c r="Q93" i="16"/>
  <c r="Q31" i="29" s="1"/>
  <c r="R93" i="16"/>
  <c r="R31" i="29" s="1"/>
  <c r="S93" i="16"/>
  <c r="S31" i="29" s="1"/>
  <c r="T93" i="16"/>
  <c r="T31" i="29" s="1"/>
  <c r="U93" i="16"/>
  <c r="U31" i="29" s="1"/>
  <c r="V93" i="16"/>
  <c r="V31" i="29" s="1"/>
  <c r="W93" i="16"/>
  <c r="W31" i="29" s="1"/>
  <c r="X93" i="16"/>
  <c r="X31" i="29" s="1"/>
  <c r="Y93" i="16"/>
  <c r="Y31" i="29" s="1"/>
  <c r="Z93" i="16"/>
  <c r="Z31" i="29" s="1"/>
  <c r="AA93" i="16"/>
  <c r="AA31" i="29" s="1"/>
  <c r="AB93" i="16"/>
  <c r="AB31" i="29" s="1"/>
  <c r="AC93" i="16"/>
  <c r="AC31" i="29" s="1"/>
  <c r="AD93" i="16"/>
  <c r="AD31" i="29" s="1"/>
  <c r="AE93" i="16"/>
  <c r="AE31" i="29" s="1"/>
  <c r="AF93" i="16"/>
  <c r="AF31" i="29" s="1"/>
  <c r="AG93" i="16"/>
  <c r="AG31" i="29" s="1"/>
  <c r="AH93" i="16"/>
  <c r="AH31" i="29" s="1"/>
  <c r="AI93" i="16"/>
  <c r="AI31" i="29" s="1"/>
  <c r="AJ93" i="16"/>
  <c r="AJ31" i="29" s="1"/>
  <c r="AK93" i="16"/>
  <c r="AK31" i="29" s="1"/>
  <c r="AL93" i="16"/>
  <c r="AL31" i="29" s="1"/>
  <c r="I94" i="16"/>
  <c r="I32" i="29" s="1"/>
  <c r="J94" i="16"/>
  <c r="J32" i="29" s="1"/>
  <c r="K94" i="16"/>
  <c r="K32" i="29" s="1"/>
  <c r="L94" i="16"/>
  <c r="L32" i="29" s="1"/>
  <c r="M94" i="16"/>
  <c r="M32" i="29" s="1"/>
  <c r="N94" i="16"/>
  <c r="N32" i="29" s="1"/>
  <c r="O94" i="16"/>
  <c r="O32" i="29" s="1"/>
  <c r="P94" i="16"/>
  <c r="P32" i="29" s="1"/>
  <c r="Q94" i="16"/>
  <c r="Q32" i="29" s="1"/>
  <c r="R94" i="16"/>
  <c r="R32" i="29" s="1"/>
  <c r="S94" i="16"/>
  <c r="S32" i="29" s="1"/>
  <c r="T94" i="16"/>
  <c r="T32" i="29" s="1"/>
  <c r="U94" i="16"/>
  <c r="U32" i="29" s="1"/>
  <c r="V94" i="16"/>
  <c r="V32" i="29" s="1"/>
  <c r="W94" i="16"/>
  <c r="W32" i="29" s="1"/>
  <c r="X94" i="16"/>
  <c r="X32" i="29" s="1"/>
  <c r="Y94" i="16"/>
  <c r="Y32" i="29" s="1"/>
  <c r="Z94" i="16"/>
  <c r="Z32" i="29" s="1"/>
  <c r="AA94" i="16"/>
  <c r="AA32" i="29" s="1"/>
  <c r="AB94" i="16"/>
  <c r="AB32" i="29" s="1"/>
  <c r="AC94" i="16"/>
  <c r="AC32" i="29" s="1"/>
  <c r="AD94" i="16"/>
  <c r="AD32" i="29" s="1"/>
  <c r="AE94" i="16"/>
  <c r="AE32" i="29" s="1"/>
  <c r="AF94" i="16"/>
  <c r="AF32" i="29" s="1"/>
  <c r="AG94" i="16"/>
  <c r="AG32" i="29" s="1"/>
  <c r="AH94" i="16"/>
  <c r="AH32" i="29" s="1"/>
  <c r="AI94" i="16"/>
  <c r="AI32" i="29" s="1"/>
  <c r="AJ94" i="16"/>
  <c r="AJ32" i="29" s="1"/>
  <c r="AK94" i="16"/>
  <c r="AK32" i="29" s="1"/>
  <c r="AL94" i="16"/>
  <c r="AL32" i="29" s="1"/>
  <c r="I95" i="16"/>
  <c r="I33" i="29" s="1"/>
  <c r="J95" i="16"/>
  <c r="J33" i="29" s="1"/>
  <c r="K95" i="16"/>
  <c r="K33" i="29" s="1"/>
  <c r="L95" i="16"/>
  <c r="L33" i="29" s="1"/>
  <c r="M95" i="16"/>
  <c r="M33" i="29" s="1"/>
  <c r="N95" i="16"/>
  <c r="N33" i="29" s="1"/>
  <c r="O95" i="16"/>
  <c r="O33" i="29" s="1"/>
  <c r="P95" i="16"/>
  <c r="P33" i="29" s="1"/>
  <c r="Q95" i="16"/>
  <c r="Q33" i="29" s="1"/>
  <c r="R95" i="16"/>
  <c r="R33" i="29" s="1"/>
  <c r="S95" i="16"/>
  <c r="S33" i="29" s="1"/>
  <c r="T95" i="16"/>
  <c r="T33" i="29" s="1"/>
  <c r="U95" i="16"/>
  <c r="U33" i="29" s="1"/>
  <c r="V95" i="16"/>
  <c r="V33" i="29" s="1"/>
  <c r="W95" i="16"/>
  <c r="W33" i="29" s="1"/>
  <c r="X95" i="16"/>
  <c r="X33" i="29" s="1"/>
  <c r="Y95" i="16"/>
  <c r="Y33" i="29" s="1"/>
  <c r="Z95" i="16"/>
  <c r="Z33" i="29" s="1"/>
  <c r="AA95" i="16"/>
  <c r="AA33" i="29" s="1"/>
  <c r="AB95" i="16"/>
  <c r="AB33" i="29" s="1"/>
  <c r="AC95" i="16"/>
  <c r="AC33" i="29" s="1"/>
  <c r="AD95" i="16"/>
  <c r="AD33" i="29" s="1"/>
  <c r="AE95" i="16"/>
  <c r="AE33" i="29" s="1"/>
  <c r="AF95" i="16"/>
  <c r="AF33" i="29" s="1"/>
  <c r="AG95" i="16"/>
  <c r="AG33" i="29" s="1"/>
  <c r="AH95" i="16"/>
  <c r="AH33" i="29" s="1"/>
  <c r="AI95" i="16"/>
  <c r="AI33" i="29" s="1"/>
  <c r="AJ95" i="16"/>
  <c r="AJ33" i="29" s="1"/>
  <c r="AK95" i="16"/>
  <c r="AK33" i="29" s="1"/>
  <c r="AL95" i="16"/>
  <c r="AL33" i="29" s="1"/>
  <c r="I96" i="16"/>
  <c r="I34" i="29" s="1"/>
  <c r="J96" i="16"/>
  <c r="J34" i="29" s="1"/>
  <c r="K96" i="16"/>
  <c r="K34" i="29" s="1"/>
  <c r="L96" i="16"/>
  <c r="L34" i="29" s="1"/>
  <c r="M96" i="16"/>
  <c r="M34" i="29" s="1"/>
  <c r="N96" i="16"/>
  <c r="N34" i="29" s="1"/>
  <c r="O96" i="16"/>
  <c r="O34" i="29" s="1"/>
  <c r="P96" i="16"/>
  <c r="P34" i="29" s="1"/>
  <c r="Q96" i="16"/>
  <c r="Q34" i="29" s="1"/>
  <c r="R96" i="16"/>
  <c r="R34" i="29" s="1"/>
  <c r="S96" i="16"/>
  <c r="S34" i="29" s="1"/>
  <c r="T96" i="16"/>
  <c r="T34" i="29" s="1"/>
  <c r="U96" i="16"/>
  <c r="U34" i="29" s="1"/>
  <c r="V96" i="16"/>
  <c r="V34" i="29" s="1"/>
  <c r="W96" i="16"/>
  <c r="W34" i="29" s="1"/>
  <c r="X96" i="16"/>
  <c r="X34" i="29" s="1"/>
  <c r="Y96" i="16"/>
  <c r="Y34" i="29" s="1"/>
  <c r="Z96" i="16"/>
  <c r="Z34" i="29" s="1"/>
  <c r="AA96" i="16"/>
  <c r="AA34" i="29" s="1"/>
  <c r="AB96" i="16"/>
  <c r="AB34" i="29" s="1"/>
  <c r="AC96" i="16"/>
  <c r="AC34" i="29" s="1"/>
  <c r="AD96" i="16"/>
  <c r="AD34" i="29" s="1"/>
  <c r="AE96" i="16"/>
  <c r="AE34" i="29" s="1"/>
  <c r="AF96" i="16"/>
  <c r="AF34" i="29" s="1"/>
  <c r="AG96" i="16"/>
  <c r="AG34" i="29" s="1"/>
  <c r="AH96" i="16"/>
  <c r="AH34" i="29" s="1"/>
  <c r="AI96" i="16"/>
  <c r="AI34" i="29" s="1"/>
  <c r="AJ96" i="16"/>
  <c r="AJ34" i="29" s="1"/>
  <c r="AK96" i="16"/>
  <c r="AK34" i="29" s="1"/>
  <c r="AL96" i="16"/>
  <c r="AL34" i="29" s="1"/>
  <c r="I97" i="16"/>
  <c r="I35" i="29" s="1"/>
  <c r="J97" i="16"/>
  <c r="J35" i="29" s="1"/>
  <c r="K97" i="16"/>
  <c r="K35" i="29" s="1"/>
  <c r="L97" i="16"/>
  <c r="L35" i="29" s="1"/>
  <c r="M97" i="16"/>
  <c r="M35" i="29" s="1"/>
  <c r="N97" i="16"/>
  <c r="N35" i="29" s="1"/>
  <c r="O97" i="16"/>
  <c r="O35" i="29" s="1"/>
  <c r="P97" i="16"/>
  <c r="P35" i="29" s="1"/>
  <c r="Q97" i="16"/>
  <c r="Q35" i="29" s="1"/>
  <c r="R97" i="16"/>
  <c r="R35" i="29" s="1"/>
  <c r="S97" i="16"/>
  <c r="S35" i="29" s="1"/>
  <c r="T97" i="16"/>
  <c r="T35" i="29" s="1"/>
  <c r="U97" i="16"/>
  <c r="U35" i="29" s="1"/>
  <c r="V97" i="16"/>
  <c r="V35" i="29" s="1"/>
  <c r="W97" i="16"/>
  <c r="W35" i="29" s="1"/>
  <c r="X97" i="16"/>
  <c r="X35" i="29" s="1"/>
  <c r="Y97" i="16"/>
  <c r="Y35" i="29" s="1"/>
  <c r="Z97" i="16"/>
  <c r="Z35" i="29" s="1"/>
  <c r="AA97" i="16"/>
  <c r="AA35" i="29" s="1"/>
  <c r="AB97" i="16"/>
  <c r="AB35" i="29" s="1"/>
  <c r="AC97" i="16"/>
  <c r="AC35" i="29" s="1"/>
  <c r="AD97" i="16"/>
  <c r="AD35" i="29" s="1"/>
  <c r="AE97" i="16"/>
  <c r="AE35" i="29" s="1"/>
  <c r="AF97" i="16"/>
  <c r="AF35" i="29" s="1"/>
  <c r="AG97" i="16"/>
  <c r="AG35" i="29" s="1"/>
  <c r="AH97" i="16"/>
  <c r="AH35" i="29" s="1"/>
  <c r="AI97" i="16"/>
  <c r="AI35" i="29" s="1"/>
  <c r="AJ97" i="16"/>
  <c r="AJ35" i="29" s="1"/>
  <c r="AK97" i="16"/>
  <c r="AK35" i="29" s="1"/>
  <c r="AL97" i="16"/>
  <c r="AL35" i="29" s="1"/>
  <c r="H97" i="16"/>
  <c r="H35" i="29" s="1"/>
  <c r="H96" i="16"/>
  <c r="H34" i="29" s="1"/>
  <c r="H95" i="16"/>
  <c r="H33" i="29" s="1"/>
  <c r="H93" i="16"/>
  <c r="H31" i="29" s="1"/>
  <c r="H91" i="16"/>
  <c r="H29" i="29" s="1"/>
  <c r="H89" i="16"/>
  <c r="H27" i="29" s="1"/>
  <c r="I87" i="16"/>
  <c r="I25" i="29" s="1"/>
  <c r="J87" i="16"/>
  <c r="J25" i="29" s="1"/>
  <c r="K87" i="16"/>
  <c r="K25" i="29" s="1"/>
  <c r="L87" i="16"/>
  <c r="L25" i="29" s="1"/>
  <c r="M87" i="16"/>
  <c r="M25" i="29" s="1"/>
  <c r="N87" i="16"/>
  <c r="N25" i="29" s="1"/>
  <c r="O87" i="16"/>
  <c r="O25" i="29" s="1"/>
  <c r="P87" i="16"/>
  <c r="P25" i="29" s="1"/>
  <c r="Q87" i="16"/>
  <c r="Q25" i="29" s="1"/>
  <c r="R87" i="16"/>
  <c r="R25" i="29" s="1"/>
  <c r="S87" i="16"/>
  <c r="S25" i="29" s="1"/>
  <c r="T87" i="16"/>
  <c r="T25" i="29" s="1"/>
  <c r="U87" i="16"/>
  <c r="U25" i="29" s="1"/>
  <c r="V87" i="16"/>
  <c r="V25" i="29" s="1"/>
  <c r="W87" i="16"/>
  <c r="W25" i="29" s="1"/>
  <c r="X87" i="16"/>
  <c r="X25" i="29" s="1"/>
  <c r="Y87" i="16"/>
  <c r="Y25" i="29" s="1"/>
  <c r="Z87" i="16"/>
  <c r="Z25" i="29" s="1"/>
  <c r="AA87" i="16"/>
  <c r="AA25" i="29" s="1"/>
  <c r="AB87" i="16"/>
  <c r="AB25" i="29" s="1"/>
  <c r="AC87" i="16"/>
  <c r="AC25" i="29" s="1"/>
  <c r="AD87" i="16"/>
  <c r="AD25" i="29" s="1"/>
  <c r="AE87" i="16"/>
  <c r="AE25" i="29" s="1"/>
  <c r="AF87" i="16"/>
  <c r="AF25" i="29" s="1"/>
  <c r="AG87" i="16"/>
  <c r="AG25" i="29" s="1"/>
  <c r="AH87" i="16"/>
  <c r="AH25" i="29" s="1"/>
  <c r="AI87" i="16"/>
  <c r="AI25" i="29" s="1"/>
  <c r="AJ87" i="16"/>
  <c r="AJ25" i="29" s="1"/>
  <c r="AK87" i="16"/>
  <c r="AK25" i="29" s="1"/>
  <c r="AL87" i="16"/>
  <c r="AL25" i="29" s="1"/>
  <c r="H87" i="16"/>
  <c r="H25" i="29" s="1"/>
  <c r="I85" i="16"/>
  <c r="I23" i="29" s="1"/>
  <c r="J85" i="16"/>
  <c r="J23" i="29" s="1"/>
  <c r="K85" i="16"/>
  <c r="K23" i="29" s="1"/>
  <c r="L85" i="16"/>
  <c r="L23" i="29" s="1"/>
  <c r="M85" i="16"/>
  <c r="M23" i="29" s="1"/>
  <c r="N85" i="16"/>
  <c r="N23" i="29" s="1"/>
  <c r="O85" i="16"/>
  <c r="O23" i="29" s="1"/>
  <c r="P85" i="16"/>
  <c r="P23" i="29" s="1"/>
  <c r="Q85" i="16"/>
  <c r="Q23" i="29" s="1"/>
  <c r="R85" i="16"/>
  <c r="R23" i="29" s="1"/>
  <c r="S85" i="16"/>
  <c r="S23" i="29" s="1"/>
  <c r="T85" i="16"/>
  <c r="T23" i="29" s="1"/>
  <c r="U85" i="16"/>
  <c r="U23" i="29" s="1"/>
  <c r="V85" i="16"/>
  <c r="V23" i="29" s="1"/>
  <c r="W85" i="16"/>
  <c r="W23" i="29" s="1"/>
  <c r="X85" i="16"/>
  <c r="X23" i="29" s="1"/>
  <c r="Y85" i="16"/>
  <c r="Y23" i="29" s="1"/>
  <c r="Z85" i="16"/>
  <c r="Z23" i="29" s="1"/>
  <c r="AA85" i="16"/>
  <c r="AA23" i="29" s="1"/>
  <c r="AB85" i="16"/>
  <c r="AB23" i="29" s="1"/>
  <c r="AC85" i="16"/>
  <c r="AC23" i="29" s="1"/>
  <c r="AD85" i="16"/>
  <c r="AD23" i="29" s="1"/>
  <c r="AE85" i="16"/>
  <c r="AE23" i="29" s="1"/>
  <c r="AF85" i="16"/>
  <c r="AF23" i="29" s="1"/>
  <c r="AG85" i="16"/>
  <c r="AG23" i="29" s="1"/>
  <c r="AH85" i="16"/>
  <c r="AH23" i="29" s="1"/>
  <c r="AI85" i="16"/>
  <c r="AI23" i="29" s="1"/>
  <c r="AJ85" i="16"/>
  <c r="AJ23" i="29" s="1"/>
  <c r="AK85" i="16"/>
  <c r="AK23" i="29" s="1"/>
  <c r="AL85" i="16"/>
  <c r="AL23" i="29" s="1"/>
  <c r="H85" i="16"/>
  <c r="H23" i="29" s="1"/>
  <c r="I83" i="16"/>
  <c r="I21" i="29" s="1"/>
  <c r="J83" i="16"/>
  <c r="J21" i="29" s="1"/>
  <c r="K83" i="16"/>
  <c r="K21" i="29" s="1"/>
  <c r="L83" i="16"/>
  <c r="L21" i="29" s="1"/>
  <c r="M83" i="16"/>
  <c r="M21" i="29" s="1"/>
  <c r="N83" i="16"/>
  <c r="N21" i="29" s="1"/>
  <c r="O83" i="16"/>
  <c r="O21" i="29" s="1"/>
  <c r="P83" i="16"/>
  <c r="P21" i="29" s="1"/>
  <c r="Q83" i="16"/>
  <c r="Q21" i="29" s="1"/>
  <c r="R83" i="16"/>
  <c r="R21" i="29" s="1"/>
  <c r="S83" i="16"/>
  <c r="S21" i="29" s="1"/>
  <c r="T83" i="16"/>
  <c r="T21" i="29" s="1"/>
  <c r="U83" i="16"/>
  <c r="U21" i="29" s="1"/>
  <c r="V83" i="16"/>
  <c r="V21" i="29" s="1"/>
  <c r="W83" i="16"/>
  <c r="W21" i="29" s="1"/>
  <c r="X83" i="16"/>
  <c r="X21" i="29" s="1"/>
  <c r="Y83" i="16"/>
  <c r="Y21" i="29" s="1"/>
  <c r="Z83" i="16"/>
  <c r="Z21" i="29" s="1"/>
  <c r="AA83" i="16"/>
  <c r="AA21" i="29" s="1"/>
  <c r="AB83" i="16"/>
  <c r="AB21" i="29" s="1"/>
  <c r="AC83" i="16"/>
  <c r="AC21" i="29" s="1"/>
  <c r="AD83" i="16"/>
  <c r="AD21" i="29" s="1"/>
  <c r="AE83" i="16"/>
  <c r="AE21" i="29" s="1"/>
  <c r="AF83" i="16"/>
  <c r="AF21" i="29" s="1"/>
  <c r="AG83" i="16"/>
  <c r="AG21" i="29" s="1"/>
  <c r="AH83" i="16"/>
  <c r="AH21" i="29" s="1"/>
  <c r="AI83" i="16"/>
  <c r="AI21" i="29" s="1"/>
  <c r="AJ83" i="16"/>
  <c r="AJ21" i="29" s="1"/>
  <c r="AK83" i="16"/>
  <c r="AK21" i="29" s="1"/>
  <c r="AL83" i="16"/>
  <c r="AL21" i="29" s="1"/>
  <c r="H83" i="16"/>
  <c r="H21" i="29" s="1"/>
  <c r="H82" i="16"/>
  <c r="H20" i="29" s="1"/>
  <c r="I81" i="16"/>
  <c r="I19" i="29" s="1"/>
  <c r="J81" i="16"/>
  <c r="J19" i="29" s="1"/>
  <c r="K81" i="16"/>
  <c r="K19" i="29" s="1"/>
  <c r="L81" i="16"/>
  <c r="L19" i="29" s="1"/>
  <c r="M81" i="16"/>
  <c r="M19" i="29" s="1"/>
  <c r="N81" i="16"/>
  <c r="N19" i="29" s="1"/>
  <c r="O81" i="16"/>
  <c r="O19" i="29" s="1"/>
  <c r="P81" i="16"/>
  <c r="P19" i="29" s="1"/>
  <c r="Q81" i="16"/>
  <c r="Q19" i="29" s="1"/>
  <c r="R81" i="16"/>
  <c r="R19" i="29" s="1"/>
  <c r="S81" i="16"/>
  <c r="S19" i="29" s="1"/>
  <c r="T81" i="16"/>
  <c r="T19" i="29" s="1"/>
  <c r="U81" i="16"/>
  <c r="U19" i="29" s="1"/>
  <c r="V81" i="16"/>
  <c r="V19" i="29" s="1"/>
  <c r="W81" i="16"/>
  <c r="W19" i="29" s="1"/>
  <c r="X81" i="16"/>
  <c r="X19" i="29" s="1"/>
  <c r="Y81" i="16"/>
  <c r="Y19" i="29" s="1"/>
  <c r="Z81" i="16"/>
  <c r="Z19" i="29" s="1"/>
  <c r="AA81" i="16"/>
  <c r="AA19" i="29" s="1"/>
  <c r="AB81" i="16"/>
  <c r="AB19" i="29" s="1"/>
  <c r="AC81" i="16"/>
  <c r="AC19" i="29" s="1"/>
  <c r="AD81" i="16"/>
  <c r="AD19" i="29" s="1"/>
  <c r="AE81" i="16"/>
  <c r="AE19" i="29" s="1"/>
  <c r="AF81" i="16"/>
  <c r="AF19" i="29" s="1"/>
  <c r="AG81" i="16"/>
  <c r="AG19" i="29" s="1"/>
  <c r="AH81" i="16"/>
  <c r="AH19" i="29" s="1"/>
  <c r="AI81" i="16"/>
  <c r="AI19" i="29" s="1"/>
  <c r="AJ81" i="16"/>
  <c r="AJ19" i="29" s="1"/>
  <c r="AK81" i="16"/>
  <c r="AK19" i="29" s="1"/>
  <c r="AL81" i="16"/>
  <c r="AL19" i="29" s="1"/>
  <c r="H81" i="16"/>
  <c r="H19" i="29" s="1"/>
  <c r="AL80" i="16"/>
  <c r="AL18" i="29" s="1"/>
  <c r="I80" i="16"/>
  <c r="I18" i="29" s="1"/>
  <c r="J80" i="16"/>
  <c r="J18" i="29" s="1"/>
  <c r="K80" i="16"/>
  <c r="K18" i="29" s="1"/>
  <c r="L80" i="16"/>
  <c r="L18" i="29" s="1"/>
  <c r="M80" i="16"/>
  <c r="M18" i="29" s="1"/>
  <c r="N80" i="16"/>
  <c r="N18" i="29" s="1"/>
  <c r="O80" i="16"/>
  <c r="O18" i="29" s="1"/>
  <c r="P80" i="16"/>
  <c r="P18" i="29" s="1"/>
  <c r="Q80" i="16"/>
  <c r="Q18" i="29" s="1"/>
  <c r="R80" i="16"/>
  <c r="R18" i="29" s="1"/>
  <c r="S80" i="16"/>
  <c r="S18" i="29" s="1"/>
  <c r="T80" i="16"/>
  <c r="T18" i="29" s="1"/>
  <c r="U80" i="16"/>
  <c r="U18" i="29" s="1"/>
  <c r="V80" i="16"/>
  <c r="V18" i="29" s="1"/>
  <c r="W80" i="16"/>
  <c r="W18" i="29" s="1"/>
  <c r="X80" i="16"/>
  <c r="X18" i="29" s="1"/>
  <c r="Y80" i="16"/>
  <c r="Y18" i="29" s="1"/>
  <c r="Z80" i="16"/>
  <c r="Z18" i="29" s="1"/>
  <c r="AA80" i="16"/>
  <c r="AA18" i="29" s="1"/>
  <c r="AB80" i="16"/>
  <c r="AB18" i="29" s="1"/>
  <c r="AC80" i="16"/>
  <c r="AC18" i="29" s="1"/>
  <c r="AD80" i="16"/>
  <c r="AD18" i="29" s="1"/>
  <c r="AE80" i="16"/>
  <c r="AE18" i="29" s="1"/>
  <c r="AF80" i="16"/>
  <c r="AF18" i="29" s="1"/>
  <c r="AG80" i="16"/>
  <c r="AG18" i="29" s="1"/>
  <c r="AH80" i="16"/>
  <c r="AH18" i="29" s="1"/>
  <c r="AI80" i="16"/>
  <c r="AI18" i="29" s="1"/>
  <c r="AJ80" i="16"/>
  <c r="AJ18" i="29" s="1"/>
  <c r="AK80" i="16"/>
  <c r="AK18" i="29" s="1"/>
  <c r="H80" i="16"/>
  <c r="H18" i="29" s="1"/>
  <c r="I79" i="16"/>
  <c r="I17" i="29" s="1"/>
  <c r="J79" i="16"/>
  <c r="J17" i="29" s="1"/>
  <c r="K79" i="16"/>
  <c r="K17" i="29" s="1"/>
  <c r="L79" i="16"/>
  <c r="L17" i="29" s="1"/>
  <c r="M79" i="16"/>
  <c r="M17" i="29" s="1"/>
  <c r="N79" i="16"/>
  <c r="N17" i="29" s="1"/>
  <c r="O79" i="16"/>
  <c r="O17" i="29" s="1"/>
  <c r="P79" i="16"/>
  <c r="P17" i="29" s="1"/>
  <c r="Q79" i="16"/>
  <c r="Q17" i="29" s="1"/>
  <c r="R79" i="16"/>
  <c r="R17" i="29" s="1"/>
  <c r="S79" i="16"/>
  <c r="S17" i="29" s="1"/>
  <c r="T79" i="16"/>
  <c r="T17" i="29" s="1"/>
  <c r="U79" i="16"/>
  <c r="U17" i="29" s="1"/>
  <c r="V79" i="16"/>
  <c r="V17" i="29" s="1"/>
  <c r="W79" i="16"/>
  <c r="W17" i="29" s="1"/>
  <c r="X79" i="16"/>
  <c r="X17" i="29" s="1"/>
  <c r="Y79" i="16"/>
  <c r="Y17" i="29" s="1"/>
  <c r="Z79" i="16"/>
  <c r="Z17" i="29" s="1"/>
  <c r="AA79" i="16"/>
  <c r="AA17" i="29" s="1"/>
  <c r="AB79" i="16"/>
  <c r="AB17" i="29" s="1"/>
  <c r="AC79" i="16"/>
  <c r="AC17" i="29" s="1"/>
  <c r="AD79" i="16"/>
  <c r="AD17" i="29" s="1"/>
  <c r="AE79" i="16"/>
  <c r="AE17" i="29" s="1"/>
  <c r="AF79" i="16"/>
  <c r="AF17" i="29" s="1"/>
  <c r="AG79" i="16"/>
  <c r="AG17" i="29" s="1"/>
  <c r="AH79" i="16"/>
  <c r="AH17" i="29" s="1"/>
  <c r="AI79" i="16"/>
  <c r="AI17" i="29" s="1"/>
  <c r="AJ79" i="16"/>
  <c r="AJ17" i="29" s="1"/>
  <c r="AK79" i="16"/>
  <c r="AK17" i="29" s="1"/>
  <c r="H79" i="16"/>
  <c r="H17" i="29" s="1"/>
  <c r="I77" i="16"/>
  <c r="I15" i="29" s="1"/>
  <c r="J77" i="16"/>
  <c r="J15" i="29" s="1"/>
  <c r="K77" i="16"/>
  <c r="K15" i="29" s="1"/>
  <c r="L77" i="16"/>
  <c r="L15" i="29" s="1"/>
  <c r="M77" i="16"/>
  <c r="M15" i="29" s="1"/>
  <c r="N77" i="16"/>
  <c r="N15" i="29" s="1"/>
  <c r="O77" i="16"/>
  <c r="O15" i="29" s="1"/>
  <c r="P77" i="16"/>
  <c r="P15" i="29" s="1"/>
  <c r="Q77" i="16"/>
  <c r="Q15" i="29" s="1"/>
  <c r="R77" i="16"/>
  <c r="R15" i="29" s="1"/>
  <c r="S77" i="16"/>
  <c r="S15" i="29" s="1"/>
  <c r="T77" i="16"/>
  <c r="T15" i="29" s="1"/>
  <c r="U77" i="16"/>
  <c r="U15" i="29" s="1"/>
  <c r="V77" i="16"/>
  <c r="V15" i="29" s="1"/>
  <c r="W77" i="16"/>
  <c r="W15" i="29" s="1"/>
  <c r="X77" i="16"/>
  <c r="X15" i="29" s="1"/>
  <c r="Y77" i="16"/>
  <c r="Y15" i="29" s="1"/>
  <c r="Z77" i="16"/>
  <c r="Z15" i="29" s="1"/>
  <c r="AA77" i="16"/>
  <c r="AA15" i="29" s="1"/>
  <c r="AB77" i="16"/>
  <c r="AB15" i="29" s="1"/>
  <c r="AC77" i="16"/>
  <c r="AC15" i="29" s="1"/>
  <c r="AD77" i="16"/>
  <c r="AD15" i="29" s="1"/>
  <c r="AE77" i="16"/>
  <c r="AE15" i="29" s="1"/>
  <c r="AF77" i="16"/>
  <c r="AF15" i="29" s="1"/>
  <c r="AG77" i="16"/>
  <c r="AG15" i="29" s="1"/>
  <c r="AH77" i="16"/>
  <c r="AH15" i="29" s="1"/>
  <c r="AI77" i="16"/>
  <c r="AI15" i="29" s="1"/>
  <c r="AJ77" i="16"/>
  <c r="AJ15" i="29" s="1"/>
  <c r="AK77" i="16"/>
  <c r="AK15" i="29" s="1"/>
  <c r="H77" i="16"/>
  <c r="H15" i="29" s="1"/>
  <c r="I75" i="16"/>
  <c r="I13" i="29" s="1"/>
  <c r="J75" i="16"/>
  <c r="J13" i="29" s="1"/>
  <c r="K75" i="16"/>
  <c r="K13" i="29" s="1"/>
  <c r="L75" i="16"/>
  <c r="L13" i="29" s="1"/>
  <c r="M75" i="16"/>
  <c r="M13" i="29" s="1"/>
  <c r="N75" i="16"/>
  <c r="N13" i="29" s="1"/>
  <c r="O75" i="16"/>
  <c r="O13" i="29" s="1"/>
  <c r="P75" i="16"/>
  <c r="P13" i="29" s="1"/>
  <c r="Q75" i="16"/>
  <c r="Q13" i="29" s="1"/>
  <c r="R75" i="16"/>
  <c r="R13" i="29" s="1"/>
  <c r="S75" i="16"/>
  <c r="S13" i="29" s="1"/>
  <c r="T75" i="16"/>
  <c r="T13" i="29" s="1"/>
  <c r="U75" i="16"/>
  <c r="U13" i="29" s="1"/>
  <c r="V75" i="16"/>
  <c r="V13" i="29" s="1"/>
  <c r="W75" i="16"/>
  <c r="W13" i="29" s="1"/>
  <c r="X75" i="16"/>
  <c r="X13" i="29" s="1"/>
  <c r="Y75" i="16"/>
  <c r="Y13" i="29" s="1"/>
  <c r="Z75" i="16"/>
  <c r="Z13" i="29" s="1"/>
  <c r="AA75" i="16"/>
  <c r="AA13" i="29" s="1"/>
  <c r="AB75" i="16"/>
  <c r="AB13" i="29" s="1"/>
  <c r="AC75" i="16"/>
  <c r="AC13" i="29" s="1"/>
  <c r="AD75" i="16"/>
  <c r="AD13" i="29" s="1"/>
  <c r="AE75" i="16"/>
  <c r="AE13" i="29" s="1"/>
  <c r="AF75" i="16"/>
  <c r="AF13" i="29" s="1"/>
  <c r="AG75" i="16"/>
  <c r="AG13" i="29" s="1"/>
  <c r="AH75" i="16"/>
  <c r="AH13" i="29" s="1"/>
  <c r="AI75" i="16"/>
  <c r="AI13" i="29" s="1"/>
  <c r="AJ75" i="16"/>
  <c r="AJ13" i="29" s="1"/>
  <c r="AK75" i="16"/>
  <c r="AK13" i="29" s="1"/>
  <c r="H75" i="16"/>
  <c r="H13" i="29" s="1"/>
  <c r="I73" i="16"/>
  <c r="I11" i="29" s="1"/>
  <c r="J73" i="16"/>
  <c r="J11" i="29" s="1"/>
  <c r="K73" i="16"/>
  <c r="K11" i="29" s="1"/>
  <c r="L73" i="16"/>
  <c r="L11" i="29" s="1"/>
  <c r="M73" i="16"/>
  <c r="M11" i="29" s="1"/>
  <c r="N73" i="16"/>
  <c r="N11" i="29" s="1"/>
  <c r="O73" i="16"/>
  <c r="O11" i="29" s="1"/>
  <c r="P73" i="16"/>
  <c r="P11" i="29" s="1"/>
  <c r="Q73" i="16"/>
  <c r="Q11" i="29" s="1"/>
  <c r="R73" i="16"/>
  <c r="R11" i="29" s="1"/>
  <c r="S73" i="16"/>
  <c r="S11" i="29" s="1"/>
  <c r="T73" i="16"/>
  <c r="T11" i="29" s="1"/>
  <c r="U73" i="16"/>
  <c r="U11" i="29" s="1"/>
  <c r="V73" i="16"/>
  <c r="V11" i="29" s="1"/>
  <c r="W73" i="16"/>
  <c r="W11" i="29" s="1"/>
  <c r="X73" i="16"/>
  <c r="X11" i="29" s="1"/>
  <c r="Y73" i="16"/>
  <c r="Y11" i="29" s="1"/>
  <c r="Z73" i="16"/>
  <c r="Z11" i="29" s="1"/>
  <c r="AA73" i="16"/>
  <c r="AA11" i="29" s="1"/>
  <c r="AB73" i="16"/>
  <c r="AB11" i="29" s="1"/>
  <c r="AC73" i="16"/>
  <c r="AC11" i="29" s="1"/>
  <c r="AD73" i="16"/>
  <c r="AD11" i="29" s="1"/>
  <c r="AE73" i="16"/>
  <c r="AE11" i="29" s="1"/>
  <c r="AF73" i="16"/>
  <c r="AF11" i="29" s="1"/>
  <c r="AG73" i="16"/>
  <c r="AG11" i="29" s="1"/>
  <c r="AH73" i="16"/>
  <c r="AH11" i="29" s="1"/>
  <c r="AI73" i="16"/>
  <c r="AI11" i="29" s="1"/>
  <c r="AJ73" i="16"/>
  <c r="AJ11" i="29" s="1"/>
  <c r="AK73" i="16"/>
  <c r="AK11" i="29" s="1"/>
  <c r="H73" i="16"/>
  <c r="H11" i="29" s="1"/>
  <c r="I78" i="16"/>
  <c r="I16" i="29" s="1"/>
  <c r="J78" i="16"/>
  <c r="J16" i="29" s="1"/>
  <c r="K78" i="16"/>
  <c r="K16" i="29" s="1"/>
  <c r="L78" i="16"/>
  <c r="L16" i="29" s="1"/>
  <c r="M78" i="16"/>
  <c r="M16" i="29" s="1"/>
  <c r="N78" i="16"/>
  <c r="N16" i="29" s="1"/>
  <c r="O78" i="16"/>
  <c r="O16" i="29" s="1"/>
  <c r="P78" i="16"/>
  <c r="P16" i="29" s="1"/>
  <c r="Q78" i="16"/>
  <c r="Q16" i="29" s="1"/>
  <c r="R78" i="16"/>
  <c r="R16" i="29" s="1"/>
  <c r="S78" i="16"/>
  <c r="S16" i="29" s="1"/>
  <c r="T78" i="16"/>
  <c r="T16" i="29" s="1"/>
  <c r="U78" i="16"/>
  <c r="U16" i="29" s="1"/>
  <c r="V78" i="16"/>
  <c r="V16" i="29" s="1"/>
  <c r="W78" i="16"/>
  <c r="W16" i="29" s="1"/>
  <c r="X78" i="16"/>
  <c r="X16" i="29" s="1"/>
  <c r="Y78" i="16"/>
  <c r="Y16" i="29" s="1"/>
  <c r="Z78" i="16"/>
  <c r="Z16" i="29" s="1"/>
  <c r="AA78" i="16"/>
  <c r="AA16" i="29" s="1"/>
  <c r="AB78" i="16"/>
  <c r="AB16" i="29" s="1"/>
  <c r="AC78" i="16"/>
  <c r="AC16" i="29" s="1"/>
  <c r="AD78" i="16"/>
  <c r="AD16" i="29" s="1"/>
  <c r="AE78" i="16"/>
  <c r="AE16" i="29" s="1"/>
  <c r="AF78" i="16"/>
  <c r="AF16" i="29" s="1"/>
  <c r="AG78" i="16"/>
  <c r="AG16" i="29" s="1"/>
  <c r="AH78" i="16"/>
  <c r="AH16" i="29" s="1"/>
  <c r="AI78" i="16"/>
  <c r="AI16" i="29" s="1"/>
  <c r="AJ78" i="16"/>
  <c r="AJ16" i="29" s="1"/>
  <c r="AK78" i="16"/>
  <c r="AK16" i="29" s="1"/>
  <c r="I76" i="16"/>
  <c r="I14" i="29" s="1"/>
  <c r="J76" i="16"/>
  <c r="J14" i="29" s="1"/>
  <c r="K76" i="16"/>
  <c r="K14" i="29" s="1"/>
  <c r="L76" i="16"/>
  <c r="L14" i="29" s="1"/>
  <c r="M76" i="16"/>
  <c r="M14" i="29" s="1"/>
  <c r="N76" i="16"/>
  <c r="N14" i="29" s="1"/>
  <c r="O76" i="16"/>
  <c r="O14" i="29" s="1"/>
  <c r="P76" i="16"/>
  <c r="P14" i="29" s="1"/>
  <c r="Q76" i="16"/>
  <c r="Q14" i="29" s="1"/>
  <c r="R76" i="16"/>
  <c r="R14" i="29" s="1"/>
  <c r="S76" i="16"/>
  <c r="S14" i="29" s="1"/>
  <c r="T76" i="16"/>
  <c r="T14" i="29" s="1"/>
  <c r="U76" i="16"/>
  <c r="U14" i="29" s="1"/>
  <c r="V76" i="16"/>
  <c r="V14" i="29" s="1"/>
  <c r="W76" i="16"/>
  <c r="W14" i="29" s="1"/>
  <c r="X76" i="16"/>
  <c r="X14" i="29" s="1"/>
  <c r="Y76" i="16"/>
  <c r="Y14" i="29" s="1"/>
  <c r="Z76" i="16"/>
  <c r="Z14" i="29" s="1"/>
  <c r="AA76" i="16"/>
  <c r="AA14" i="29" s="1"/>
  <c r="AB76" i="16"/>
  <c r="AB14" i="29" s="1"/>
  <c r="AC76" i="16"/>
  <c r="AC14" i="29" s="1"/>
  <c r="AD76" i="16"/>
  <c r="AD14" i="29" s="1"/>
  <c r="AE76" i="16"/>
  <c r="AE14" i="29" s="1"/>
  <c r="AF76" i="16"/>
  <c r="AF14" i="29" s="1"/>
  <c r="AG76" i="16"/>
  <c r="AG14" i="29" s="1"/>
  <c r="AH76" i="16"/>
  <c r="AH14" i="29" s="1"/>
  <c r="AI76" i="16"/>
  <c r="AI14" i="29" s="1"/>
  <c r="AJ76" i="16"/>
  <c r="AJ14" i="29" s="1"/>
  <c r="AK76" i="16"/>
  <c r="AK14" i="29" s="1"/>
  <c r="H76" i="16"/>
  <c r="H14" i="29" s="1"/>
  <c r="H78" i="16"/>
  <c r="H16" i="29" s="1"/>
  <c r="I74" i="16"/>
  <c r="I12" i="29" s="1"/>
  <c r="J74" i="16"/>
  <c r="J12" i="29" s="1"/>
  <c r="K74" i="16"/>
  <c r="K12" i="29" s="1"/>
  <c r="L74" i="16"/>
  <c r="L12" i="29" s="1"/>
  <c r="M74" i="16"/>
  <c r="M12" i="29" s="1"/>
  <c r="N74" i="16"/>
  <c r="N12" i="29" s="1"/>
  <c r="O74" i="16"/>
  <c r="O12" i="29" s="1"/>
  <c r="P74" i="16"/>
  <c r="P12" i="29" s="1"/>
  <c r="Q74" i="16"/>
  <c r="Q12" i="29" s="1"/>
  <c r="R74" i="16"/>
  <c r="R12" i="29" s="1"/>
  <c r="S74" i="16"/>
  <c r="S12" i="29" s="1"/>
  <c r="T74" i="16"/>
  <c r="T12" i="29" s="1"/>
  <c r="U74" i="16"/>
  <c r="U12" i="29" s="1"/>
  <c r="V74" i="16"/>
  <c r="V12" i="29" s="1"/>
  <c r="W74" i="16"/>
  <c r="W12" i="29" s="1"/>
  <c r="X74" i="16"/>
  <c r="X12" i="29" s="1"/>
  <c r="Y74" i="16"/>
  <c r="Y12" i="29" s="1"/>
  <c r="Z74" i="16"/>
  <c r="Z12" i="29" s="1"/>
  <c r="AA74" i="16"/>
  <c r="AA12" i="29" s="1"/>
  <c r="AB74" i="16"/>
  <c r="AB12" i="29" s="1"/>
  <c r="AC74" i="16"/>
  <c r="AC12" i="29" s="1"/>
  <c r="AD74" i="16"/>
  <c r="AD12" i="29" s="1"/>
  <c r="AE74" i="16"/>
  <c r="AE12" i="29" s="1"/>
  <c r="AF74" i="16"/>
  <c r="AF12" i="29" s="1"/>
  <c r="AG74" i="16"/>
  <c r="AG12" i="29" s="1"/>
  <c r="AH74" i="16"/>
  <c r="AH12" i="29" s="1"/>
  <c r="AI74" i="16"/>
  <c r="AI12" i="29" s="1"/>
  <c r="AJ74" i="16"/>
  <c r="AJ12" i="29" s="1"/>
  <c r="AK74" i="16"/>
  <c r="AK12" i="29" s="1"/>
  <c r="H74" i="16"/>
  <c r="H12" i="29" s="1"/>
  <c r="G66" i="16"/>
  <c r="AL68" i="16"/>
  <c r="AL75" i="16" s="1"/>
  <c r="AL13" i="29" s="1"/>
  <c r="I100" i="16"/>
  <c r="I38" i="29" s="1"/>
  <c r="J100" i="16"/>
  <c r="J38" i="29" s="1"/>
  <c r="K100" i="16"/>
  <c r="K38" i="29" s="1"/>
  <c r="L100" i="16"/>
  <c r="L38" i="29" s="1"/>
  <c r="M100" i="16"/>
  <c r="M38" i="29" s="1"/>
  <c r="N100" i="16"/>
  <c r="N38" i="29" s="1"/>
  <c r="O100" i="16"/>
  <c r="O38" i="29" s="1"/>
  <c r="P100" i="16"/>
  <c r="P38" i="29" s="1"/>
  <c r="Q100" i="16"/>
  <c r="Q38" i="29" s="1"/>
  <c r="R100" i="16"/>
  <c r="R38" i="29" s="1"/>
  <c r="S100" i="16"/>
  <c r="S38" i="29" s="1"/>
  <c r="T100" i="16"/>
  <c r="T38" i="29" s="1"/>
  <c r="U100" i="16"/>
  <c r="U38" i="29" s="1"/>
  <c r="V100" i="16"/>
  <c r="V38" i="29" s="1"/>
  <c r="W100" i="16"/>
  <c r="W38" i="29" s="1"/>
  <c r="X100" i="16"/>
  <c r="X38" i="29" s="1"/>
  <c r="Y100" i="16"/>
  <c r="Y38" i="29" s="1"/>
  <c r="Z100" i="16"/>
  <c r="Z38" i="29" s="1"/>
  <c r="AA100" i="16"/>
  <c r="AA38" i="29" s="1"/>
  <c r="AB100" i="16"/>
  <c r="AB38" i="29" s="1"/>
  <c r="AC100" i="16"/>
  <c r="AC38" i="29" s="1"/>
  <c r="AD100" i="16"/>
  <c r="AD38" i="29" s="1"/>
  <c r="AE100" i="16"/>
  <c r="AE38" i="29" s="1"/>
  <c r="AF100" i="16"/>
  <c r="AF38" i="29" s="1"/>
  <c r="AG100" i="16"/>
  <c r="AG38" i="29" s="1"/>
  <c r="AH100" i="16"/>
  <c r="AH38" i="29" s="1"/>
  <c r="AI100" i="16"/>
  <c r="AI38" i="29" s="1"/>
  <c r="AJ100" i="16"/>
  <c r="AJ38" i="29" s="1"/>
  <c r="AK100" i="16"/>
  <c r="AK38" i="29" s="1"/>
  <c r="H100" i="16"/>
  <c r="H38" i="29" s="1"/>
  <c r="I98" i="16"/>
  <c r="I36" i="29" s="1"/>
  <c r="I40" i="29" s="1"/>
  <c r="J98" i="16"/>
  <c r="J36" i="29" s="1"/>
  <c r="J40" i="29" s="1"/>
  <c r="K98" i="16"/>
  <c r="K36" i="29" s="1"/>
  <c r="K40" i="29" s="1"/>
  <c r="L98" i="16"/>
  <c r="L36" i="29" s="1"/>
  <c r="L40" i="29" s="1"/>
  <c r="M98" i="16"/>
  <c r="M36" i="29" s="1"/>
  <c r="M40" i="29" s="1"/>
  <c r="N98" i="16"/>
  <c r="N36" i="29" s="1"/>
  <c r="N40" i="29" s="1"/>
  <c r="O98" i="16"/>
  <c r="O36" i="29" s="1"/>
  <c r="O40" i="29" s="1"/>
  <c r="P98" i="16"/>
  <c r="P36" i="29" s="1"/>
  <c r="P40" i="29" s="1"/>
  <c r="Q98" i="16"/>
  <c r="Q36" i="29" s="1"/>
  <c r="Q40" i="29" s="1"/>
  <c r="R98" i="16"/>
  <c r="R36" i="29" s="1"/>
  <c r="R40" i="29" s="1"/>
  <c r="S98" i="16"/>
  <c r="S36" i="29" s="1"/>
  <c r="S40" i="29" s="1"/>
  <c r="T98" i="16"/>
  <c r="T36" i="29" s="1"/>
  <c r="T40" i="29" s="1"/>
  <c r="U98" i="16"/>
  <c r="U36" i="29" s="1"/>
  <c r="U40" i="29" s="1"/>
  <c r="V98" i="16"/>
  <c r="V36" i="29" s="1"/>
  <c r="V40" i="29" s="1"/>
  <c r="W98" i="16"/>
  <c r="W36" i="29" s="1"/>
  <c r="W40" i="29" s="1"/>
  <c r="X98" i="16"/>
  <c r="X36" i="29" s="1"/>
  <c r="X40" i="29" s="1"/>
  <c r="Y98" i="16"/>
  <c r="Y36" i="29" s="1"/>
  <c r="Y40" i="29" s="1"/>
  <c r="Z98" i="16"/>
  <c r="Z36" i="29" s="1"/>
  <c r="Z40" i="29" s="1"/>
  <c r="AA98" i="16"/>
  <c r="AA36" i="29" s="1"/>
  <c r="AA40" i="29" s="1"/>
  <c r="AB98" i="16"/>
  <c r="AB36" i="29" s="1"/>
  <c r="AB40" i="29" s="1"/>
  <c r="AC98" i="16"/>
  <c r="AC36" i="29" s="1"/>
  <c r="AC40" i="29" s="1"/>
  <c r="AD98" i="16"/>
  <c r="AD36" i="29" s="1"/>
  <c r="AD40" i="29" s="1"/>
  <c r="AE98" i="16"/>
  <c r="AE36" i="29" s="1"/>
  <c r="AE40" i="29" s="1"/>
  <c r="AF98" i="16"/>
  <c r="AF36" i="29" s="1"/>
  <c r="AF40" i="29" s="1"/>
  <c r="AG98" i="16"/>
  <c r="AG36" i="29" s="1"/>
  <c r="AG40" i="29" s="1"/>
  <c r="AH98" i="16"/>
  <c r="AH36" i="29" s="1"/>
  <c r="AH40" i="29" s="1"/>
  <c r="AI98" i="16"/>
  <c r="AI36" i="29" s="1"/>
  <c r="AI40" i="29" s="1"/>
  <c r="AJ98" i="16"/>
  <c r="AJ36" i="29" s="1"/>
  <c r="AJ40" i="29" s="1"/>
  <c r="AK98" i="16"/>
  <c r="AK36" i="29" s="1"/>
  <c r="AK40" i="29" s="1"/>
  <c r="H98" i="16"/>
  <c r="H36" i="29" s="1"/>
  <c r="H40" i="29" s="1"/>
  <c r="I72" i="16"/>
  <c r="I10" i="29" s="1"/>
  <c r="J72" i="16"/>
  <c r="J10" i="29" s="1"/>
  <c r="K72" i="16"/>
  <c r="K10" i="29" s="1"/>
  <c r="L72" i="16"/>
  <c r="L10" i="29" s="1"/>
  <c r="M72" i="16"/>
  <c r="M10" i="29" s="1"/>
  <c r="N72" i="16"/>
  <c r="N10" i="29" s="1"/>
  <c r="O72" i="16"/>
  <c r="O10" i="29" s="1"/>
  <c r="P72" i="16"/>
  <c r="P10" i="29" s="1"/>
  <c r="Q72" i="16"/>
  <c r="Q10" i="29" s="1"/>
  <c r="R72" i="16"/>
  <c r="R10" i="29" s="1"/>
  <c r="S72" i="16"/>
  <c r="S10" i="29" s="1"/>
  <c r="T72" i="16"/>
  <c r="T10" i="29" s="1"/>
  <c r="U72" i="16"/>
  <c r="U10" i="29" s="1"/>
  <c r="V72" i="16"/>
  <c r="V10" i="29" s="1"/>
  <c r="W72" i="16"/>
  <c r="W10" i="29" s="1"/>
  <c r="X72" i="16"/>
  <c r="X10" i="29" s="1"/>
  <c r="Y72" i="16"/>
  <c r="Y10" i="29" s="1"/>
  <c r="Z72" i="16"/>
  <c r="Z10" i="29" s="1"/>
  <c r="AA72" i="16"/>
  <c r="AA10" i="29" s="1"/>
  <c r="AB72" i="16"/>
  <c r="AB10" i="29" s="1"/>
  <c r="AC72" i="16"/>
  <c r="AC10" i="29" s="1"/>
  <c r="AD72" i="16"/>
  <c r="AD10" i="29" s="1"/>
  <c r="AE72" i="16"/>
  <c r="AE10" i="29" s="1"/>
  <c r="AF72" i="16"/>
  <c r="AF10" i="29" s="1"/>
  <c r="AG72" i="16"/>
  <c r="AG10" i="29" s="1"/>
  <c r="AH72" i="16"/>
  <c r="AH10" i="29" s="1"/>
  <c r="AI72" i="16"/>
  <c r="AI10" i="29" s="1"/>
  <c r="AJ72" i="16"/>
  <c r="AJ10" i="29" s="1"/>
  <c r="AK72" i="16"/>
  <c r="AK10" i="29" s="1"/>
  <c r="H72" i="16"/>
  <c r="H10" i="29" s="1"/>
  <c r="AL70" i="16"/>
  <c r="I82" i="16"/>
  <c r="I20" i="29" s="1"/>
  <c r="J82" i="16"/>
  <c r="J20" i="29" s="1"/>
  <c r="K82" i="16"/>
  <c r="K20" i="29" s="1"/>
  <c r="L82" i="16"/>
  <c r="L20" i="29" s="1"/>
  <c r="M82" i="16"/>
  <c r="M20" i="29" s="1"/>
  <c r="N82" i="16"/>
  <c r="N20" i="29" s="1"/>
  <c r="O82" i="16"/>
  <c r="O20" i="29" s="1"/>
  <c r="P82" i="16"/>
  <c r="P20" i="29" s="1"/>
  <c r="Q82" i="16"/>
  <c r="Q20" i="29" s="1"/>
  <c r="R82" i="16"/>
  <c r="R20" i="29" s="1"/>
  <c r="S82" i="16"/>
  <c r="S20" i="29" s="1"/>
  <c r="T82" i="16"/>
  <c r="T20" i="29" s="1"/>
  <c r="U82" i="16"/>
  <c r="U20" i="29" s="1"/>
  <c r="V82" i="16"/>
  <c r="V20" i="29" s="1"/>
  <c r="W82" i="16"/>
  <c r="W20" i="29" s="1"/>
  <c r="X82" i="16"/>
  <c r="X20" i="29" s="1"/>
  <c r="Y82" i="16"/>
  <c r="Y20" i="29" s="1"/>
  <c r="Z82" i="16"/>
  <c r="Z20" i="29" s="1"/>
  <c r="AA82" i="16"/>
  <c r="AA20" i="29" s="1"/>
  <c r="AB82" i="16"/>
  <c r="AB20" i="29" s="1"/>
  <c r="AC82" i="16"/>
  <c r="AC20" i="29" s="1"/>
  <c r="AD82" i="16"/>
  <c r="AD20" i="29" s="1"/>
  <c r="AE82" i="16"/>
  <c r="AE20" i="29" s="1"/>
  <c r="AF82" i="16"/>
  <c r="AF20" i="29" s="1"/>
  <c r="AG82" i="16"/>
  <c r="AG20" i="29" s="1"/>
  <c r="AH82" i="16"/>
  <c r="AH20" i="29" s="1"/>
  <c r="AI82" i="16"/>
  <c r="AI20" i="29" s="1"/>
  <c r="AJ82" i="16"/>
  <c r="AJ20" i="29" s="1"/>
  <c r="AK82" i="16"/>
  <c r="AK20" i="29" s="1"/>
  <c r="AL82" i="16"/>
  <c r="AL20" i="29" s="1"/>
  <c r="I84" i="16"/>
  <c r="I22" i="29" s="1"/>
  <c r="J84" i="16"/>
  <c r="J22" i="29" s="1"/>
  <c r="K84" i="16"/>
  <c r="K22" i="29" s="1"/>
  <c r="L84" i="16"/>
  <c r="L22" i="29" s="1"/>
  <c r="M84" i="16"/>
  <c r="M22" i="29" s="1"/>
  <c r="N84" i="16"/>
  <c r="N22" i="29" s="1"/>
  <c r="O84" i="16"/>
  <c r="O22" i="29" s="1"/>
  <c r="P84" i="16"/>
  <c r="P22" i="29" s="1"/>
  <c r="Q84" i="16"/>
  <c r="Q22" i="29" s="1"/>
  <c r="R84" i="16"/>
  <c r="R22" i="29" s="1"/>
  <c r="S84" i="16"/>
  <c r="S22" i="29" s="1"/>
  <c r="T84" i="16"/>
  <c r="T22" i="29" s="1"/>
  <c r="U84" i="16"/>
  <c r="U22" i="29" s="1"/>
  <c r="V84" i="16"/>
  <c r="V22" i="29" s="1"/>
  <c r="W84" i="16"/>
  <c r="W22" i="29" s="1"/>
  <c r="X84" i="16"/>
  <c r="X22" i="29" s="1"/>
  <c r="Y84" i="16"/>
  <c r="Y22" i="29" s="1"/>
  <c r="Z84" i="16"/>
  <c r="Z22" i="29" s="1"/>
  <c r="AA84" i="16"/>
  <c r="AA22" i="29" s="1"/>
  <c r="AB84" i="16"/>
  <c r="AB22" i="29" s="1"/>
  <c r="AC84" i="16"/>
  <c r="AC22" i="29" s="1"/>
  <c r="AD84" i="16"/>
  <c r="AD22" i="29" s="1"/>
  <c r="AE84" i="16"/>
  <c r="AE22" i="29" s="1"/>
  <c r="AF84" i="16"/>
  <c r="AF22" i="29" s="1"/>
  <c r="AG84" i="16"/>
  <c r="AG22" i="29" s="1"/>
  <c r="AH84" i="16"/>
  <c r="AH22" i="29" s="1"/>
  <c r="AI84" i="16"/>
  <c r="AI22" i="29" s="1"/>
  <c r="AJ84" i="16"/>
  <c r="AJ22" i="29" s="1"/>
  <c r="AK84" i="16"/>
  <c r="AK22" i="29" s="1"/>
  <c r="AL84" i="16"/>
  <c r="AL22" i="29" s="1"/>
  <c r="I86" i="16"/>
  <c r="I24" i="29" s="1"/>
  <c r="J86" i="16"/>
  <c r="J24" i="29" s="1"/>
  <c r="K86" i="16"/>
  <c r="K24" i="29" s="1"/>
  <c r="L86" i="16"/>
  <c r="L24" i="29" s="1"/>
  <c r="M86" i="16"/>
  <c r="M24" i="29" s="1"/>
  <c r="N86" i="16"/>
  <c r="N24" i="29" s="1"/>
  <c r="O86" i="16"/>
  <c r="O24" i="29" s="1"/>
  <c r="P86" i="16"/>
  <c r="P24" i="29" s="1"/>
  <c r="Q86" i="16"/>
  <c r="Q24" i="29" s="1"/>
  <c r="R86" i="16"/>
  <c r="R24" i="29" s="1"/>
  <c r="S86" i="16"/>
  <c r="S24" i="29" s="1"/>
  <c r="T86" i="16"/>
  <c r="T24" i="29" s="1"/>
  <c r="U86" i="16"/>
  <c r="U24" i="29" s="1"/>
  <c r="V86" i="16"/>
  <c r="V24" i="29" s="1"/>
  <c r="W86" i="16"/>
  <c r="W24" i="29" s="1"/>
  <c r="X86" i="16"/>
  <c r="X24" i="29" s="1"/>
  <c r="Y86" i="16"/>
  <c r="Y24" i="29" s="1"/>
  <c r="Z86" i="16"/>
  <c r="Z24" i="29" s="1"/>
  <c r="AA86" i="16"/>
  <c r="AA24" i="29" s="1"/>
  <c r="AB86" i="16"/>
  <c r="AB24" i="29" s="1"/>
  <c r="AC86" i="16"/>
  <c r="AC24" i="29" s="1"/>
  <c r="AD86" i="16"/>
  <c r="AD24" i="29" s="1"/>
  <c r="AE86" i="16"/>
  <c r="AE24" i="29" s="1"/>
  <c r="AF86" i="16"/>
  <c r="AF24" i="29" s="1"/>
  <c r="AG86" i="16"/>
  <c r="AG24" i="29" s="1"/>
  <c r="AH86" i="16"/>
  <c r="AH24" i="29" s="1"/>
  <c r="AI86" i="16"/>
  <c r="AI24" i="29" s="1"/>
  <c r="AJ86" i="16"/>
  <c r="AJ24" i="29" s="1"/>
  <c r="AK86" i="16"/>
  <c r="AK24" i="29" s="1"/>
  <c r="AL86" i="16"/>
  <c r="AL24" i="29" s="1"/>
  <c r="H94" i="16"/>
  <c r="H32" i="29" s="1"/>
  <c r="H92" i="16"/>
  <c r="H30" i="29" s="1"/>
  <c r="H90" i="16"/>
  <c r="H28" i="29" s="1"/>
  <c r="H88" i="16"/>
  <c r="H26" i="29" s="1"/>
  <c r="H86" i="16"/>
  <c r="H24" i="29" s="1"/>
  <c r="H84" i="16"/>
  <c r="H22" i="29" s="1"/>
  <c r="G100" i="16"/>
  <c r="G98" i="16"/>
  <c r="G96" i="16"/>
  <c r="G94" i="16"/>
  <c r="G92" i="16"/>
  <c r="G90" i="16"/>
  <c r="G88" i="16"/>
  <c r="G86" i="16"/>
  <c r="G84" i="16"/>
  <c r="G82" i="16"/>
  <c r="G80" i="16"/>
  <c r="G78" i="16"/>
  <c r="G76" i="16"/>
  <c r="G74" i="16"/>
  <c r="I68" i="16"/>
  <c r="J68" i="16"/>
  <c r="K68" i="16"/>
  <c r="L68" i="16"/>
  <c r="M68" i="16"/>
  <c r="N68" i="16"/>
  <c r="O68" i="16"/>
  <c r="P68" i="16"/>
  <c r="Q68" i="16"/>
  <c r="R68" i="16"/>
  <c r="S68" i="16"/>
  <c r="T68" i="16"/>
  <c r="U68" i="16"/>
  <c r="V68" i="16"/>
  <c r="W68" i="16"/>
  <c r="X68" i="16"/>
  <c r="Y68" i="16"/>
  <c r="Z68" i="16"/>
  <c r="AA68" i="16"/>
  <c r="AB68" i="16"/>
  <c r="AC68" i="16"/>
  <c r="AD68" i="16"/>
  <c r="AE68" i="16"/>
  <c r="AF68" i="16"/>
  <c r="AG68" i="16"/>
  <c r="AH68" i="16"/>
  <c r="AI68" i="16"/>
  <c r="AJ68" i="16"/>
  <c r="AK68" i="16"/>
  <c r="I70" i="16"/>
  <c r="J70" i="16"/>
  <c r="K70" i="16"/>
  <c r="L70" i="16"/>
  <c r="M70" i="16"/>
  <c r="N70" i="16"/>
  <c r="O70" i="16"/>
  <c r="P70" i="16"/>
  <c r="Q70" i="16"/>
  <c r="R70" i="16"/>
  <c r="S70" i="16"/>
  <c r="T70" i="16"/>
  <c r="U70" i="16"/>
  <c r="V70" i="16"/>
  <c r="W70" i="16"/>
  <c r="X70" i="16"/>
  <c r="Y70" i="16"/>
  <c r="Z70" i="16"/>
  <c r="AA70" i="16"/>
  <c r="AB70" i="16"/>
  <c r="AC70" i="16"/>
  <c r="AD70" i="16"/>
  <c r="AE70" i="16"/>
  <c r="AF70" i="16"/>
  <c r="AG70" i="16"/>
  <c r="AH70" i="16"/>
  <c r="AI70" i="16"/>
  <c r="AJ70" i="16"/>
  <c r="AK70" i="16"/>
  <c r="G72" i="16"/>
  <c r="H70" i="16"/>
  <c r="H68" i="16"/>
  <c r="G70" i="16"/>
  <c r="G68" i="16"/>
  <c r="AN39" i="16"/>
  <c r="AN38" i="16"/>
  <c r="AN37" i="16"/>
  <c r="AN36" i="16"/>
  <c r="AN35" i="16"/>
  <c r="AN34" i="16"/>
  <c r="AN33" i="16"/>
  <c r="AN32" i="16"/>
  <c r="AN31" i="16"/>
  <c r="AN30" i="16"/>
  <c r="AN29" i="16"/>
  <c r="AN28" i="16"/>
  <c r="AL99" i="16" l="1"/>
  <c r="AL37" i="29" s="1"/>
  <c r="AL41" i="29" s="1"/>
  <c r="AL101" i="16"/>
  <c r="AL39" i="29" s="1"/>
  <c r="AL76" i="16"/>
  <c r="AL14" i="29" s="1"/>
  <c r="AL73" i="16"/>
  <c r="AL11" i="29" s="1"/>
  <c r="AL78" i="16"/>
  <c r="AL16" i="29" s="1"/>
  <c r="AL79" i="16"/>
  <c r="AL17" i="29" s="1"/>
  <c r="AL77" i="16"/>
  <c r="AL15" i="29" s="1"/>
  <c r="AL74" i="16"/>
  <c r="AL12" i="29" s="1"/>
  <c r="AL72" i="16"/>
  <c r="AL10" i="29" s="1"/>
  <c r="AL98" i="16"/>
  <c r="AL36" i="29" s="1"/>
  <c r="AL40" i="29" s="1"/>
  <c r="AL100" i="16"/>
  <c r="AL38" i="29" s="1"/>
  <c r="C45" i="24"/>
  <c r="G58" i="16" l="1"/>
  <c r="AL58" i="16" s="1"/>
  <c r="AH58" i="16" l="1"/>
  <c r="AI58" i="16"/>
  <c r="O58" i="16"/>
  <c r="AG58" i="16"/>
  <c r="P58" i="16"/>
  <c r="V58" i="16"/>
  <c r="Q58" i="16"/>
  <c r="AC58" i="16"/>
  <c r="L58" i="16"/>
  <c r="R58" i="16"/>
  <c r="X58" i="16"/>
  <c r="AD58" i="16"/>
  <c r="AJ58" i="16"/>
  <c r="M58" i="16"/>
  <c r="S58" i="16"/>
  <c r="Y58" i="16"/>
  <c r="AE58" i="16"/>
  <c r="AK58" i="16"/>
  <c r="I58" i="16"/>
  <c r="U58" i="16"/>
  <c r="AA58" i="16"/>
  <c r="J58" i="16"/>
  <c r="AB58" i="16"/>
  <c r="K58" i="16"/>
  <c r="W58" i="16"/>
  <c r="H58" i="16"/>
  <c r="N58" i="16"/>
  <c r="T58" i="16"/>
  <c r="Z58" i="16"/>
  <c r="AF58" i="16"/>
  <c r="BM11" i="16"/>
  <c r="BM28" i="16" s="1"/>
  <c r="BM39" i="16"/>
  <c r="BM38" i="16"/>
  <c r="BM37" i="16"/>
  <c r="BM36" i="16"/>
  <c r="BM35" i="16"/>
  <c r="BM34" i="16"/>
  <c r="BM33" i="16"/>
  <c r="BM32" i="16"/>
  <c r="BM31" i="16"/>
  <c r="BM30" i="16"/>
  <c r="BM29" i="16"/>
  <c r="K8" i="16"/>
  <c r="J8" i="16"/>
  <c r="I8" i="16"/>
  <c r="H8" i="16"/>
  <c r="M8" i="16"/>
  <c r="BM20" i="16" l="1"/>
  <c r="BM13" i="16"/>
  <c r="BM27" i="16"/>
  <c r="BM10" i="16"/>
  <c r="BM14" i="16"/>
  <c r="BM21" i="16"/>
  <c r="BM15" i="16"/>
  <c r="BM22" i="16"/>
  <c r="BM16" i="16"/>
  <c r="BM24" i="16"/>
  <c r="BM18" i="16"/>
  <c r="BM25" i="16"/>
  <c r="BM12" i="16"/>
  <c r="BM19" i="16"/>
  <c r="BM26" i="16"/>
  <c r="BM17" i="16"/>
  <c r="BM23" i="16"/>
  <c r="AM11" i="16"/>
  <c r="AM9" i="26" l="1"/>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39" i="26"/>
  <c r="AP39" i="26" s="1"/>
  <c r="G38" i="26"/>
  <c r="AP38" i="26" s="1"/>
  <c r="G37" i="26"/>
  <c r="AP37" i="26" s="1"/>
  <c r="G36" i="26"/>
  <c r="G35" i="26"/>
  <c r="AP35" i="26" s="1"/>
  <c r="G34" i="26"/>
  <c r="AP34" i="26" s="1"/>
  <c r="G33" i="26"/>
  <c r="AP33" i="26" s="1"/>
  <c r="G32" i="26"/>
  <c r="AP32" i="26" s="1"/>
  <c r="G31" i="26"/>
  <c r="AP31" i="26" s="1"/>
  <c r="G30" i="26"/>
  <c r="AP30" i="26" s="1"/>
  <c r="G29" i="26"/>
  <c r="AP29" i="26" s="1"/>
  <c r="G28" i="26"/>
  <c r="AP28" i="26" s="1"/>
  <c r="G27" i="26"/>
  <c r="AP27" i="26" s="1"/>
  <c r="G26" i="26"/>
  <c r="AP26" i="26" s="1"/>
  <c r="G25" i="26"/>
  <c r="AP25" i="26" s="1"/>
  <c r="G24" i="26"/>
  <c r="AP24" i="26" s="1"/>
  <c r="G23" i="26"/>
  <c r="AP23" i="26" s="1"/>
  <c r="G22" i="26"/>
  <c r="AP22" i="26" s="1"/>
  <c r="G21" i="26"/>
  <c r="AP21" i="26" s="1"/>
  <c r="G20" i="26"/>
  <c r="AP20" i="26" s="1"/>
  <c r="G19" i="26"/>
  <c r="AP19" i="26" s="1"/>
  <c r="G18" i="26"/>
  <c r="AP18" i="26" s="1"/>
  <c r="G17" i="26"/>
  <c r="AP17" i="26" s="1"/>
  <c r="G16" i="26"/>
  <c r="AP16" i="26" s="1"/>
  <c r="G15" i="26"/>
  <c r="AP15" i="26" s="1"/>
  <c r="G14" i="26"/>
  <c r="AP14" i="26" s="1"/>
  <c r="G13" i="26"/>
  <c r="AP13" i="26" s="1"/>
  <c r="G12" i="26"/>
  <c r="AP12" i="26" s="1"/>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AL16" i="26"/>
  <c r="AK16" i="26"/>
  <c r="AJ16" i="26"/>
  <c r="AI16" i="26"/>
  <c r="AH16" i="26"/>
  <c r="AG16" i="26"/>
  <c r="AF16" i="26"/>
  <c r="AE16" i="26"/>
  <c r="AD16" i="26"/>
  <c r="AC16" i="26"/>
  <c r="AB16" i="26"/>
  <c r="AA16" i="26"/>
  <c r="Z16" i="26"/>
  <c r="Y16" i="26"/>
  <c r="X16" i="26"/>
  <c r="W16" i="26"/>
  <c r="V16" i="26"/>
  <c r="U16" i="26"/>
  <c r="T16" i="26"/>
  <c r="S16" i="26"/>
  <c r="R16" i="26"/>
  <c r="Q16" i="26"/>
  <c r="P16" i="26"/>
  <c r="O16" i="26"/>
  <c r="N16" i="26"/>
  <c r="M16" i="26"/>
  <c r="L16" i="26"/>
  <c r="K16" i="26"/>
  <c r="J16" i="26"/>
  <c r="I16" i="26"/>
  <c r="H16"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I7" i="26"/>
  <c r="K7" i="26"/>
  <c r="J7" i="26"/>
  <c r="G7" i="26"/>
  <c r="AP36" i="26"/>
  <c r="AU39" i="16"/>
  <c r="AU38" i="16"/>
  <c r="AU37" i="16"/>
  <c r="AU36" i="16"/>
  <c r="AU35" i="16"/>
  <c r="AU34" i="16"/>
  <c r="AU33" i="16"/>
  <c r="AU32" i="16"/>
  <c r="AU31" i="16"/>
  <c r="AU30" i="16"/>
  <c r="AU29" i="16"/>
  <c r="AU11" i="16"/>
  <c r="AU10" i="16" s="1"/>
  <c r="AU28" i="16" l="1"/>
  <c r="AU16" i="16"/>
  <c r="AU21" i="16"/>
  <c r="AU20" i="16"/>
  <c r="AU26" i="16"/>
  <c r="AU14" i="16"/>
  <c r="AU15" i="16"/>
  <c r="AU27" i="16"/>
  <c r="AU22" i="16"/>
  <c r="AU17" i="16"/>
  <c r="AU12" i="16"/>
  <c r="AU18" i="16"/>
  <c r="AU24" i="16"/>
  <c r="AU13" i="16"/>
  <c r="AU19" i="16"/>
  <c r="AU25" i="16"/>
  <c r="AU23" i="16"/>
  <c r="R8" i="16"/>
  <c r="E16" i="22" l="1"/>
  <c r="E18" i="22"/>
  <c r="W5" i="23" l="1"/>
  <c r="AM71" i="18" l="1"/>
  <c r="AM69" i="18"/>
  <c r="AM67" i="18"/>
  <c r="AM65" i="18"/>
  <c r="AM63" i="18"/>
  <c r="AM61" i="18"/>
  <c r="AM59" i="18"/>
  <c r="AM57" i="18"/>
  <c r="AM55" i="18"/>
  <c r="AM53" i="18"/>
  <c r="AM51" i="18"/>
  <c r="AM49" i="18"/>
  <c r="AM47" i="18"/>
  <c r="AM45" i="18"/>
  <c r="AM43" i="18"/>
  <c r="AM41" i="18"/>
  <c r="AM39" i="18"/>
  <c r="AM37" i="18"/>
  <c r="AM35" i="18"/>
  <c r="AM33" i="18"/>
  <c r="AM31" i="18"/>
  <c r="AM29" i="18"/>
  <c r="AM27" i="18"/>
  <c r="AM25" i="18"/>
  <c r="AM23" i="18"/>
  <c r="AM21" i="18"/>
  <c r="AM19" i="18"/>
  <c r="AM17" i="18"/>
  <c r="AM15" i="18"/>
  <c r="AM13" i="18"/>
  <c r="L8" i="16" l="1"/>
  <c r="C5" i="23" l="1"/>
  <c r="BH39" i="16" l="1"/>
  <c r="BG39" i="16"/>
  <c r="BH38" i="16"/>
  <c r="BG38" i="16"/>
  <c r="BH37" i="16"/>
  <c r="BG37" i="16"/>
  <c r="BH11" i="16"/>
  <c r="BG11" i="16"/>
  <c r="BH26" i="16" l="1"/>
  <c r="BH10" i="16"/>
  <c r="BG12" i="16"/>
  <c r="BG10" i="16"/>
  <c r="BH32" i="16"/>
  <c r="BH28" i="16"/>
  <c r="BH34" i="16"/>
  <c r="BG29" i="16"/>
  <c r="BG35" i="16"/>
  <c r="BH29" i="16"/>
  <c r="BH35" i="16"/>
  <c r="BH31" i="16"/>
  <c r="BG32" i="16"/>
  <c r="BH30" i="16"/>
  <c r="BH33" i="16"/>
  <c r="BH36" i="16"/>
  <c r="BG28" i="16"/>
  <c r="BG31" i="16"/>
  <c r="BG34" i="16"/>
  <c r="BG30" i="16"/>
  <c r="BG33" i="16"/>
  <c r="BG36" i="16"/>
  <c r="BG16" i="16"/>
  <c r="BG25" i="16"/>
  <c r="BG22" i="16"/>
  <c r="BG13" i="16"/>
  <c r="BG19" i="16"/>
  <c r="BH21" i="16"/>
  <c r="BH15" i="16"/>
  <c r="BH24" i="16"/>
  <c r="BH18" i="16"/>
  <c r="BH27" i="16"/>
  <c r="BH12" i="16"/>
  <c r="BG15" i="16"/>
  <c r="BG18" i="16"/>
  <c r="BG21" i="16"/>
  <c r="BG24" i="16"/>
  <c r="BG27" i="16"/>
  <c r="BH13" i="16"/>
  <c r="BH16" i="16"/>
  <c r="BH19" i="16"/>
  <c r="BH22" i="16"/>
  <c r="BH25" i="16"/>
  <c r="BG14" i="16"/>
  <c r="BG17" i="16"/>
  <c r="BG20" i="16"/>
  <c r="BG23" i="16"/>
  <c r="BG26" i="16"/>
  <c r="BH14" i="16"/>
  <c r="BH17" i="16"/>
  <c r="BH20" i="16"/>
  <c r="BH23" i="16"/>
  <c r="O8" i="16"/>
  <c r="N8" i="16"/>
  <c r="AL9" i="18" l="1"/>
  <c r="AK9" i="18"/>
  <c r="AJ9" i="18"/>
  <c r="AI9" i="18"/>
  <c r="AH9" i="18"/>
  <c r="AG9" i="18"/>
  <c r="AF9" i="18"/>
  <c r="AE9" i="18"/>
  <c r="AD9" i="18"/>
  <c r="AC9" i="18"/>
  <c r="AB9" i="18"/>
  <c r="AA9" i="18"/>
  <c r="Z9" i="18"/>
  <c r="Y9" i="18"/>
  <c r="X9" i="18"/>
  <c r="W9" i="18"/>
  <c r="V9" i="18"/>
  <c r="U9" i="18"/>
  <c r="T9" i="18"/>
  <c r="S9" i="18"/>
  <c r="R9" i="18"/>
  <c r="Q9" i="18"/>
  <c r="P9" i="18"/>
  <c r="O9" i="18"/>
  <c r="N9" i="18"/>
  <c r="M9" i="18"/>
  <c r="L9" i="18"/>
  <c r="K9" i="18"/>
  <c r="J9" i="18"/>
  <c r="I9" i="18"/>
  <c r="H9" i="18"/>
  <c r="AP7" i="23" l="1"/>
  <c r="AO7" i="23"/>
  <c r="AN7" i="23"/>
  <c r="AC8" i="16"/>
  <c r="AD8" i="16"/>
  <c r="AE8" i="16"/>
  <c r="AF8" i="16"/>
  <c r="AG8" i="16"/>
  <c r="G6" i="16" l="1"/>
  <c r="G6" i="26" s="1"/>
  <c r="BL39" i="16" l="1"/>
  <c r="BL38" i="16"/>
  <c r="BL37" i="16"/>
  <c r="BL11" i="16"/>
  <c r="BL10" i="16" s="1"/>
  <c r="BC39" i="16"/>
  <c r="BC38" i="16"/>
  <c r="BC37" i="16"/>
  <c r="P8" i="16"/>
  <c r="BC11" i="16"/>
  <c r="Q8" i="16"/>
  <c r="S8" i="16"/>
  <c r="G42" i="16"/>
  <c r="AK42" i="16" s="1"/>
  <c r="G41" i="16"/>
  <c r="AK41" i="16" s="1"/>
  <c r="BC25" i="16" l="1"/>
  <c r="BC10" i="16"/>
  <c r="BC29" i="16"/>
  <c r="BC36" i="16"/>
  <c r="BC30" i="16"/>
  <c r="BC31" i="16"/>
  <c r="BC32" i="16"/>
  <c r="BC34" i="16"/>
  <c r="BC35" i="16"/>
  <c r="BL35" i="16"/>
  <c r="BL36" i="16"/>
  <c r="BL31" i="16"/>
  <c r="BL29" i="16"/>
  <c r="BL30" i="16"/>
  <c r="BL32" i="16"/>
  <c r="BC33" i="16"/>
  <c r="BL33" i="16"/>
  <c r="BL34" i="16"/>
  <c r="BC28" i="16"/>
  <c r="BL28" i="16"/>
  <c r="BL17" i="16"/>
  <c r="BL23" i="16"/>
  <c r="BC17" i="16"/>
  <c r="BC26" i="16"/>
  <c r="BL12" i="16"/>
  <c r="BL18" i="16"/>
  <c r="BL24" i="16"/>
  <c r="BC15" i="16"/>
  <c r="BC24" i="16"/>
  <c r="BC18" i="16"/>
  <c r="BC27" i="16"/>
  <c r="BL13" i="16"/>
  <c r="BL19" i="16"/>
  <c r="BL25" i="16"/>
  <c r="BC20" i="16"/>
  <c r="BL14" i="16"/>
  <c r="BL20" i="16"/>
  <c r="BL26" i="16"/>
  <c r="BC12" i="16"/>
  <c r="BC21" i="16"/>
  <c r="BL15" i="16"/>
  <c r="BL21" i="16"/>
  <c r="BL27" i="16"/>
  <c r="BC14" i="16"/>
  <c r="BC23" i="16"/>
  <c r="BL16" i="16"/>
  <c r="BL22" i="16"/>
  <c r="BC16" i="16"/>
  <c r="BC22" i="16"/>
  <c r="BC13" i="16"/>
  <c r="BC19" i="16"/>
  <c r="O41" i="16"/>
  <c r="AA41" i="16"/>
  <c r="H41" i="16"/>
  <c r="T41" i="16"/>
  <c r="AF41" i="16"/>
  <c r="U41" i="16"/>
  <c r="AH41" i="16"/>
  <c r="I41" i="16"/>
  <c r="AG41" i="16"/>
  <c r="J41" i="16"/>
  <c r="V41" i="16"/>
  <c r="N41" i="16"/>
  <c r="Z41" i="16"/>
  <c r="AL41" i="16"/>
  <c r="P41" i="16"/>
  <c r="AB41" i="16"/>
  <c r="AB42" i="16"/>
  <c r="O42" i="16"/>
  <c r="AA42" i="16"/>
  <c r="H42" i="16"/>
  <c r="T42" i="16"/>
  <c r="AF42" i="16"/>
  <c r="P42" i="16"/>
  <c r="I42" i="16"/>
  <c r="U42" i="16"/>
  <c r="AG42" i="16"/>
  <c r="J42" i="16"/>
  <c r="V42" i="16"/>
  <c r="AH42" i="16"/>
  <c r="N42" i="16"/>
  <c r="Z42" i="16"/>
  <c r="AL42" i="16"/>
  <c r="K42" i="16"/>
  <c r="Q42" i="16"/>
  <c r="W42" i="16"/>
  <c r="AC42" i="16"/>
  <c r="AI42" i="16"/>
  <c r="L42" i="16"/>
  <c r="R42" i="16"/>
  <c r="X42" i="16"/>
  <c r="AD42" i="16"/>
  <c r="AJ42" i="16"/>
  <c r="M42" i="16"/>
  <c r="S42" i="16"/>
  <c r="Y42" i="16"/>
  <c r="AE42" i="16"/>
  <c r="K41" i="16"/>
  <c r="Q41" i="16"/>
  <c r="W41" i="16"/>
  <c r="AC41" i="16"/>
  <c r="AI41" i="16"/>
  <c r="L41" i="16"/>
  <c r="R41" i="16"/>
  <c r="X41" i="16"/>
  <c r="AD41" i="16"/>
  <c r="AJ41" i="16"/>
  <c r="M41" i="16"/>
  <c r="S41" i="16"/>
  <c r="Y41" i="16"/>
  <c r="AE41" i="16"/>
  <c r="G57" i="16"/>
  <c r="G56" i="16"/>
  <c r="G55" i="16"/>
  <c r="G54" i="16"/>
  <c r="G53" i="16"/>
  <c r="G52" i="16"/>
  <c r="G51" i="16"/>
  <c r="G50" i="16"/>
  <c r="G49" i="16"/>
  <c r="G48" i="16"/>
  <c r="G47" i="16"/>
  <c r="AL49" i="16" l="1"/>
  <c r="AH49" i="16"/>
  <c r="AD49" i="16"/>
  <c r="Z49" i="16"/>
  <c r="V49" i="16"/>
  <c r="R49" i="16"/>
  <c r="N49" i="16"/>
  <c r="J49" i="16"/>
  <c r="AA49" i="16"/>
  <c r="O49" i="16"/>
  <c r="AK49" i="16"/>
  <c r="AG49" i="16"/>
  <c r="AC49" i="16"/>
  <c r="Y49" i="16"/>
  <c r="U49" i="16"/>
  <c r="Q49" i="16"/>
  <c r="M49" i="16"/>
  <c r="I49" i="16"/>
  <c r="AE49" i="16"/>
  <c r="W49" i="16"/>
  <c r="K49" i="16"/>
  <c r="AJ49" i="16"/>
  <c r="AF49" i="16"/>
  <c r="AB49" i="16"/>
  <c r="X49" i="16"/>
  <c r="T49" i="16"/>
  <c r="P49" i="16"/>
  <c r="L49" i="16"/>
  <c r="H49" i="16"/>
  <c r="AI49" i="16"/>
  <c r="S49" i="16"/>
  <c r="AJ53" i="16"/>
  <c r="AF53" i="16"/>
  <c r="AB53" i="16"/>
  <c r="X53" i="16"/>
  <c r="T53" i="16"/>
  <c r="P53" i="16"/>
  <c r="L53" i="16"/>
  <c r="H53" i="16"/>
  <c r="AK53" i="16"/>
  <c r="M53" i="16"/>
  <c r="AI53" i="16"/>
  <c r="AE53" i="16"/>
  <c r="AA53" i="16"/>
  <c r="W53" i="16"/>
  <c r="S53" i="16"/>
  <c r="O53" i="16"/>
  <c r="K53" i="16"/>
  <c r="AC53" i="16"/>
  <c r="U53" i="16"/>
  <c r="I53" i="16"/>
  <c r="AL53" i="16"/>
  <c r="AH53" i="16"/>
  <c r="AD53" i="16"/>
  <c r="Z53" i="16"/>
  <c r="V53" i="16"/>
  <c r="R53" i="16"/>
  <c r="N53" i="16"/>
  <c r="J53" i="16"/>
  <c r="AG53" i="16"/>
  <c r="Y53" i="16"/>
  <c r="Q53" i="16"/>
  <c r="AL57" i="16"/>
  <c r="AH57" i="16"/>
  <c r="AD57" i="16"/>
  <c r="Z57" i="16"/>
  <c r="V57" i="16"/>
  <c r="R57" i="16"/>
  <c r="N57" i="16"/>
  <c r="J57" i="16"/>
  <c r="AI57" i="16"/>
  <c r="AK57" i="16"/>
  <c r="AG57" i="16"/>
  <c r="AC57" i="16"/>
  <c r="Y57" i="16"/>
  <c r="U57" i="16"/>
  <c r="Q57" i="16"/>
  <c r="M57" i="16"/>
  <c r="I57" i="16"/>
  <c r="AA57" i="16"/>
  <c r="S57" i="16"/>
  <c r="K57" i="16"/>
  <c r="AJ57" i="16"/>
  <c r="AF57" i="16"/>
  <c r="AB57" i="16"/>
  <c r="X57" i="16"/>
  <c r="T57" i="16"/>
  <c r="P57" i="16"/>
  <c r="L57" i="16"/>
  <c r="H57" i="16"/>
  <c r="AE57" i="16"/>
  <c r="W57" i="16"/>
  <c r="O57" i="16"/>
  <c r="AK47" i="16"/>
  <c r="AG47" i="16"/>
  <c r="AC47" i="16"/>
  <c r="Y47" i="16"/>
  <c r="U47" i="16"/>
  <c r="Q47" i="16"/>
  <c r="M47" i="16"/>
  <c r="I47" i="16"/>
  <c r="S47" i="16"/>
  <c r="AH47" i="16"/>
  <c r="V47" i="16"/>
  <c r="J47" i="16"/>
  <c r="AJ47" i="16"/>
  <c r="AF47" i="16"/>
  <c r="AB47" i="16"/>
  <c r="X47" i="16"/>
  <c r="T47" i="16"/>
  <c r="P47" i="16"/>
  <c r="L47" i="16"/>
  <c r="H47" i="16"/>
  <c r="AA47" i="16"/>
  <c r="O47" i="16"/>
  <c r="AD47" i="16"/>
  <c r="N47" i="16"/>
  <c r="AI47" i="16"/>
  <c r="AE47" i="16"/>
  <c r="W47" i="16"/>
  <c r="K47" i="16"/>
  <c r="AL47" i="16"/>
  <c r="Z47" i="16"/>
  <c r="R47" i="16"/>
  <c r="AI51" i="16"/>
  <c r="AE51" i="16"/>
  <c r="AA51" i="16"/>
  <c r="W51" i="16"/>
  <c r="S51" i="16"/>
  <c r="O51" i="16"/>
  <c r="K51" i="16"/>
  <c r="X51" i="16"/>
  <c r="H51" i="16"/>
  <c r="AL51" i="16"/>
  <c r="AH51" i="16"/>
  <c r="AD51" i="16"/>
  <c r="Z51" i="16"/>
  <c r="V51" i="16"/>
  <c r="R51" i="16"/>
  <c r="N51" i="16"/>
  <c r="J51" i="16"/>
  <c r="AF51" i="16"/>
  <c r="T51" i="16"/>
  <c r="L51" i="16"/>
  <c r="AK51" i="16"/>
  <c r="AG51" i="16"/>
  <c r="AC51" i="16"/>
  <c r="Y51" i="16"/>
  <c r="U51" i="16"/>
  <c r="Q51" i="16"/>
  <c r="M51" i="16"/>
  <c r="I51" i="16"/>
  <c r="AJ51" i="16"/>
  <c r="AB51" i="16"/>
  <c r="P51" i="16"/>
  <c r="AK55" i="16"/>
  <c r="AG55" i="16"/>
  <c r="AC55" i="16"/>
  <c r="Y55" i="16"/>
  <c r="U55" i="16"/>
  <c r="Q55" i="16"/>
  <c r="M55" i="16"/>
  <c r="I55" i="16"/>
  <c r="AJ55" i="16"/>
  <c r="AF55" i="16"/>
  <c r="AB55" i="16"/>
  <c r="X55" i="16"/>
  <c r="T55" i="16"/>
  <c r="P55" i="16"/>
  <c r="L55" i="16"/>
  <c r="H55" i="16"/>
  <c r="AH55" i="16"/>
  <c r="Z55" i="16"/>
  <c r="R55" i="16"/>
  <c r="J55" i="16"/>
  <c r="AI55" i="16"/>
  <c r="AE55" i="16"/>
  <c r="AA55" i="16"/>
  <c r="W55" i="16"/>
  <c r="S55" i="16"/>
  <c r="O55" i="16"/>
  <c r="K55" i="16"/>
  <c r="AL55" i="16"/>
  <c r="AD55" i="16"/>
  <c r="V55" i="16"/>
  <c r="N55" i="16"/>
  <c r="AL7" i="18"/>
  <c r="AK7" i="18"/>
  <c r="AJ7" i="18"/>
  <c r="AI7" i="18"/>
  <c r="AH7" i="18"/>
  <c r="AG7" i="18"/>
  <c r="AF7" i="18"/>
  <c r="AE7" i="18"/>
  <c r="AD7" i="18"/>
  <c r="AC7" i="18"/>
  <c r="AB7" i="18"/>
  <c r="AA7" i="18"/>
  <c r="Z7" i="18"/>
  <c r="Y7" i="18"/>
  <c r="X7" i="18"/>
  <c r="W7" i="18"/>
  <c r="V7" i="18"/>
  <c r="U7" i="18"/>
  <c r="T7" i="18"/>
  <c r="S7" i="18"/>
  <c r="R7" i="18"/>
  <c r="Q7" i="18"/>
  <c r="P7" i="18"/>
  <c r="O7" i="18"/>
  <c r="N7" i="18"/>
  <c r="M7" i="18"/>
  <c r="L7" i="18"/>
  <c r="K7" i="18"/>
  <c r="J7" i="18"/>
  <c r="I7" i="18"/>
  <c r="H7" i="18"/>
  <c r="BK11" i="16" l="1"/>
  <c r="BK10" i="16" s="1"/>
  <c r="BF11" i="16"/>
  <c r="BF10" i="16" s="1"/>
  <c r="BE11" i="16"/>
  <c r="BE10" i="16" s="1"/>
  <c r="BB11" i="16"/>
  <c r="BB10" i="16" s="1"/>
  <c r="BA11" i="16"/>
  <c r="BA10" i="16" s="1"/>
  <c r="AZ11" i="16"/>
  <c r="AZ10" i="16" s="1"/>
  <c r="AY11" i="16"/>
  <c r="AY10" i="16" s="1"/>
  <c r="AX11" i="16"/>
  <c r="AX10" i="16" s="1"/>
  <c r="AW11" i="16"/>
  <c r="AW10" i="16" s="1"/>
  <c r="AT11" i="16"/>
  <c r="AT10" i="16" s="1"/>
  <c r="AS11" i="16"/>
  <c r="AS10" i="16" s="1"/>
  <c r="AR11" i="16"/>
  <c r="AR10" i="16" s="1"/>
  <c r="AL8" i="16" l="1"/>
  <c r="AK8" i="16"/>
  <c r="AJ8" i="16"/>
  <c r="AI8" i="16"/>
  <c r="AH8" i="16"/>
  <c r="AB8" i="16"/>
  <c r="AA8" i="16"/>
  <c r="Z8" i="16"/>
  <c r="Y8" i="16"/>
  <c r="X8" i="16"/>
  <c r="W8" i="16"/>
  <c r="V8" i="16"/>
  <c r="U8" i="16"/>
  <c r="T8" i="16"/>
  <c r="K3" i="18" l="1"/>
  <c r="F56" i="16" l="1"/>
  <c r="F57" i="16" l="1"/>
  <c r="E57" i="16"/>
  <c r="D57" i="16"/>
  <c r="E56" i="16"/>
  <c r="D56" i="16"/>
  <c r="F55" i="16"/>
  <c r="E55" i="16"/>
  <c r="D55" i="16"/>
  <c r="F54" i="16"/>
  <c r="E54" i="16"/>
  <c r="D54" i="16"/>
  <c r="F53" i="16"/>
  <c r="E53" i="16"/>
  <c r="D53" i="16"/>
  <c r="F52" i="16"/>
  <c r="E52" i="16"/>
  <c r="D52" i="16"/>
  <c r="F51" i="16"/>
  <c r="E51" i="16"/>
  <c r="D51" i="16"/>
  <c r="F50" i="16"/>
  <c r="E50" i="16"/>
  <c r="D50" i="16"/>
  <c r="F49" i="16"/>
  <c r="E49" i="16"/>
  <c r="D49" i="16"/>
  <c r="F48" i="16"/>
  <c r="E48" i="16"/>
  <c r="D48" i="16"/>
  <c r="F47" i="16"/>
  <c r="E47" i="16"/>
  <c r="D47" i="16"/>
  <c r="AP39" i="16" l="1"/>
  <c r="AP38" i="16"/>
  <c r="AP37" i="16"/>
  <c r="AP36" i="16"/>
  <c r="AP35" i="16"/>
  <c r="AP34" i="16"/>
  <c r="AP33" i="16"/>
  <c r="AP32" i="16"/>
  <c r="AP31" i="16"/>
  <c r="AP30" i="16"/>
  <c r="AP29" i="16"/>
  <c r="AP28" i="16"/>
  <c r="AP27" i="16"/>
  <c r="AP26" i="16"/>
  <c r="AP25" i="16"/>
  <c r="AP24" i="16"/>
  <c r="AP23" i="16"/>
  <c r="AP22" i="16"/>
  <c r="AP21" i="16"/>
  <c r="AP20" i="16"/>
  <c r="AP19" i="16"/>
  <c r="AP18" i="16"/>
  <c r="AP17" i="16"/>
  <c r="AP16" i="16"/>
  <c r="AP15" i="16"/>
  <c r="AP14" i="16"/>
  <c r="AP13" i="16"/>
  <c r="AP12" i="16"/>
  <c r="N7" i="16" l="1"/>
  <c r="AM11" i="26"/>
  <c r="AL75" i="18"/>
  <c r="AK75" i="18"/>
  <c r="AJ75" i="18"/>
  <c r="AI75" i="18"/>
  <c r="AH75" i="18"/>
  <c r="AG75" i="18"/>
  <c r="AF75" i="18"/>
  <c r="AE75" i="18"/>
  <c r="AD75" i="18"/>
  <c r="AC75" i="18"/>
  <c r="AB75" i="18"/>
  <c r="AA75" i="18"/>
  <c r="Z75" i="18"/>
  <c r="Y75" i="18"/>
  <c r="X75" i="18"/>
  <c r="W75" i="18"/>
  <c r="V75" i="18"/>
  <c r="U75" i="18"/>
  <c r="T75" i="18"/>
  <c r="S75" i="18"/>
  <c r="R75" i="18"/>
  <c r="Q75" i="18"/>
  <c r="P75" i="18"/>
  <c r="O75" i="18"/>
  <c r="N75" i="18"/>
  <c r="M75" i="18"/>
  <c r="L75" i="18"/>
  <c r="K75" i="18"/>
  <c r="J75" i="18"/>
  <c r="I75" i="18"/>
  <c r="H75" i="18"/>
  <c r="AL74" i="18"/>
  <c r="AL76" i="18" s="1"/>
  <c r="F18" i="22" s="1"/>
  <c r="AK74" i="18"/>
  <c r="AK76" i="18" s="1"/>
  <c r="AJ74" i="18"/>
  <c r="AJ76" i="18" s="1"/>
  <c r="F16" i="22" s="1"/>
  <c r="AI74" i="18"/>
  <c r="AI76" i="18" s="1"/>
  <c r="AH74" i="18"/>
  <c r="AH76" i="18" s="1"/>
  <c r="F14" i="22" s="1"/>
  <c r="AG74" i="18"/>
  <c r="AG76" i="18" s="1"/>
  <c r="F13" i="22" s="1"/>
  <c r="AF74" i="18"/>
  <c r="AF76" i="18" s="1"/>
  <c r="AE74" i="18"/>
  <c r="AE76" i="18" s="1"/>
  <c r="AD74" i="18"/>
  <c r="AD76" i="18" s="1"/>
  <c r="AC74" i="18"/>
  <c r="AC76" i="18" s="1"/>
  <c r="AB74" i="18"/>
  <c r="AB76" i="18" s="1"/>
  <c r="AA74" i="18"/>
  <c r="AA76" i="18" s="1"/>
  <c r="Z74" i="18"/>
  <c r="Z76" i="18" s="1"/>
  <c r="Y74" i="18"/>
  <c r="Y76" i="18" s="1"/>
  <c r="X74" i="18"/>
  <c r="X76" i="18" s="1"/>
  <c r="W74" i="18"/>
  <c r="W76" i="18" s="1"/>
  <c r="C19" i="22" s="1"/>
  <c r="V74" i="18"/>
  <c r="V76" i="18" s="1"/>
  <c r="U74" i="18"/>
  <c r="U76" i="18" s="1"/>
  <c r="T74" i="18"/>
  <c r="T76" i="18" s="1"/>
  <c r="S74" i="18"/>
  <c r="S76" i="18" s="1"/>
  <c r="R74" i="18"/>
  <c r="R76" i="18" s="1"/>
  <c r="Q74" i="18"/>
  <c r="Q76" i="18" s="1"/>
  <c r="P74" i="18"/>
  <c r="P76" i="18" s="1"/>
  <c r="O74" i="18"/>
  <c r="O76" i="18" s="1"/>
  <c r="N74" i="18"/>
  <c r="N76" i="18" s="1"/>
  <c r="M74" i="18"/>
  <c r="M76" i="18" s="1"/>
  <c r="L74" i="18"/>
  <c r="L76" i="18" s="1"/>
  <c r="K74" i="18"/>
  <c r="K76" i="18" s="1"/>
  <c r="J74" i="18"/>
  <c r="J76" i="18" s="1"/>
  <c r="I74" i="18"/>
  <c r="I76" i="18" s="1"/>
  <c r="H74" i="18"/>
  <c r="H76" i="18" s="1"/>
  <c r="R7" i="16" l="1"/>
  <c r="R7" i="26" s="1"/>
  <c r="N7" i="26"/>
  <c r="AN39" i="26"/>
  <c r="AN38" i="26"/>
  <c r="AN37" i="26"/>
  <c r="BJ39" i="16"/>
  <c r="BJ38" i="16"/>
  <c r="BJ37" i="16"/>
  <c r="BK39" i="16"/>
  <c r="BF39" i="16"/>
  <c r="BE39" i="16"/>
  <c r="BB39" i="16"/>
  <c r="BA39" i="16"/>
  <c r="AZ39" i="16"/>
  <c r="AY39" i="16"/>
  <c r="AX39" i="16"/>
  <c r="AW39" i="16"/>
  <c r="AV39" i="16"/>
  <c r="AT39" i="16"/>
  <c r="AS39" i="16"/>
  <c r="AR39" i="16"/>
  <c r="BK38" i="16"/>
  <c r="BF38" i="16"/>
  <c r="BE38" i="16"/>
  <c r="BB38" i="16"/>
  <c r="BA38" i="16"/>
  <c r="AZ38" i="16"/>
  <c r="AY38" i="16"/>
  <c r="AX38" i="16"/>
  <c r="AW38" i="16"/>
  <c r="AV38" i="16"/>
  <c r="AT38" i="16"/>
  <c r="AS38" i="16"/>
  <c r="AR38" i="16"/>
  <c r="BK37" i="16"/>
  <c r="BF37" i="16"/>
  <c r="BE37" i="16"/>
  <c r="BB37" i="16"/>
  <c r="BA37" i="16"/>
  <c r="AZ37" i="16"/>
  <c r="AY37" i="16"/>
  <c r="AX37" i="16"/>
  <c r="AW37" i="16"/>
  <c r="AV37" i="16"/>
  <c r="AT37" i="16"/>
  <c r="AS37" i="16"/>
  <c r="AR37" i="16"/>
  <c r="BK36" i="16"/>
  <c r="BF36" i="16"/>
  <c r="BE36" i="16"/>
  <c r="BB36" i="16"/>
  <c r="BA36" i="16"/>
  <c r="AZ36" i="16"/>
  <c r="AY36" i="16"/>
  <c r="AX36" i="16"/>
  <c r="AW36" i="16"/>
  <c r="AV36" i="16"/>
  <c r="AT36" i="16"/>
  <c r="AS36" i="16"/>
  <c r="AR36" i="16"/>
  <c r="BK35" i="16"/>
  <c r="BF35" i="16"/>
  <c r="BE35" i="16"/>
  <c r="BB35" i="16"/>
  <c r="BA35" i="16"/>
  <c r="AZ35" i="16"/>
  <c r="AY35" i="16"/>
  <c r="AX35" i="16"/>
  <c r="AW35" i="16"/>
  <c r="AV35" i="16"/>
  <c r="AT35" i="16"/>
  <c r="AS35" i="16"/>
  <c r="AR35" i="16"/>
  <c r="BK34" i="16"/>
  <c r="BF34" i="16"/>
  <c r="BE34" i="16"/>
  <c r="BB34" i="16"/>
  <c r="BA34" i="16"/>
  <c r="AZ34" i="16"/>
  <c r="AY34" i="16"/>
  <c r="AX34" i="16"/>
  <c r="AW34" i="16"/>
  <c r="AV34" i="16"/>
  <c r="AT34" i="16"/>
  <c r="AS34" i="16"/>
  <c r="AR34" i="16"/>
  <c r="BK33" i="16"/>
  <c r="BF33" i="16"/>
  <c r="BE33" i="16"/>
  <c r="BB33" i="16"/>
  <c r="BA33" i="16"/>
  <c r="AZ33" i="16"/>
  <c r="AY33" i="16"/>
  <c r="AX33" i="16"/>
  <c r="AW33" i="16"/>
  <c r="AV33" i="16"/>
  <c r="AT33" i="16"/>
  <c r="AS33" i="16"/>
  <c r="AR33" i="16"/>
  <c r="BK32" i="16"/>
  <c r="BF32" i="16"/>
  <c r="BE32" i="16"/>
  <c r="BB32" i="16"/>
  <c r="BA32" i="16"/>
  <c r="AZ32" i="16"/>
  <c r="AY32" i="16"/>
  <c r="AX32" i="16"/>
  <c r="AW32" i="16"/>
  <c r="AV32" i="16"/>
  <c r="AT32" i="16"/>
  <c r="AS32" i="16"/>
  <c r="AR32" i="16"/>
  <c r="BK31" i="16"/>
  <c r="BF31" i="16"/>
  <c r="BE31" i="16"/>
  <c r="BB31" i="16"/>
  <c r="BA31" i="16"/>
  <c r="AZ31" i="16"/>
  <c r="AY31" i="16"/>
  <c r="AX31" i="16"/>
  <c r="AW31" i="16"/>
  <c r="AV31" i="16"/>
  <c r="AT31" i="16"/>
  <c r="AS31" i="16"/>
  <c r="AR31" i="16"/>
  <c r="BK30" i="16"/>
  <c r="BF30" i="16"/>
  <c r="BE30" i="16"/>
  <c r="BB30" i="16"/>
  <c r="BA30" i="16"/>
  <c r="AZ30" i="16"/>
  <c r="AY30" i="16"/>
  <c r="AX30" i="16"/>
  <c r="AW30" i="16"/>
  <c r="AV30" i="16"/>
  <c r="AT30" i="16"/>
  <c r="AS30" i="16"/>
  <c r="AR30" i="16"/>
  <c r="BK29" i="16"/>
  <c r="BF29" i="16"/>
  <c r="BE29" i="16"/>
  <c r="BB29" i="16"/>
  <c r="BA29" i="16"/>
  <c r="AZ29" i="16"/>
  <c r="AY29" i="16"/>
  <c r="AX29" i="16"/>
  <c r="AW29" i="16"/>
  <c r="AV29" i="16"/>
  <c r="AT29" i="16"/>
  <c r="AS29" i="16"/>
  <c r="AR29" i="16"/>
  <c r="BK28" i="16"/>
  <c r="BF28" i="16"/>
  <c r="BE28" i="16"/>
  <c r="BB28" i="16"/>
  <c r="BA28" i="16"/>
  <c r="AZ28" i="16"/>
  <c r="AY28" i="16"/>
  <c r="AX28" i="16"/>
  <c r="AW28" i="16"/>
  <c r="AV28" i="16"/>
  <c r="AT28" i="16"/>
  <c r="AS28" i="16"/>
  <c r="AR28" i="16"/>
  <c r="BK27" i="16"/>
  <c r="BF27" i="16"/>
  <c r="BE27" i="16"/>
  <c r="BB27" i="16"/>
  <c r="BA27" i="16"/>
  <c r="AZ27" i="16"/>
  <c r="AY27" i="16"/>
  <c r="AX27" i="16"/>
  <c r="AW27" i="16"/>
  <c r="AV27" i="16"/>
  <c r="AT27" i="16"/>
  <c r="AS27" i="16"/>
  <c r="AR27" i="16"/>
  <c r="BK26" i="16"/>
  <c r="BF26" i="16"/>
  <c r="BE26" i="16"/>
  <c r="BB26" i="16"/>
  <c r="BA26" i="16"/>
  <c r="AZ26" i="16"/>
  <c r="AY26" i="16"/>
  <c r="AX26" i="16"/>
  <c r="AW26" i="16"/>
  <c r="AV26" i="16"/>
  <c r="AT26" i="16"/>
  <c r="AS26" i="16"/>
  <c r="AR26" i="16"/>
  <c r="BK25" i="16"/>
  <c r="BF25" i="16"/>
  <c r="BE25" i="16"/>
  <c r="BB25" i="16"/>
  <c r="BA25" i="16"/>
  <c r="AZ25" i="16"/>
  <c r="AY25" i="16"/>
  <c r="AX25" i="16"/>
  <c r="AW25" i="16"/>
  <c r="AV25" i="16"/>
  <c r="AT25" i="16"/>
  <c r="AS25" i="16"/>
  <c r="AR25" i="16"/>
  <c r="BK24" i="16"/>
  <c r="BF24" i="16"/>
  <c r="BE24" i="16"/>
  <c r="BB24" i="16"/>
  <c r="BA24" i="16"/>
  <c r="AZ24" i="16"/>
  <c r="AY24" i="16"/>
  <c r="AX24" i="16"/>
  <c r="AW24" i="16"/>
  <c r="AV24" i="16"/>
  <c r="AT24" i="16"/>
  <c r="AS24" i="16"/>
  <c r="AR24" i="16"/>
  <c r="BK23" i="16"/>
  <c r="BF23" i="16"/>
  <c r="BE23" i="16"/>
  <c r="BB23" i="16"/>
  <c r="BA23" i="16"/>
  <c r="AZ23" i="16"/>
  <c r="AY23" i="16"/>
  <c r="AX23" i="16"/>
  <c r="AW23" i="16"/>
  <c r="AV23" i="16"/>
  <c r="AT23" i="16"/>
  <c r="AS23" i="16"/>
  <c r="AR23" i="16"/>
  <c r="BK22" i="16"/>
  <c r="BF22" i="16"/>
  <c r="BE22" i="16"/>
  <c r="BB22" i="16"/>
  <c r="BA22" i="16"/>
  <c r="AZ22" i="16"/>
  <c r="AY22" i="16"/>
  <c r="AX22" i="16"/>
  <c r="AW22" i="16"/>
  <c r="AV22" i="16"/>
  <c r="AT22" i="16"/>
  <c r="AS22" i="16"/>
  <c r="AR22" i="16"/>
  <c r="BK21" i="16"/>
  <c r="BF21" i="16"/>
  <c r="BE21" i="16"/>
  <c r="BB21" i="16"/>
  <c r="BA21" i="16"/>
  <c r="AZ21" i="16"/>
  <c r="AY21" i="16"/>
  <c r="AX21" i="16"/>
  <c r="AW21" i="16"/>
  <c r="AV21" i="16"/>
  <c r="AT21" i="16"/>
  <c r="AS21" i="16"/>
  <c r="AR21" i="16"/>
  <c r="BK20" i="16"/>
  <c r="BF20" i="16"/>
  <c r="BE20" i="16"/>
  <c r="BB20" i="16"/>
  <c r="BA20" i="16"/>
  <c r="AZ20" i="16"/>
  <c r="AY20" i="16"/>
  <c r="AX20" i="16"/>
  <c r="AW20" i="16"/>
  <c r="AV20" i="16"/>
  <c r="AT20" i="16"/>
  <c r="AS20" i="16"/>
  <c r="AR20" i="16"/>
  <c r="BK19" i="16"/>
  <c r="BF19" i="16"/>
  <c r="BE19" i="16"/>
  <c r="BB19" i="16"/>
  <c r="BA19" i="16"/>
  <c r="AZ19" i="16"/>
  <c r="AY19" i="16"/>
  <c r="AX19" i="16"/>
  <c r="AW19" i="16"/>
  <c r="AV19" i="16"/>
  <c r="AT19" i="16"/>
  <c r="AS19" i="16"/>
  <c r="AR19" i="16"/>
  <c r="BK18" i="16"/>
  <c r="BF18" i="16"/>
  <c r="BE18" i="16"/>
  <c r="BB18" i="16"/>
  <c r="BA18" i="16"/>
  <c r="AZ18" i="16"/>
  <c r="AY18" i="16"/>
  <c r="AX18" i="16"/>
  <c r="AW18" i="16"/>
  <c r="AV18" i="16"/>
  <c r="AT18" i="16"/>
  <c r="AS18" i="16"/>
  <c r="AR18" i="16"/>
  <c r="BK17" i="16"/>
  <c r="BF17" i="16"/>
  <c r="BE17" i="16"/>
  <c r="BB17" i="16"/>
  <c r="BA17" i="16"/>
  <c r="AZ17" i="16"/>
  <c r="AY17" i="16"/>
  <c r="AX17" i="16"/>
  <c r="AW17" i="16"/>
  <c r="AV17" i="16"/>
  <c r="AT17" i="16"/>
  <c r="AS17" i="16"/>
  <c r="AR17" i="16"/>
  <c r="BK16" i="16"/>
  <c r="BF16" i="16"/>
  <c r="BE16" i="16"/>
  <c r="BB16" i="16"/>
  <c r="BA16" i="16"/>
  <c r="AZ16" i="16"/>
  <c r="AY16" i="16"/>
  <c r="AX16" i="16"/>
  <c r="AW16" i="16"/>
  <c r="AV16" i="16"/>
  <c r="AT16" i="16"/>
  <c r="AS16" i="16"/>
  <c r="AR16" i="16"/>
  <c r="BK15" i="16"/>
  <c r="BF15" i="16"/>
  <c r="BE15" i="16"/>
  <c r="BB15" i="16"/>
  <c r="BA15" i="16"/>
  <c r="AZ15" i="16"/>
  <c r="AY15" i="16"/>
  <c r="AX15" i="16"/>
  <c r="AW15" i="16"/>
  <c r="AV15" i="16"/>
  <c r="AT15" i="16"/>
  <c r="AS15" i="16"/>
  <c r="AR15" i="16"/>
  <c r="BK14" i="16"/>
  <c r="BF14" i="16"/>
  <c r="BE14" i="16"/>
  <c r="BB14" i="16"/>
  <c r="BA14" i="16"/>
  <c r="AZ14" i="16"/>
  <c r="AY14" i="16"/>
  <c r="AX14" i="16"/>
  <c r="AW14" i="16"/>
  <c r="AV14" i="16"/>
  <c r="AT14" i="16"/>
  <c r="AS14" i="16"/>
  <c r="AR14" i="16"/>
  <c r="BK13" i="16"/>
  <c r="BF13" i="16"/>
  <c r="BE13" i="16"/>
  <c r="BB13" i="16"/>
  <c r="BA13" i="16"/>
  <c r="AZ13" i="16"/>
  <c r="AY13" i="16"/>
  <c r="AX13" i="16"/>
  <c r="AW13" i="16"/>
  <c r="AV13" i="16"/>
  <c r="AT13" i="16"/>
  <c r="AS13" i="16"/>
  <c r="AR13" i="16"/>
  <c r="BK12" i="16"/>
  <c r="BF12" i="16"/>
  <c r="BE12" i="16"/>
  <c r="BB12" i="16"/>
  <c r="BA12" i="16"/>
  <c r="AZ12" i="16"/>
  <c r="AY12" i="16"/>
  <c r="AW12" i="16"/>
  <c r="AV12" i="16"/>
  <c r="AT12" i="16"/>
  <c r="AS12" i="16"/>
  <c r="AR12" i="16"/>
  <c r="AX12" i="16"/>
  <c r="AM16" i="16" l="1"/>
  <c r="AM16" i="26" s="1"/>
  <c r="AM13" i="16"/>
  <c r="AM13" i="26" s="1"/>
  <c r="AM17" i="16"/>
  <c r="AM17" i="26" s="1"/>
  <c r="AM21" i="16"/>
  <c r="AM21" i="26" s="1"/>
  <c r="AM25" i="16"/>
  <c r="AM25" i="26" s="1"/>
  <c r="AM29" i="16"/>
  <c r="AM29" i="26" s="1"/>
  <c r="AM33" i="16"/>
  <c r="AM33" i="26" s="1"/>
  <c r="AM37" i="16"/>
  <c r="AM37" i="26" s="1"/>
  <c r="AM12" i="16"/>
  <c r="AM12" i="26" s="1"/>
  <c r="AM18" i="16"/>
  <c r="AM18" i="26" s="1"/>
  <c r="AM22" i="16"/>
  <c r="AM22" i="26" s="1"/>
  <c r="AM26" i="16"/>
  <c r="AM26" i="26" s="1"/>
  <c r="AM30" i="16"/>
  <c r="AM30" i="26" s="1"/>
  <c r="AM34" i="16"/>
  <c r="AM34" i="26" s="1"/>
  <c r="AM38" i="16"/>
  <c r="AM38" i="26" s="1"/>
  <c r="AM14" i="16"/>
  <c r="AM14" i="26" s="1"/>
  <c r="AM15" i="16"/>
  <c r="AM15" i="26" s="1"/>
  <c r="AM19" i="16"/>
  <c r="AM19" i="26" s="1"/>
  <c r="AM23" i="16"/>
  <c r="AM23" i="26" s="1"/>
  <c r="AM27" i="16"/>
  <c r="AM27" i="26" s="1"/>
  <c r="AM31" i="16"/>
  <c r="AM31" i="26" s="1"/>
  <c r="AM35" i="16"/>
  <c r="AM35" i="26" s="1"/>
  <c r="AM39" i="16"/>
  <c r="AM39" i="26" s="1"/>
  <c r="AM20" i="16"/>
  <c r="AM20" i="26" s="1"/>
  <c r="AM24" i="16"/>
  <c r="AM24" i="26" s="1"/>
  <c r="AM28" i="16"/>
  <c r="AM28" i="26" s="1"/>
  <c r="AM32" i="16"/>
  <c r="AM32" i="26" s="1"/>
  <c r="AM36" i="16"/>
  <c r="AM36" i="26" s="1"/>
  <c r="BD36" i="16"/>
  <c r="BD18" i="16"/>
  <c r="AN18" i="16" s="1"/>
  <c r="BD24" i="16"/>
  <c r="AN24" i="16" s="1"/>
  <c r="BD30" i="16"/>
  <c r="BD37" i="16"/>
  <c r="AO37" i="16" s="1"/>
  <c r="AO37" i="26" s="1"/>
  <c r="BD20" i="16"/>
  <c r="AN20" i="16" s="1"/>
  <c r="BD26" i="16"/>
  <c r="AN26" i="16" s="1"/>
  <c r="BD12" i="16"/>
  <c r="AN12" i="16" s="1"/>
  <c r="BD13" i="16"/>
  <c r="AN13" i="16" s="1"/>
  <c r="BD19" i="16"/>
  <c r="AN19" i="16" s="1"/>
  <c r="BD25" i="16"/>
  <c r="AN25" i="16" s="1"/>
  <c r="BD31" i="16"/>
  <c r="BD32" i="16"/>
  <c r="BD38" i="16"/>
  <c r="AO38" i="16" s="1"/>
  <c r="AO38" i="26" s="1"/>
  <c r="BD14" i="16"/>
  <c r="AN14" i="16" s="1"/>
  <c r="BD15" i="16"/>
  <c r="AN15" i="16" s="1"/>
  <c r="BD21" i="16"/>
  <c r="AN21" i="16" s="1"/>
  <c r="BD27" i="16"/>
  <c r="AN27" i="16" s="1"/>
  <c r="BD33" i="16"/>
  <c r="BD39" i="16"/>
  <c r="AO39" i="16" s="1"/>
  <c r="AO39" i="26" s="1"/>
  <c r="BD16" i="16"/>
  <c r="AN16" i="16" s="1"/>
  <c r="BD22" i="16"/>
  <c r="AN22" i="16" s="1"/>
  <c r="BD28" i="16"/>
  <c r="BD34" i="16"/>
  <c r="BD17" i="16"/>
  <c r="AN17" i="16" s="1"/>
  <c r="BD23" i="16"/>
  <c r="AN23" i="16" s="1"/>
  <c r="BD29" i="16"/>
  <c r="BD35" i="16"/>
  <c r="BI31" i="16"/>
  <c r="BI13" i="16"/>
  <c r="BI25" i="16"/>
  <c r="BI37" i="16"/>
  <c r="BI19" i="16"/>
  <c r="BI15" i="16"/>
  <c r="BI21" i="16"/>
  <c r="BI27" i="16"/>
  <c r="BI33" i="16"/>
  <c r="BI39" i="16"/>
  <c r="BI17" i="16"/>
  <c r="BI23" i="16"/>
  <c r="BI29" i="16"/>
  <c r="BI35" i="16"/>
  <c r="BI12" i="16"/>
  <c r="BI18" i="16"/>
  <c r="BI24" i="16"/>
  <c r="BI30" i="16"/>
  <c r="BI36" i="16"/>
  <c r="BI14" i="16"/>
  <c r="BI20" i="16"/>
  <c r="BI26" i="16"/>
  <c r="BI32" i="16"/>
  <c r="BI38" i="16"/>
  <c r="BI16" i="16"/>
  <c r="BI22" i="16"/>
  <c r="BI28" i="16"/>
  <c r="BI34" i="16"/>
  <c r="BJ14" i="16" l="1"/>
  <c r="AO14" i="16" s="1"/>
  <c r="BJ33" i="16"/>
  <c r="AO33" i="16" s="1"/>
  <c r="BJ31" i="16"/>
  <c r="AO31" i="16" s="1"/>
  <c r="BJ30" i="16"/>
  <c r="AO30" i="16" s="1"/>
  <c r="BJ36" i="16"/>
  <c r="AO36" i="16" s="1"/>
  <c r="BJ35" i="16"/>
  <c r="AO35" i="16" s="1"/>
  <c r="BJ29" i="16"/>
  <c r="AO29" i="16" s="1"/>
  <c r="BJ34" i="16"/>
  <c r="AO34" i="16" s="1"/>
  <c r="BJ32" i="16"/>
  <c r="AO32" i="16" s="1"/>
  <c r="BJ28" i="16"/>
  <c r="AO28" i="16" s="1"/>
  <c r="BJ16" i="16"/>
  <c r="AO16" i="16" s="1"/>
  <c r="BJ27" i="16"/>
  <c r="AO27" i="16" s="1"/>
  <c r="BJ19" i="16"/>
  <c r="AO19" i="16" s="1"/>
  <c r="BJ26" i="16"/>
  <c r="AO26" i="16" s="1"/>
  <c r="BJ13" i="16"/>
  <c r="AO13" i="16" s="1"/>
  <c r="BJ22" i="16"/>
  <c r="AO22" i="16" s="1"/>
  <c r="BJ18" i="16"/>
  <c r="AO18" i="16" s="1"/>
  <c r="BJ25" i="16"/>
  <c r="AO25" i="16" s="1"/>
  <c r="BJ21" i="16"/>
  <c r="AO21" i="16" s="1"/>
  <c r="BJ15" i="16"/>
  <c r="AO15" i="16" s="1"/>
  <c r="BJ17" i="16"/>
  <c r="AO17" i="16" s="1"/>
  <c r="BJ23" i="16"/>
  <c r="AO23" i="16" s="1"/>
  <c r="BJ20" i="16"/>
  <c r="AO20" i="16" s="1"/>
  <c r="BJ24" i="16"/>
  <c r="AO24" i="16" s="1"/>
  <c r="AN35" i="26" l="1"/>
  <c r="AO35" i="26"/>
  <c r="AN36" i="26"/>
  <c r="AO36" i="26"/>
  <c r="AN30" i="26"/>
  <c r="AO30" i="26"/>
  <c r="AN25" i="26"/>
  <c r="AO25" i="26"/>
  <c r="AN16" i="26"/>
  <c r="AO16" i="26"/>
  <c r="AN13" i="26"/>
  <c r="AO13" i="26"/>
  <c r="AN31" i="26"/>
  <c r="AO31" i="26"/>
  <c r="AN27" i="26"/>
  <c r="AO27" i="26"/>
  <c r="AN18" i="26"/>
  <c r="AO18" i="26"/>
  <c r="AN28" i="26"/>
  <c r="AO28" i="26"/>
  <c r="AN32" i="26"/>
  <c r="AO32" i="26"/>
  <c r="AN26" i="26"/>
  <c r="AO26" i="26"/>
  <c r="AN34" i="26"/>
  <c r="AO34" i="26"/>
  <c r="AN33" i="26"/>
  <c r="AO33" i="26"/>
  <c r="AN24" i="26"/>
  <c r="AO24" i="26"/>
  <c r="AN20" i="26"/>
  <c r="AO20" i="26"/>
  <c r="AN23" i="26"/>
  <c r="AO23" i="26"/>
  <c r="AN22" i="26"/>
  <c r="AO22" i="26"/>
  <c r="AN17" i="26"/>
  <c r="AO17" i="26"/>
  <c r="AN15" i="26"/>
  <c r="AO15" i="26"/>
  <c r="AN21" i="26"/>
  <c r="AO21" i="26"/>
  <c r="AN19" i="26"/>
  <c r="AO19" i="26"/>
  <c r="AN29" i="26"/>
  <c r="AO29" i="26"/>
  <c r="AN14" i="26"/>
  <c r="AO14" i="26"/>
  <c r="AL56" i="16"/>
  <c r="AK56" i="16"/>
  <c r="AJ56" i="16"/>
  <c r="AI56" i="16"/>
  <c r="AH56" i="16"/>
  <c r="AG56" i="16"/>
  <c r="AF56" i="16"/>
  <c r="AE56" i="16"/>
  <c r="AD56" i="16"/>
  <c r="AC56" i="16"/>
  <c r="AB56" i="16"/>
  <c r="AA56" i="16"/>
  <c r="Z56" i="16"/>
  <c r="Y56" i="16"/>
  <c r="X56" i="16"/>
  <c r="W56" i="16"/>
  <c r="V56" i="16"/>
  <c r="U56" i="16"/>
  <c r="T56" i="16"/>
  <c r="S56" i="16"/>
  <c r="R56" i="16"/>
  <c r="Q56" i="16"/>
  <c r="P56" i="16"/>
  <c r="O56" i="16"/>
  <c r="N56" i="16"/>
  <c r="M56" i="16"/>
  <c r="L56" i="16"/>
  <c r="K56" i="16"/>
  <c r="J56" i="16"/>
  <c r="I56" i="16"/>
  <c r="H56" i="16"/>
  <c r="AL54" i="16"/>
  <c r="AK54" i="16"/>
  <c r="AJ54" i="16"/>
  <c r="AI54" i="16"/>
  <c r="AH54" i="16"/>
  <c r="AG54" i="16"/>
  <c r="AF54" i="16"/>
  <c r="AE54" i="16"/>
  <c r="AD54" i="16"/>
  <c r="AC54" i="16"/>
  <c r="AB54" i="16"/>
  <c r="AA54" i="16"/>
  <c r="Z54" i="16"/>
  <c r="Y54" i="16"/>
  <c r="X54" i="16"/>
  <c r="W54" i="16"/>
  <c r="V54" i="16"/>
  <c r="U54" i="16"/>
  <c r="T54" i="16"/>
  <c r="S54" i="16"/>
  <c r="R54" i="16"/>
  <c r="Q54" i="16"/>
  <c r="P54" i="16"/>
  <c r="O54" i="16"/>
  <c r="N54" i="16"/>
  <c r="M54" i="16"/>
  <c r="L54" i="16"/>
  <c r="K54" i="16"/>
  <c r="J54" i="16"/>
  <c r="I54" i="16"/>
  <c r="H54" i="16"/>
  <c r="AL52" i="16"/>
  <c r="AK52" i="16"/>
  <c r="AJ52" i="16"/>
  <c r="AI52" i="16"/>
  <c r="AH52" i="16"/>
  <c r="AG52" i="16"/>
  <c r="AF52" i="16"/>
  <c r="AE52" i="16"/>
  <c r="AD52" i="16"/>
  <c r="AC52" i="16"/>
  <c r="AB52" i="16"/>
  <c r="AA52" i="16"/>
  <c r="Z52" i="16"/>
  <c r="Y52" i="16"/>
  <c r="X52" i="16"/>
  <c r="W52" i="16"/>
  <c r="V52" i="16"/>
  <c r="U52" i="16"/>
  <c r="T52" i="16"/>
  <c r="S52" i="16"/>
  <c r="R52" i="16"/>
  <c r="Q52" i="16"/>
  <c r="P52" i="16"/>
  <c r="O52" i="16"/>
  <c r="N52" i="16"/>
  <c r="M52" i="16"/>
  <c r="L52" i="16"/>
  <c r="K52" i="16"/>
  <c r="J52" i="16"/>
  <c r="I52" i="16"/>
  <c r="H52" i="16"/>
  <c r="AL50" i="16"/>
  <c r="AK50" i="16"/>
  <c r="AJ50" i="16"/>
  <c r="AI50" i="16"/>
  <c r="AH50" i="16"/>
  <c r="AG50" i="16"/>
  <c r="AF50" i="16"/>
  <c r="AE50" i="16"/>
  <c r="AD50" i="16"/>
  <c r="AC50" i="16"/>
  <c r="AB50" i="16"/>
  <c r="AA50" i="16"/>
  <c r="Z50" i="16"/>
  <c r="Y50" i="16"/>
  <c r="X50" i="16"/>
  <c r="W50" i="16"/>
  <c r="V50" i="16"/>
  <c r="U50" i="16"/>
  <c r="T50" i="16"/>
  <c r="S50" i="16"/>
  <c r="R50" i="16"/>
  <c r="Q50" i="16"/>
  <c r="P50" i="16"/>
  <c r="O50" i="16"/>
  <c r="N50" i="16"/>
  <c r="M50" i="16"/>
  <c r="L50" i="16"/>
  <c r="K50" i="16"/>
  <c r="J50" i="16"/>
  <c r="I50" i="16"/>
  <c r="H50" i="16"/>
  <c r="AL48" i="16"/>
  <c r="AK48" i="16"/>
  <c r="AJ48" i="16"/>
  <c r="AI48" i="16"/>
  <c r="AH48" i="16"/>
  <c r="AG48" i="16"/>
  <c r="AF48" i="16"/>
  <c r="AE48" i="16"/>
  <c r="AD48" i="16"/>
  <c r="AC48" i="16"/>
  <c r="AB48" i="16"/>
  <c r="AA48" i="16"/>
  <c r="Z48" i="16"/>
  <c r="Y48" i="16"/>
  <c r="X48" i="16"/>
  <c r="W48" i="16"/>
  <c r="V48" i="16"/>
  <c r="U48" i="16"/>
  <c r="T48" i="16"/>
  <c r="S48" i="16"/>
  <c r="R48" i="16"/>
  <c r="Q48" i="16"/>
  <c r="P48" i="16"/>
  <c r="O48" i="16"/>
  <c r="N48" i="16"/>
  <c r="M48" i="16"/>
  <c r="L48" i="16"/>
  <c r="K48" i="16"/>
  <c r="J48" i="16"/>
  <c r="I48" i="16"/>
  <c r="H48" i="16"/>
  <c r="N59" i="16" l="1"/>
  <c r="N43" i="16" s="1"/>
  <c r="T59" i="16"/>
  <c r="T43" i="16" s="1"/>
  <c r="Z59" i="16"/>
  <c r="Z43" i="16" s="1"/>
  <c r="AF59" i="16"/>
  <c r="AF43" i="16" s="1"/>
  <c r="AL59" i="16"/>
  <c r="AL43" i="16" s="1"/>
  <c r="M59" i="16"/>
  <c r="M43" i="16" s="1"/>
  <c r="S59" i="16"/>
  <c r="S43" i="16" s="1"/>
  <c r="Y59" i="16"/>
  <c r="Y43" i="16" s="1"/>
  <c r="AE59" i="16"/>
  <c r="AE43" i="16" s="1"/>
  <c r="AK59" i="16"/>
  <c r="AK43" i="16" s="1"/>
  <c r="I59" i="16"/>
  <c r="I43" i="16" s="1"/>
  <c r="O59" i="16"/>
  <c r="O43" i="16" s="1"/>
  <c r="U59" i="16"/>
  <c r="U43" i="16" s="1"/>
  <c r="AA59" i="16"/>
  <c r="AA43" i="16" s="1"/>
  <c r="AG59" i="16"/>
  <c r="AG43" i="16" s="1"/>
  <c r="J59" i="16"/>
  <c r="J43" i="16" s="1"/>
  <c r="P59" i="16"/>
  <c r="P43" i="16" s="1"/>
  <c r="V59" i="16"/>
  <c r="V43" i="16" s="1"/>
  <c r="AB59" i="16"/>
  <c r="AB43" i="16" s="1"/>
  <c r="AH59" i="16"/>
  <c r="AH43" i="16" s="1"/>
  <c r="K59" i="16"/>
  <c r="K43" i="16" s="1"/>
  <c r="Q59" i="16"/>
  <c r="Q43" i="16" s="1"/>
  <c r="W59" i="16"/>
  <c r="W43" i="16" s="1"/>
  <c r="AC59" i="16"/>
  <c r="AC43" i="16" s="1"/>
  <c r="AI59" i="16"/>
  <c r="AI43" i="16" s="1"/>
  <c r="L59" i="16"/>
  <c r="L43" i="16" s="1"/>
  <c r="R59" i="16"/>
  <c r="R43" i="16" s="1"/>
  <c r="X59" i="16"/>
  <c r="X43" i="16" s="1"/>
  <c r="AD59" i="16"/>
  <c r="AD43" i="16" s="1"/>
  <c r="AJ59" i="16"/>
  <c r="AJ43" i="16" s="1"/>
  <c r="H59" i="16"/>
  <c r="H43" i="16" s="1"/>
  <c r="H61" i="16"/>
  <c r="H45" i="16" s="1"/>
  <c r="O60" i="16"/>
  <c r="O44" i="16" s="1"/>
  <c r="O61" i="16"/>
  <c r="O45" i="16" s="1"/>
  <c r="P60" i="16"/>
  <c r="P44" i="16" s="1"/>
  <c r="P61" i="16"/>
  <c r="P45" i="16" s="1"/>
  <c r="L60" i="16"/>
  <c r="L44" i="16" s="1"/>
  <c r="L61" i="16"/>
  <c r="L45" i="16" s="1"/>
  <c r="R60" i="16"/>
  <c r="R44" i="16" s="1"/>
  <c r="R61" i="16"/>
  <c r="R45" i="16" s="1"/>
  <c r="X60" i="16"/>
  <c r="X44" i="16" s="1"/>
  <c r="X61" i="16"/>
  <c r="X45" i="16" s="1"/>
  <c r="AD60" i="16"/>
  <c r="AD44" i="16" s="1"/>
  <c r="AD61" i="16"/>
  <c r="AD45" i="16" s="1"/>
  <c r="AJ60" i="16"/>
  <c r="AJ44" i="16" s="1"/>
  <c r="AJ61" i="16"/>
  <c r="AJ45" i="16" s="1"/>
  <c r="S60" i="16"/>
  <c r="S44" i="16" s="1"/>
  <c r="S61" i="16"/>
  <c r="S45" i="16" s="1"/>
  <c r="Y60" i="16"/>
  <c r="Y44" i="16" s="1"/>
  <c r="Y61" i="16"/>
  <c r="Y45" i="16" s="1"/>
  <c r="AE60" i="16"/>
  <c r="AE44" i="16" s="1"/>
  <c r="AE61" i="16"/>
  <c r="AE45" i="16" s="1"/>
  <c r="AK60" i="16"/>
  <c r="AK44" i="16" s="1"/>
  <c r="AK61" i="16"/>
  <c r="AK45" i="16" s="1"/>
  <c r="H60" i="16"/>
  <c r="H44" i="16" s="1"/>
  <c r="N60" i="16"/>
  <c r="N44" i="16" s="1"/>
  <c r="N61" i="16"/>
  <c r="N45" i="16" s="1"/>
  <c r="T60" i="16"/>
  <c r="T44" i="16" s="1"/>
  <c r="T61" i="16"/>
  <c r="T45" i="16" s="1"/>
  <c r="Z60" i="16"/>
  <c r="Z44" i="16" s="1"/>
  <c r="Z61" i="16"/>
  <c r="Z45" i="16" s="1"/>
  <c r="AF60" i="16"/>
  <c r="AF44" i="16" s="1"/>
  <c r="AF61" i="16"/>
  <c r="AF45" i="16" s="1"/>
  <c r="AL60" i="16"/>
  <c r="AL44" i="16" s="1"/>
  <c r="AL61" i="16"/>
  <c r="AL45" i="16" s="1"/>
  <c r="AA60" i="16"/>
  <c r="AA44" i="16" s="1"/>
  <c r="AA61" i="16"/>
  <c r="AA45" i="16" s="1"/>
  <c r="AG60" i="16"/>
  <c r="AG44" i="16" s="1"/>
  <c r="AG61" i="16"/>
  <c r="AG45" i="16" s="1"/>
  <c r="M60" i="16"/>
  <c r="M44" i="16" s="1"/>
  <c r="M61" i="16"/>
  <c r="M45" i="16" s="1"/>
  <c r="I60" i="16"/>
  <c r="I44" i="16" s="1"/>
  <c r="I61" i="16"/>
  <c r="I45" i="16" s="1"/>
  <c r="AB60" i="16"/>
  <c r="AB44" i="16" s="1"/>
  <c r="AB61" i="16"/>
  <c r="AB45" i="16" s="1"/>
  <c r="AH60" i="16"/>
  <c r="AH44" i="16" s="1"/>
  <c r="AH61" i="16"/>
  <c r="AH45" i="16" s="1"/>
  <c r="U60" i="16"/>
  <c r="U44" i="16" s="1"/>
  <c r="U61" i="16"/>
  <c r="U45" i="16" s="1"/>
  <c r="J60" i="16"/>
  <c r="J44" i="16" s="1"/>
  <c r="J61" i="16"/>
  <c r="J45" i="16" s="1"/>
  <c r="V60" i="16"/>
  <c r="V44" i="16" s="1"/>
  <c r="V61" i="16"/>
  <c r="V45" i="16" s="1"/>
  <c r="K60" i="16"/>
  <c r="K44" i="16" s="1"/>
  <c r="K61" i="16"/>
  <c r="K45" i="16" s="1"/>
  <c r="Q60" i="16"/>
  <c r="Q44" i="16" s="1"/>
  <c r="Q61" i="16"/>
  <c r="Q45" i="16" s="1"/>
  <c r="W60" i="16"/>
  <c r="W44" i="16" s="1"/>
  <c r="W61" i="16"/>
  <c r="W45" i="16" s="1"/>
  <c r="AC60" i="16"/>
  <c r="AC44" i="16" s="1"/>
  <c r="AC61" i="16"/>
  <c r="AC45" i="16" s="1"/>
  <c r="AI60" i="16"/>
  <c r="AI44" i="16" s="1"/>
  <c r="AI61" i="16"/>
  <c r="AI45" i="16" s="1"/>
  <c r="AN71" i="18" l="1"/>
  <c r="AN69" i="18"/>
  <c r="AN67" i="18"/>
  <c r="AN65" i="18"/>
  <c r="AN63" i="18"/>
  <c r="AN61" i="18"/>
  <c r="AN59" i="18"/>
  <c r="AN57" i="18"/>
  <c r="AN55" i="18"/>
  <c r="AN53" i="18"/>
  <c r="AN51" i="18"/>
  <c r="AN49" i="18"/>
  <c r="AN47" i="18"/>
  <c r="AN45" i="18"/>
  <c r="AN43" i="18"/>
  <c r="AN41" i="18"/>
  <c r="AN39" i="18"/>
  <c r="AN37" i="18"/>
  <c r="AN35" i="18"/>
  <c r="AN33" i="18"/>
  <c r="AN31" i="18"/>
  <c r="AN29" i="18"/>
  <c r="AN27" i="18"/>
  <c r="AN25" i="18"/>
  <c r="AN23" i="18"/>
  <c r="AN21" i="18"/>
  <c r="AN19" i="18"/>
  <c r="AN17" i="18"/>
  <c r="AN15" i="18"/>
  <c r="AN13" i="18"/>
  <c r="V3" i="18" l="1"/>
  <c r="Q3" i="18"/>
  <c r="H10" i="18"/>
  <c r="I10" i="18"/>
  <c r="B5" i="22"/>
  <c r="B4" i="22"/>
  <c r="F2" i="22" s="1"/>
  <c r="B6" i="22"/>
  <c r="J10" i="18"/>
  <c r="K10" i="18"/>
  <c r="B7" i="22"/>
  <c r="L10" i="18"/>
  <c r="B8" i="22"/>
  <c r="B9" i="22"/>
  <c r="M10" i="18"/>
  <c r="B10" i="22"/>
  <c r="N10" i="18"/>
  <c r="O10" i="18"/>
  <c r="B11" i="22"/>
  <c r="B12" i="22"/>
  <c r="P10" i="18"/>
  <c r="B13" i="22"/>
  <c r="Q10" i="18"/>
  <c r="R10" i="18"/>
  <c r="B14" i="22"/>
  <c r="S10" i="18"/>
  <c r="B15" i="22"/>
  <c r="B16" i="22"/>
  <c r="T10" i="18"/>
  <c r="B17" i="22"/>
  <c r="U10" i="18"/>
  <c r="B18" i="22"/>
  <c r="V10" i="18"/>
  <c r="B19" i="22"/>
  <c r="W10" i="18"/>
  <c r="X10" i="18"/>
  <c r="E4" i="22"/>
  <c r="E5" i="22"/>
  <c r="Y10" i="18"/>
  <c r="Z10" i="18"/>
  <c r="E6" i="22"/>
  <c r="AA10" i="18"/>
  <c r="E7" i="22"/>
  <c r="AB10" i="18"/>
  <c r="E8" i="22"/>
  <c r="AC10" i="18"/>
  <c r="E9" i="22"/>
  <c r="E10" i="22"/>
  <c r="AD10" i="18"/>
  <c r="AE10" i="18"/>
  <c r="E11" i="22"/>
  <c r="E12" i="22"/>
  <c r="AF10" i="18"/>
  <c r="AG10" i="18"/>
  <c r="E13" i="22"/>
  <c r="AH10" i="18"/>
  <c r="E14" i="22"/>
  <c r="E15" i="22"/>
  <c r="F15" i="22" s="1"/>
  <c r="AI10" i="18"/>
  <c r="AJ10" i="18"/>
  <c r="AK10" i="18"/>
  <c r="E17" i="22"/>
  <c r="F17" i="22" s="1"/>
  <c r="AL10" i="18"/>
  <c r="AF11" i="18" l="1"/>
  <c r="AH11" i="18"/>
  <c r="AB11" i="18"/>
  <c r="R11" i="18"/>
  <c r="L11" i="18"/>
  <c r="X11" i="18"/>
  <c r="AK11" i="18"/>
  <c r="AE11" i="18"/>
  <c r="S11" i="18"/>
  <c r="H11" i="18"/>
  <c r="AD11" i="18"/>
  <c r="T11" i="18"/>
  <c r="AI11" i="18"/>
  <c r="W11" i="18"/>
  <c r="Q11" i="18"/>
  <c r="AJ11" i="18"/>
  <c r="Z11" i="18"/>
  <c r="P11" i="18"/>
  <c r="Y11" i="18"/>
  <c r="U11" i="18"/>
  <c r="M11" i="18"/>
  <c r="I11" i="18"/>
  <c r="AG11" i="18"/>
  <c r="AC11" i="18"/>
  <c r="AA11" i="18"/>
  <c r="O11" i="18"/>
  <c r="K11" i="18"/>
  <c r="AL11" i="18"/>
  <c r="V11" i="18"/>
  <c r="N11" i="18"/>
  <c r="J11" i="18"/>
  <c r="Z3" i="18"/>
  <c r="F6" i="22" l="1"/>
  <c r="F4" i="22"/>
  <c r="C16" i="22"/>
  <c r="C17" i="22"/>
  <c r="F12" i="22"/>
  <c r="C18" i="22"/>
  <c r="F10" i="22"/>
  <c r="F9" i="22"/>
  <c r="C4" i="22"/>
  <c r="F5" i="22"/>
  <c r="C7" i="22"/>
  <c r="C10" i="22"/>
  <c r="C13" i="22"/>
  <c r="C11" i="22"/>
  <c r="BJ12" i="16"/>
  <c r="AO12" i="16" s="1"/>
  <c r="AN12" i="26" l="1"/>
  <c r="AO12" i="26"/>
  <c r="C5" i="22"/>
  <c r="C15" i="22"/>
  <c r="C6" i="22"/>
  <c r="C14" i="22"/>
  <c r="F11" i="22"/>
  <c r="F8" i="22"/>
  <c r="F7" i="22"/>
  <c r="C8" i="22"/>
  <c r="C12" i="22"/>
  <c r="C9" i="22"/>
</calcChain>
</file>

<file path=xl/sharedStrings.xml><?xml version="1.0" encoding="utf-8"?>
<sst xmlns="http://schemas.openxmlformats.org/spreadsheetml/2006/main" count="248" uniqueCount="152">
  <si>
    <t>氏名</t>
    <rPh sb="0" eb="2">
      <t>シメイ</t>
    </rPh>
    <phoneticPr fontId="2"/>
  </si>
  <si>
    <t>労働時間</t>
    <rPh sb="0" eb="2">
      <t>ロウドウ</t>
    </rPh>
    <rPh sb="2" eb="4">
      <t>ジカン</t>
    </rPh>
    <phoneticPr fontId="2"/>
  </si>
  <si>
    <t>出勤日数</t>
    <rPh sb="0" eb="2">
      <t>シュッキン</t>
    </rPh>
    <rPh sb="2" eb="3">
      <t>ビ</t>
    </rPh>
    <rPh sb="3" eb="4">
      <t>スウ</t>
    </rPh>
    <phoneticPr fontId="2"/>
  </si>
  <si>
    <t>～</t>
    <phoneticPr fontId="2"/>
  </si>
  <si>
    <t>桜</t>
    <rPh sb="0" eb="1">
      <t>サクラ</t>
    </rPh>
    <phoneticPr fontId="2"/>
  </si>
  <si>
    <t>缶</t>
    <rPh sb="0" eb="1">
      <t>カン</t>
    </rPh>
    <phoneticPr fontId="2"/>
  </si>
  <si>
    <t>事</t>
    <rPh sb="0" eb="1">
      <t>ジ</t>
    </rPh>
    <phoneticPr fontId="2"/>
  </si>
  <si>
    <t>1号機</t>
    <rPh sb="1" eb="3">
      <t>ゴウキ</t>
    </rPh>
    <phoneticPr fontId="2"/>
  </si>
  <si>
    <t>２号機</t>
    <rPh sb="1" eb="3">
      <t>ゴウキ</t>
    </rPh>
    <phoneticPr fontId="2"/>
  </si>
  <si>
    <t>３号機</t>
    <rPh sb="1" eb="3">
      <t>ゴウキ</t>
    </rPh>
    <phoneticPr fontId="2"/>
  </si>
  <si>
    <t>月／日</t>
    <rPh sb="0" eb="1">
      <t>ツキ</t>
    </rPh>
    <rPh sb="2" eb="3">
      <t>ヒ</t>
    </rPh>
    <phoneticPr fontId="2"/>
  </si>
  <si>
    <t>ﾁｪｯｸ</t>
    <phoneticPr fontId="2"/>
  </si>
  <si>
    <t>T3</t>
    <phoneticPr fontId="2"/>
  </si>
  <si>
    <t>ｶﾞﾝﾏ照射課トイレ掃除表</t>
    <phoneticPr fontId="2"/>
  </si>
  <si>
    <t>表示順</t>
    <rPh sb="0" eb="2">
      <t>ヒョウジ</t>
    </rPh>
    <rPh sb="2" eb="3">
      <t>ジュン</t>
    </rPh>
    <phoneticPr fontId="2"/>
  </si>
  <si>
    <t>社員番号</t>
  </si>
  <si>
    <t>社員名</t>
  </si>
  <si>
    <t>勤務表対象</t>
  </si>
  <si>
    <t>トイレ掃除対象</t>
  </si>
  <si>
    <t>表示順</t>
    <rPh sb="0" eb="2">
      <t>ヒョウジ</t>
    </rPh>
    <rPh sb="2" eb="3">
      <t>ジュン</t>
    </rPh>
    <phoneticPr fontId="2"/>
  </si>
  <si>
    <t>ガンマ・入出荷社員登録データ</t>
    <rPh sb="4" eb="7">
      <t>ニュウシュッカ</t>
    </rPh>
    <rPh sb="7" eb="9">
      <t>シャイン</t>
    </rPh>
    <rPh sb="9" eb="11">
      <t>トウロク</t>
    </rPh>
    <phoneticPr fontId="2"/>
  </si>
  <si>
    <t>変更有無</t>
    <rPh sb="0" eb="2">
      <t>ヘンコウ</t>
    </rPh>
    <rPh sb="2" eb="4">
      <t>ウム</t>
    </rPh>
    <phoneticPr fontId="2"/>
  </si>
  <si>
    <t>ﾄｲﾚ掃除対象</t>
    <phoneticPr fontId="2"/>
  </si>
  <si>
    <t>ガンマ勤務表対象</t>
    <phoneticPr fontId="2"/>
  </si>
  <si>
    <t>休日</t>
    <rPh sb="0" eb="2">
      <t>キュウジツ</t>
    </rPh>
    <phoneticPr fontId="2"/>
  </si>
  <si>
    <t>社員番号</t>
    <rPh sb="0" eb="4">
      <t>シャインバンゴウ</t>
    </rPh>
    <phoneticPr fontId="2"/>
  </si>
  <si>
    <t>休み</t>
    <rPh sb="0" eb="1">
      <t>ヤス</t>
    </rPh>
    <phoneticPr fontId="2"/>
  </si>
  <si>
    <t>日付</t>
    <rPh sb="0" eb="2">
      <t>ヒヅケ</t>
    </rPh>
    <phoneticPr fontId="2"/>
  </si>
  <si>
    <t>表示順</t>
    <rPh sb="0" eb="2">
      <t>ヒョウジ</t>
    </rPh>
    <rPh sb="2" eb="3">
      <t>ジュン</t>
    </rPh>
    <phoneticPr fontId="2"/>
  </si>
  <si>
    <t>VLOOKUPの
検索番号</t>
    <rPh sb="9" eb="11">
      <t>ケンサク</t>
    </rPh>
    <rPh sb="11" eb="13">
      <t>バンゴウ</t>
    </rPh>
    <phoneticPr fontId="2"/>
  </si>
  <si>
    <t>記号</t>
    <rPh sb="0" eb="2">
      <t>キゴウ</t>
    </rPh>
    <phoneticPr fontId="2"/>
  </si>
  <si>
    <t>人数</t>
    <rPh sb="0" eb="2">
      <t>ニンズウ</t>
    </rPh>
    <phoneticPr fontId="2"/>
  </si>
  <si>
    <t>11時間
勤務日数</t>
    <rPh sb="2" eb="4">
      <t>ジカン</t>
    </rPh>
    <rPh sb="5" eb="7">
      <t>キンム</t>
    </rPh>
    <rPh sb="7" eb="9">
      <t>ニッスウ</t>
    </rPh>
    <phoneticPr fontId="2"/>
  </si>
  <si>
    <t>休み</t>
    <rPh sb="0" eb="1">
      <t>ヤス</t>
    </rPh>
    <phoneticPr fontId="2"/>
  </si>
  <si>
    <t>8時間
勤務日数</t>
    <rPh sb="1" eb="3">
      <t>ジカン</t>
    </rPh>
    <rPh sb="4" eb="6">
      <t>キンム</t>
    </rPh>
    <rPh sb="6" eb="8">
      <t>ニッスウ</t>
    </rPh>
    <phoneticPr fontId="2"/>
  </si>
  <si>
    <t>0時間
日数</t>
    <rPh sb="1" eb="3">
      <t>ジカン</t>
    </rPh>
    <rPh sb="4" eb="6">
      <t>ニッスウ</t>
    </rPh>
    <phoneticPr fontId="2"/>
  </si>
  <si>
    <t>T3トイレ担当者</t>
    <rPh sb="5" eb="8">
      <t>タントウシャ</t>
    </rPh>
    <phoneticPr fontId="2"/>
  </si>
  <si>
    <t>1:T3トイレ掃除日</t>
    <rPh sb="7" eb="9">
      <t>ソウジ</t>
    </rPh>
    <rPh sb="9" eb="10">
      <t>ビ</t>
    </rPh>
    <phoneticPr fontId="2"/>
  </si>
  <si>
    <t>さくらハウス掃除</t>
    <rPh sb="6" eb="8">
      <t>ソウジ</t>
    </rPh>
    <phoneticPr fontId="2"/>
  </si>
  <si>
    <t>氏名           　暦</t>
    <rPh sb="0" eb="2">
      <t>シメイ</t>
    </rPh>
    <rPh sb="14" eb="15">
      <t>コヨミ</t>
    </rPh>
    <phoneticPr fontId="2"/>
  </si>
  <si>
    <t>Ric1</t>
    <phoneticPr fontId="2"/>
  </si>
  <si>
    <t>Ric2</t>
    <phoneticPr fontId="2"/>
  </si>
  <si>
    <t>Ric3</t>
    <phoneticPr fontId="2"/>
  </si>
  <si>
    <t>記号と装置別勤務時間表</t>
    <rPh sb="0" eb="2">
      <t>キゴウ</t>
    </rPh>
    <rPh sb="3" eb="5">
      <t>ソウチ</t>
    </rPh>
    <rPh sb="5" eb="6">
      <t>ベツ</t>
    </rPh>
    <rPh sb="6" eb="8">
      <t>キンム</t>
    </rPh>
    <rPh sb="8" eb="10">
      <t>ジカン</t>
    </rPh>
    <rPh sb="10" eb="11">
      <t>ヒョウ</t>
    </rPh>
    <phoneticPr fontId="2"/>
  </si>
  <si>
    <t>1号機</t>
    <rPh sb="1" eb="3">
      <t>ゴウキ</t>
    </rPh>
    <phoneticPr fontId="2"/>
  </si>
  <si>
    <t>2号機</t>
    <rPh sb="1" eb="3">
      <t>ゴウキ</t>
    </rPh>
    <phoneticPr fontId="2"/>
  </si>
  <si>
    <t>3号機</t>
    <rPh sb="1" eb="3">
      <t>ゴウキ</t>
    </rPh>
    <phoneticPr fontId="2"/>
  </si>
  <si>
    <t>社員データ登録／修正方法</t>
    <rPh sb="0" eb="2">
      <t>シャイン</t>
    </rPh>
    <rPh sb="5" eb="7">
      <t>トウロク</t>
    </rPh>
    <rPh sb="8" eb="10">
      <t>シュウセイ</t>
    </rPh>
    <rPh sb="10" eb="12">
      <t>ホウホウ</t>
    </rPh>
    <phoneticPr fontId="2"/>
  </si>
  <si>
    <t>勤務時間</t>
    <rPh sb="0" eb="2">
      <t>キンム</t>
    </rPh>
    <rPh sb="2" eb="4">
      <t>ジカン</t>
    </rPh>
    <phoneticPr fontId="2"/>
  </si>
  <si>
    <t>労働
時間</t>
    <rPh sb="0" eb="2">
      <t>ロウドウ</t>
    </rPh>
    <rPh sb="3" eb="5">
      <t>ジカン</t>
    </rPh>
    <phoneticPr fontId="2"/>
  </si>
  <si>
    <t>３号機トイレ掃除確認票</t>
    <rPh sb="1" eb="3">
      <t>ゴウキ</t>
    </rPh>
    <rPh sb="6" eb="8">
      <t>ソウジ</t>
    </rPh>
    <rPh sb="8" eb="10">
      <t>カクニン</t>
    </rPh>
    <rPh sb="10" eb="11">
      <t>ヒョウ</t>
    </rPh>
    <phoneticPr fontId="2"/>
  </si>
  <si>
    <t>超勤
時間</t>
    <rPh sb="0" eb="1">
      <t>チョウ</t>
    </rPh>
    <rPh sb="1" eb="2">
      <t>キン</t>
    </rPh>
    <rPh sb="3" eb="5">
      <t>ジカン</t>
    </rPh>
    <phoneticPr fontId="2"/>
  </si>
  <si>
    <t>1</t>
    <phoneticPr fontId="2"/>
  </si>
  <si>
    <t>Ric1</t>
    <phoneticPr fontId="2"/>
  </si>
  <si>
    <t>Ric2</t>
    <phoneticPr fontId="2"/>
  </si>
  <si>
    <t>ric3</t>
    <phoneticPr fontId="2"/>
  </si>
  <si>
    <t>No</t>
    <phoneticPr fontId="2"/>
  </si>
  <si>
    <t>期間</t>
    <rPh sb="0" eb="2">
      <t>キカン</t>
    </rPh>
    <phoneticPr fontId="2"/>
  </si>
  <si>
    <t>～</t>
    <phoneticPr fontId="2"/>
  </si>
  <si>
    <t>記号と装置別勤務時間表</t>
  </si>
  <si>
    <t>超勤時間計算に使用されるデータ</t>
    <rPh sb="0" eb="2">
      <t>チョウキン</t>
    </rPh>
    <rPh sb="2" eb="4">
      <t>ジカン</t>
    </rPh>
    <rPh sb="4" eb="6">
      <t>ケイサン</t>
    </rPh>
    <rPh sb="7" eb="9">
      <t>シヨウ</t>
    </rPh>
    <phoneticPr fontId="2"/>
  </si>
  <si>
    <t>・勤務計画シートの期間始めの日付を入力するとデータベース（労働時間表テーブル）より読み込まれる</t>
    <rPh sb="1" eb="3">
      <t>キンム</t>
    </rPh>
    <rPh sb="3" eb="5">
      <t>ケイカク</t>
    </rPh>
    <rPh sb="9" eb="11">
      <t>キカン</t>
    </rPh>
    <rPh sb="11" eb="12">
      <t>ハジ</t>
    </rPh>
    <rPh sb="14" eb="16">
      <t>ヒヅケ</t>
    </rPh>
    <rPh sb="17" eb="19">
      <t>ニュウリョク</t>
    </rPh>
    <rPh sb="29" eb="31">
      <t>ロウドウ</t>
    </rPh>
    <rPh sb="31" eb="33">
      <t>ジカン</t>
    </rPh>
    <rPh sb="33" eb="34">
      <t>ヒョウ</t>
    </rPh>
    <rPh sb="41" eb="42">
      <t>ヨ</t>
    </rPh>
    <rPh sb="43" eb="44">
      <t>コ</t>
    </rPh>
    <phoneticPr fontId="2"/>
  </si>
  <si>
    <t>・期間始めに該当するデータがない場合には直近のデータが読み込まれる</t>
    <rPh sb="1" eb="3">
      <t>キカン</t>
    </rPh>
    <rPh sb="3" eb="4">
      <t>ハジ</t>
    </rPh>
    <rPh sb="6" eb="8">
      <t>ガイトウ</t>
    </rPh>
    <rPh sb="16" eb="18">
      <t>バアイ</t>
    </rPh>
    <rPh sb="20" eb="22">
      <t>チョッキン</t>
    </rPh>
    <rPh sb="27" eb="28">
      <t>ヨ</t>
    </rPh>
    <rPh sb="29" eb="30">
      <t>コ</t>
    </rPh>
    <phoneticPr fontId="2"/>
  </si>
  <si>
    <t>③上書き又は名前を付けて保存する</t>
    <rPh sb="1" eb="3">
      <t>ウワガ</t>
    </rPh>
    <rPh sb="4" eb="5">
      <t>マタ</t>
    </rPh>
    <rPh sb="6" eb="8">
      <t>ナマエ</t>
    </rPh>
    <rPh sb="9" eb="10">
      <t>ツ</t>
    </rPh>
    <rPh sb="12" eb="14">
      <t>ホゾン</t>
    </rPh>
    <phoneticPr fontId="2"/>
  </si>
  <si>
    <t>出勤日数</t>
    <phoneticPr fontId="2"/>
  </si>
  <si>
    <t>勤務計画作成ソフト使用方法</t>
    <rPh sb="0" eb="2">
      <t>キンム</t>
    </rPh>
    <rPh sb="2" eb="4">
      <t>ケイカク</t>
    </rPh>
    <rPh sb="4" eb="6">
      <t>サクセイ</t>
    </rPh>
    <rPh sb="9" eb="11">
      <t>シヨウ</t>
    </rPh>
    <rPh sb="11" eb="13">
      <t>ホウホウ</t>
    </rPh>
    <phoneticPr fontId="2"/>
  </si>
  <si>
    <t>作成
資格</t>
    <rPh sb="0" eb="2">
      <t>サクセイ</t>
    </rPh>
    <rPh sb="3" eb="5">
      <t>シカク</t>
    </rPh>
    <phoneticPr fontId="2"/>
  </si>
  <si>
    <t>有効
無効</t>
  </si>
  <si>
    <t>有効
無効</t>
    <phoneticPr fontId="2"/>
  </si>
  <si>
    <t>回覧先</t>
    <rPh sb="0" eb="2">
      <t>カイラン</t>
    </rPh>
    <rPh sb="2" eb="3">
      <t>サキ</t>
    </rPh>
    <phoneticPr fontId="2"/>
  </si>
  <si>
    <t>氏名＼曜日</t>
    <rPh sb="0" eb="2">
      <t>シメイ</t>
    </rPh>
    <rPh sb="3" eb="5">
      <t>ヨウビ</t>
    </rPh>
    <phoneticPr fontId="2"/>
  </si>
  <si>
    <t>社員番号</t>
    <rPh sb="0" eb="2">
      <t>シャイン</t>
    </rPh>
    <rPh sb="2" eb="4">
      <t>バンゴウ</t>
    </rPh>
    <phoneticPr fontId="2"/>
  </si>
  <si>
    <t>②年月日入力のセル（黄色地）に日付を入力する。（注　年/月／11形式の日は１１固定）</t>
    <rPh sb="1" eb="4">
      <t>ネンガッピ</t>
    </rPh>
    <rPh sb="4" eb="6">
      <t>ニュウリョク</t>
    </rPh>
    <rPh sb="10" eb="12">
      <t>キイロ</t>
    </rPh>
    <rPh sb="12" eb="13">
      <t>ジ</t>
    </rPh>
    <rPh sb="15" eb="17">
      <t>ヒヅケ</t>
    </rPh>
    <rPh sb="18" eb="20">
      <t>ニュウリョク</t>
    </rPh>
    <rPh sb="24" eb="25">
      <t>チュウ</t>
    </rPh>
    <rPh sb="26" eb="27">
      <t>ネン</t>
    </rPh>
    <rPh sb="28" eb="29">
      <t>ツキ</t>
    </rPh>
    <rPh sb="32" eb="34">
      <t>ケイシキ</t>
    </rPh>
    <rPh sb="35" eb="36">
      <t>ヒ</t>
    </rPh>
    <rPh sb="39" eb="41">
      <t>コテイ</t>
    </rPh>
    <phoneticPr fontId="2"/>
  </si>
  <si>
    <t>③すでに登録されている勤務計画があればそのデータが表示される。なければ新規の勤務計画作成となる</t>
    <rPh sb="4" eb="6">
      <t>トウロク</t>
    </rPh>
    <rPh sb="11" eb="13">
      <t>キンム</t>
    </rPh>
    <rPh sb="13" eb="15">
      <t>ケイカク</t>
    </rPh>
    <rPh sb="25" eb="27">
      <t>ヒョウジ</t>
    </rPh>
    <rPh sb="35" eb="37">
      <t>シンキ</t>
    </rPh>
    <rPh sb="38" eb="40">
      <t>キンム</t>
    </rPh>
    <rPh sb="40" eb="42">
      <t>ケイカク</t>
    </rPh>
    <rPh sb="42" eb="44">
      <t>サクセイ</t>
    </rPh>
    <phoneticPr fontId="2"/>
  </si>
  <si>
    <t>④計画作成</t>
    <rPh sb="1" eb="3">
      <t>ケイカク</t>
    </rPh>
    <rPh sb="3" eb="5">
      <t>サクセイ</t>
    </rPh>
    <phoneticPr fontId="2"/>
  </si>
  <si>
    <t>⑤作成終了したら記録を実行する。</t>
    <rPh sb="1" eb="3">
      <t>サクセイ</t>
    </rPh>
    <rPh sb="3" eb="5">
      <t>シュウリョウ</t>
    </rPh>
    <rPh sb="8" eb="10">
      <t>キロク</t>
    </rPh>
    <rPh sb="11" eb="13">
      <t>ジッコウ</t>
    </rPh>
    <phoneticPr fontId="2"/>
  </si>
  <si>
    <t>このBookを更新するには</t>
    <rPh sb="7" eb="9">
      <t>コウシン</t>
    </rPh>
    <phoneticPr fontId="2"/>
  </si>
  <si>
    <t>② B1 をクリックする</t>
    <phoneticPr fontId="2"/>
  </si>
  <si>
    <t>回数</t>
    <rPh sb="0" eb="2">
      <t>カイスウ</t>
    </rPh>
    <phoneticPr fontId="2"/>
  </si>
  <si>
    <t>新規の勤務計画に表示されません</t>
    <phoneticPr fontId="2"/>
  </si>
  <si>
    <t>～</t>
    <phoneticPr fontId="2"/>
  </si>
  <si>
    <t>勤務記号</t>
    <rPh sb="0" eb="2">
      <t>キンム</t>
    </rPh>
    <rPh sb="2" eb="4">
      <t>キゴウ</t>
    </rPh>
    <phoneticPr fontId="2"/>
  </si>
  <si>
    <t>操作</t>
    <rPh sb="0" eb="2">
      <t>ソウサ</t>
    </rPh>
    <phoneticPr fontId="2"/>
  </si>
  <si>
    <t>閲覧</t>
    <rPh sb="0" eb="2">
      <t>エツラン</t>
    </rPh>
    <phoneticPr fontId="2"/>
  </si>
  <si>
    <t>1</t>
    <phoneticPr fontId="2"/>
  </si>
  <si>
    <t>2</t>
    <phoneticPr fontId="2"/>
  </si>
  <si>
    <t>3</t>
    <phoneticPr fontId="2"/>
  </si>
  <si>
    <t>①</t>
    <phoneticPr fontId="2"/>
  </si>
  <si>
    <t>②</t>
    <phoneticPr fontId="2"/>
  </si>
  <si>
    <t>残1</t>
    <phoneticPr fontId="2"/>
  </si>
  <si>
    <t>残2</t>
    <phoneticPr fontId="2"/>
  </si>
  <si>
    <t>3残1</t>
    <phoneticPr fontId="2"/>
  </si>
  <si>
    <t>3残2</t>
    <phoneticPr fontId="2"/>
  </si>
  <si>
    <t>S残1</t>
    <phoneticPr fontId="2"/>
  </si>
  <si>
    <t>S残2</t>
    <phoneticPr fontId="2"/>
  </si>
  <si>
    <t>夜1</t>
    <phoneticPr fontId="2"/>
  </si>
  <si>
    <t>夜2</t>
    <phoneticPr fontId="2"/>
  </si>
  <si>
    <t>夜L</t>
    <phoneticPr fontId="2"/>
  </si>
  <si>
    <t>休</t>
    <phoneticPr fontId="2"/>
  </si>
  <si>
    <t>明</t>
    <phoneticPr fontId="2"/>
  </si>
  <si>
    <t>有休</t>
    <phoneticPr fontId="2"/>
  </si>
  <si>
    <t>早出</t>
    <phoneticPr fontId="2"/>
  </si>
  <si>
    <t>代休</t>
    <phoneticPr fontId="2"/>
  </si>
  <si>
    <t>休希</t>
    <phoneticPr fontId="2"/>
  </si>
  <si>
    <t>S</t>
    <phoneticPr fontId="2"/>
  </si>
  <si>
    <t>積</t>
    <phoneticPr fontId="2"/>
  </si>
  <si>
    <t>S希</t>
    <phoneticPr fontId="2"/>
  </si>
  <si>
    <t>計画作成無資格者は有休、代休、休希（休み希望）、S希望の登録ができます。</t>
    <rPh sb="0" eb="2">
      <t>ケイカク</t>
    </rPh>
    <rPh sb="2" eb="4">
      <t>サクセイ</t>
    </rPh>
    <rPh sb="4" eb="5">
      <t>ム</t>
    </rPh>
    <rPh sb="5" eb="7">
      <t>シカク</t>
    </rPh>
    <rPh sb="7" eb="8">
      <t>シャ</t>
    </rPh>
    <rPh sb="9" eb="11">
      <t>ユウキュウ</t>
    </rPh>
    <rPh sb="12" eb="14">
      <t>ダイキュウ</t>
    </rPh>
    <rPh sb="15" eb="16">
      <t>キュウ</t>
    </rPh>
    <rPh sb="16" eb="17">
      <t>キ</t>
    </rPh>
    <rPh sb="18" eb="19">
      <t>ヤス</t>
    </rPh>
    <rPh sb="20" eb="22">
      <t>キボウ</t>
    </rPh>
    <rPh sb="25" eb="27">
      <t>キボウ</t>
    </rPh>
    <rPh sb="28" eb="30">
      <t>トウロク</t>
    </rPh>
    <phoneticPr fontId="2"/>
  </si>
  <si>
    <t>このBookは勤務計画のデータを登録・表示するのみでデータは以下データベースを使用</t>
    <rPh sb="7" eb="9">
      <t>キンム</t>
    </rPh>
    <rPh sb="9" eb="11">
      <t>ケイカク</t>
    </rPh>
    <rPh sb="16" eb="18">
      <t>トウロク</t>
    </rPh>
    <rPh sb="19" eb="21">
      <t>ヒョウジ</t>
    </rPh>
    <rPh sb="30" eb="32">
      <t>イカ</t>
    </rPh>
    <rPh sb="39" eb="41">
      <t>シヨウ</t>
    </rPh>
    <phoneticPr fontId="2"/>
  </si>
  <si>
    <t>①該当の氏名を選択し、「社員無効」をクリック</t>
    <rPh sb="1" eb="3">
      <t>ガイトウ</t>
    </rPh>
    <rPh sb="4" eb="6">
      <t>シメイ</t>
    </rPh>
    <rPh sb="7" eb="9">
      <t>センタク</t>
    </rPh>
    <rPh sb="12" eb="14">
      <t>シャイン</t>
    </rPh>
    <rPh sb="14" eb="16">
      <t>ムコウ</t>
    </rPh>
    <phoneticPr fontId="2"/>
  </si>
  <si>
    <r>
      <t>社員を計画に表示させない場合</t>
    </r>
    <r>
      <rPr>
        <sz val="12"/>
        <color rgb="FFFF0000"/>
        <rFont val="ＭＳ Ｐゴシック"/>
        <family val="3"/>
        <charset val="128"/>
      </rPr>
      <t>（注：勤務計画とトイレ掃除のデータが削除され再表示不可）</t>
    </r>
    <rPh sb="0" eb="2">
      <t>シャイン</t>
    </rPh>
    <rPh sb="3" eb="5">
      <t>ケイカク</t>
    </rPh>
    <rPh sb="6" eb="8">
      <t>ヒョウジ</t>
    </rPh>
    <rPh sb="12" eb="14">
      <t>バアイ</t>
    </rPh>
    <rPh sb="15" eb="16">
      <t>チュウ</t>
    </rPh>
    <rPh sb="17" eb="19">
      <t>キンム</t>
    </rPh>
    <rPh sb="19" eb="21">
      <t>ケイカク</t>
    </rPh>
    <rPh sb="25" eb="27">
      <t>ソウジ</t>
    </rPh>
    <rPh sb="32" eb="34">
      <t>サクジョ</t>
    </rPh>
    <rPh sb="36" eb="37">
      <t>サイ</t>
    </rPh>
    <rPh sb="37" eb="39">
      <t>ヒョウジ</t>
    </rPh>
    <rPh sb="39" eb="41">
      <t>フカ</t>
    </rPh>
    <phoneticPr fontId="2"/>
  </si>
  <si>
    <t>全て</t>
  </si>
  <si>
    <t>トイレ掃除表の社員表示位置</t>
    <rPh sb="3" eb="5">
      <t>ソウジ</t>
    </rPh>
    <rPh sb="5" eb="6">
      <t>ヒョウ</t>
    </rPh>
    <rPh sb="7" eb="9">
      <t>シャイン</t>
    </rPh>
    <rPh sb="9" eb="11">
      <t>ヒョウジ</t>
    </rPh>
    <rPh sb="11" eb="13">
      <t>イチ</t>
    </rPh>
    <phoneticPr fontId="2"/>
  </si>
  <si>
    <t>勤務計画シートで登録した場合トイレ掃除表の社員表示位置は社員データシートで調整のこと</t>
    <rPh sb="0" eb="2">
      <t>キンム</t>
    </rPh>
    <rPh sb="2" eb="4">
      <t>ケイカク</t>
    </rPh>
    <rPh sb="8" eb="10">
      <t>トウロク</t>
    </rPh>
    <rPh sb="12" eb="14">
      <t>バアイ</t>
    </rPh>
    <rPh sb="28" eb="30">
      <t>シャイン</t>
    </rPh>
    <rPh sb="37" eb="39">
      <t>チョウセイ</t>
    </rPh>
    <phoneticPr fontId="2"/>
  </si>
  <si>
    <t>項</t>
    <rPh sb="0" eb="1">
      <t>コウ</t>
    </rPh>
    <phoneticPr fontId="2"/>
  </si>
  <si>
    <t>内容</t>
    <rPh sb="0" eb="2">
      <t>ナイヨウ</t>
    </rPh>
    <phoneticPr fontId="2"/>
  </si>
  <si>
    <t>②新規登録は空白セルに入力し「登録」コマンド実行</t>
    <rPh sb="1" eb="3">
      <t>シンキ</t>
    </rPh>
    <rPh sb="3" eb="5">
      <t>トウロク</t>
    </rPh>
    <rPh sb="6" eb="8">
      <t>クウハク</t>
    </rPh>
    <rPh sb="11" eb="13">
      <t>ニュウリョク</t>
    </rPh>
    <rPh sb="15" eb="17">
      <t>トウロク</t>
    </rPh>
    <rPh sb="22" eb="24">
      <t>ジッコウ</t>
    </rPh>
    <phoneticPr fontId="2"/>
  </si>
  <si>
    <t>③表示順の変更は社員番号を選択し↑↓で移動後登録実行する</t>
    <rPh sb="1" eb="3">
      <t>ヒョウジ</t>
    </rPh>
    <rPh sb="3" eb="4">
      <t>ジュン</t>
    </rPh>
    <rPh sb="5" eb="7">
      <t>ヘンコウ</t>
    </rPh>
    <rPh sb="8" eb="10">
      <t>シャイン</t>
    </rPh>
    <rPh sb="10" eb="12">
      <t>バンゴウ</t>
    </rPh>
    <rPh sb="13" eb="15">
      <t>センタク</t>
    </rPh>
    <rPh sb="19" eb="21">
      <t>イドウ</t>
    </rPh>
    <rPh sb="21" eb="22">
      <t>ゴ</t>
    </rPh>
    <rPh sb="22" eb="24">
      <t>トウロク</t>
    </rPh>
    <rPh sb="24" eb="26">
      <t>ジッコウ</t>
    </rPh>
    <phoneticPr fontId="2"/>
  </si>
  <si>
    <t>⑤完全に削除するには以下のフォルダーにある各課予定DB.accdb内のガンマ入出荷勤務テーブルを開き削除する</t>
    <rPh sb="1" eb="3">
      <t>カンゼン</t>
    </rPh>
    <rPh sb="4" eb="6">
      <t>サクジョ</t>
    </rPh>
    <rPh sb="10" eb="12">
      <t>イカ</t>
    </rPh>
    <rPh sb="21" eb="23">
      <t>カクカ</t>
    </rPh>
    <rPh sb="23" eb="25">
      <t>ヨテイ</t>
    </rPh>
    <rPh sb="33" eb="34">
      <t>ナイ</t>
    </rPh>
    <rPh sb="38" eb="41">
      <t>ニュウシュッカ</t>
    </rPh>
    <rPh sb="41" eb="43">
      <t>キンム</t>
    </rPh>
    <rPh sb="48" eb="49">
      <t>ヒラ</t>
    </rPh>
    <rPh sb="50" eb="52">
      <t>サクジョ</t>
    </rPh>
    <phoneticPr fontId="2"/>
  </si>
  <si>
    <t>①有効社員のみ又は全てを選択し、呼出で現在登録されている社員を表示する</t>
    <rPh sb="1" eb="3">
      <t>ユウコウ</t>
    </rPh>
    <rPh sb="3" eb="5">
      <t>シャイン</t>
    </rPh>
    <rPh sb="7" eb="8">
      <t>マタ</t>
    </rPh>
    <rPh sb="9" eb="10">
      <t>スベ</t>
    </rPh>
    <rPh sb="12" eb="14">
      <t>センタク</t>
    </rPh>
    <rPh sb="16" eb="18">
      <t>ヨビダシ</t>
    </rPh>
    <rPh sb="19" eb="21">
      <t>ゲンザイ</t>
    </rPh>
    <rPh sb="21" eb="23">
      <t>トウロク</t>
    </rPh>
    <rPh sb="28" eb="30">
      <t>シャイン</t>
    </rPh>
    <rPh sb="31" eb="33">
      <t>ヒョウジ</t>
    </rPh>
    <phoneticPr fontId="2"/>
  </si>
  <si>
    <t>・直近の勤務計画がない場合はデフォルト値が使用される</t>
    <rPh sb="1" eb="3">
      <t>チョッキン</t>
    </rPh>
    <rPh sb="4" eb="6">
      <t>キンム</t>
    </rPh>
    <rPh sb="6" eb="8">
      <t>ケイカク</t>
    </rPh>
    <rPh sb="11" eb="13">
      <t>バアイ</t>
    </rPh>
    <rPh sb="19" eb="20">
      <t>チ</t>
    </rPh>
    <rPh sb="21" eb="23">
      <t>シヨウ</t>
    </rPh>
    <phoneticPr fontId="2"/>
  </si>
  <si>
    <t>・勤務時間を変更した場合は登録が必要である（注：黄色地のみ変更可）</t>
    <rPh sb="1" eb="3">
      <t>キンム</t>
    </rPh>
    <rPh sb="3" eb="5">
      <t>ジカン</t>
    </rPh>
    <rPh sb="6" eb="8">
      <t>ヘンコウ</t>
    </rPh>
    <rPh sb="10" eb="12">
      <t>バアイ</t>
    </rPh>
    <rPh sb="13" eb="15">
      <t>トウロク</t>
    </rPh>
    <rPh sb="16" eb="18">
      <t>ヒツヨウ</t>
    </rPh>
    <rPh sb="22" eb="23">
      <t>チュウ</t>
    </rPh>
    <rPh sb="24" eb="26">
      <t>キイロ</t>
    </rPh>
    <rPh sb="26" eb="27">
      <t>ジ</t>
    </rPh>
    <rPh sb="29" eb="31">
      <t>ヘンコウ</t>
    </rPh>
    <rPh sb="31" eb="32">
      <t>カ</t>
    </rPh>
    <phoneticPr fontId="2"/>
  </si>
  <si>
    <t>勤務計画とトイレ掃除表の作成</t>
    <rPh sb="0" eb="2">
      <t>キンム</t>
    </rPh>
    <rPh sb="2" eb="4">
      <t>ケイカク</t>
    </rPh>
    <rPh sb="8" eb="10">
      <t>ソウジ</t>
    </rPh>
    <rPh sb="10" eb="11">
      <t>ヒョウ</t>
    </rPh>
    <rPh sb="12" eb="14">
      <t>サクセイ</t>
    </rPh>
    <phoneticPr fontId="2"/>
  </si>
  <si>
    <t>①勤務計画を作成するとトイレ掃除表に社員と勤務内容が作成される</t>
    <rPh sb="1" eb="3">
      <t>キンム</t>
    </rPh>
    <rPh sb="3" eb="5">
      <t>ケイカク</t>
    </rPh>
    <rPh sb="6" eb="8">
      <t>サクセイ</t>
    </rPh>
    <rPh sb="14" eb="16">
      <t>ソウジ</t>
    </rPh>
    <rPh sb="16" eb="17">
      <t>ヒョウ</t>
    </rPh>
    <rPh sb="18" eb="20">
      <t>シャイン</t>
    </rPh>
    <rPh sb="21" eb="23">
      <t>キンム</t>
    </rPh>
    <rPh sb="23" eb="25">
      <t>ナイヨウ</t>
    </rPh>
    <rPh sb="26" eb="28">
      <t>サクセイ</t>
    </rPh>
    <phoneticPr fontId="2"/>
  </si>
  <si>
    <t>　・計画済上のセルを右クリックすると削除され、選択も解除される</t>
    <rPh sb="2" eb="4">
      <t>ケイカク</t>
    </rPh>
    <rPh sb="4" eb="5">
      <t>スミ</t>
    </rPh>
    <rPh sb="5" eb="6">
      <t>ジョウ</t>
    </rPh>
    <rPh sb="10" eb="11">
      <t>ミギ</t>
    </rPh>
    <rPh sb="18" eb="20">
      <t>サクジョ</t>
    </rPh>
    <rPh sb="23" eb="25">
      <t>センタク</t>
    </rPh>
    <rPh sb="26" eb="28">
      <t>カイジョ</t>
    </rPh>
    <phoneticPr fontId="2"/>
  </si>
  <si>
    <t>　・上段の勤務を左クリックして選択する</t>
    <rPh sb="2" eb="4">
      <t>ジョウダン</t>
    </rPh>
    <rPh sb="5" eb="7">
      <t>キンム</t>
    </rPh>
    <rPh sb="8" eb="9">
      <t>ヒダリ</t>
    </rPh>
    <rPh sb="15" eb="17">
      <t>センタク</t>
    </rPh>
    <phoneticPr fontId="2"/>
  </si>
  <si>
    <t>　・計画したいところを左クリックすると選択内容が貼り付けられる</t>
    <rPh sb="2" eb="4">
      <t>ケイカク</t>
    </rPh>
    <rPh sb="11" eb="12">
      <t>ヒダリ</t>
    </rPh>
    <rPh sb="19" eb="21">
      <t>センタク</t>
    </rPh>
    <rPh sb="21" eb="23">
      <t>ナイヨウ</t>
    </rPh>
    <rPh sb="24" eb="25">
      <t>ハ</t>
    </rPh>
    <rPh sb="26" eb="27">
      <t>ツ</t>
    </rPh>
    <phoneticPr fontId="2"/>
  </si>
  <si>
    <t>　・[Esc]キーを押下後計画エリアを選択し[Ctrl]+[C]キーでコピー後左クリックで任意の個所に貼り付けができる</t>
    <rPh sb="10" eb="12">
      <t>オウカ</t>
    </rPh>
    <rPh sb="12" eb="13">
      <t>ゴ</t>
    </rPh>
    <rPh sb="13" eb="15">
      <t>ケイカク</t>
    </rPh>
    <rPh sb="19" eb="21">
      <t>センタク</t>
    </rPh>
    <rPh sb="38" eb="39">
      <t>ゴ</t>
    </rPh>
    <rPh sb="39" eb="40">
      <t>ヒダリ</t>
    </rPh>
    <rPh sb="45" eb="47">
      <t>ニンイ</t>
    </rPh>
    <rPh sb="48" eb="50">
      <t>カショ</t>
    </rPh>
    <rPh sb="51" eb="52">
      <t>ハ</t>
    </rPh>
    <rPh sb="53" eb="54">
      <t>ツ</t>
    </rPh>
    <phoneticPr fontId="2"/>
  </si>
  <si>
    <t>社員資格フォームで社員番号９９９９は閲覧ができる。</t>
    <rPh sb="0" eb="2">
      <t>シャイン</t>
    </rPh>
    <rPh sb="2" eb="4">
      <t>シカク</t>
    </rPh>
    <rPh sb="9" eb="11">
      <t>シャイン</t>
    </rPh>
    <rPh sb="11" eb="13">
      <t>バンゴウ</t>
    </rPh>
    <rPh sb="18" eb="20">
      <t>エツラン</t>
    </rPh>
    <phoneticPr fontId="2"/>
  </si>
  <si>
    <t>rict6101</t>
    <phoneticPr fontId="2"/>
  </si>
  <si>
    <t>各シートのパスワード 及び VBA表示パスワード</t>
    <rPh sb="0" eb="1">
      <t>カク</t>
    </rPh>
    <rPh sb="11" eb="12">
      <t>オヨ</t>
    </rPh>
    <rPh sb="17" eb="19">
      <t>ヒョウジ</t>
    </rPh>
    <phoneticPr fontId="2"/>
  </si>
  <si>
    <t>①このシートのA1（左最上部）に"*" を入力する（このセルが空白時は保存できない）</t>
    <rPh sb="10" eb="11">
      <t>ヒダリ</t>
    </rPh>
    <rPh sb="11" eb="12">
      <t>サイ</t>
    </rPh>
    <rPh sb="12" eb="14">
      <t>ジョウブ</t>
    </rPh>
    <rPh sb="21" eb="23">
      <t>ニュウリョク</t>
    </rPh>
    <rPh sb="31" eb="33">
      <t>クウハク</t>
    </rPh>
    <rPh sb="33" eb="34">
      <t>ジ</t>
    </rPh>
    <rPh sb="35" eb="37">
      <t>ホゾン</t>
    </rPh>
    <phoneticPr fontId="2"/>
  </si>
  <si>
    <t>点検</t>
    <rPh sb="0" eb="2">
      <t>テンケン</t>
    </rPh>
    <phoneticPr fontId="2"/>
  </si>
  <si>
    <t>・社員データシート上で行う</t>
    <rPh sb="1" eb="3">
      <t>シャイン</t>
    </rPh>
    <rPh sb="9" eb="10">
      <t>ジョウ</t>
    </rPh>
    <rPh sb="11" eb="12">
      <t>オコナ</t>
    </rPh>
    <phoneticPr fontId="2"/>
  </si>
  <si>
    <t>④有効／無効を無効にして登録すると既存の勤務計画には表示されるが、新規又は作成中の勤務計画には表示されない</t>
    <rPh sb="1" eb="3">
      <t>ユウコウ</t>
    </rPh>
    <rPh sb="4" eb="6">
      <t>ムコウ</t>
    </rPh>
    <rPh sb="7" eb="9">
      <t>ムコウ</t>
    </rPh>
    <rPh sb="12" eb="14">
      <t>トウロク</t>
    </rPh>
    <rPh sb="17" eb="19">
      <t>キゾン</t>
    </rPh>
    <rPh sb="20" eb="22">
      <t>キンム</t>
    </rPh>
    <rPh sb="22" eb="24">
      <t>ケイカク</t>
    </rPh>
    <rPh sb="26" eb="28">
      <t>ヒョウジ</t>
    </rPh>
    <rPh sb="33" eb="35">
      <t>シンキ</t>
    </rPh>
    <rPh sb="35" eb="36">
      <t>マタ</t>
    </rPh>
    <rPh sb="37" eb="40">
      <t>サクセイチュウ</t>
    </rPh>
    <rPh sb="41" eb="43">
      <t>キンム</t>
    </rPh>
    <rPh sb="43" eb="45">
      <t>ケイカク</t>
    </rPh>
    <rPh sb="47" eb="49">
      <t>ヒョウジ</t>
    </rPh>
    <phoneticPr fontId="2"/>
  </si>
  <si>
    <t>・表示順変更は社員番号を選択して↑↓で移動してから登録する</t>
    <rPh sb="1" eb="3">
      <t>ヒョウジ</t>
    </rPh>
    <rPh sb="3" eb="4">
      <t>ジュン</t>
    </rPh>
    <rPh sb="4" eb="6">
      <t>ヘンコウ</t>
    </rPh>
    <rPh sb="7" eb="11">
      <t>シャインバンゴウ</t>
    </rPh>
    <rPh sb="12" eb="14">
      <t>センタク</t>
    </rPh>
    <rPh sb="19" eb="21">
      <t>イドウ</t>
    </rPh>
    <rPh sb="25" eb="27">
      <t>トウロク</t>
    </rPh>
    <phoneticPr fontId="2"/>
  </si>
  <si>
    <t>・有効を空白にして登録すると</t>
    <rPh sb="1" eb="3">
      <t>ユウコウ</t>
    </rPh>
    <rPh sb="4" eb="6">
      <t>クウハク</t>
    </rPh>
    <rPh sb="9" eb="11">
      <t>トウロク</t>
    </rPh>
    <phoneticPr fontId="2"/>
  </si>
  <si>
    <t>新入社員等追加は照射管理ｼｽﾃﾑに登録し「社員データ」シートで再度登録することで作成中計画に反映される</t>
    <rPh sb="0" eb="5">
      <t>シンニュウシャイントウ</t>
    </rPh>
    <rPh sb="5" eb="7">
      <t>ツイカ</t>
    </rPh>
    <rPh sb="8" eb="10">
      <t>ショウシャ</t>
    </rPh>
    <rPh sb="10" eb="12">
      <t>カンリ</t>
    </rPh>
    <rPh sb="17" eb="19">
      <t>トウロク</t>
    </rPh>
    <rPh sb="21" eb="23">
      <t>シャイン</t>
    </rPh>
    <rPh sb="31" eb="33">
      <t>サイド</t>
    </rPh>
    <rPh sb="33" eb="35">
      <t>トウロク</t>
    </rPh>
    <rPh sb="40" eb="42">
      <t>サクセイ</t>
    </rPh>
    <rPh sb="42" eb="43">
      <t>チュウ</t>
    </rPh>
    <rPh sb="43" eb="45">
      <t>ケイカク</t>
    </rPh>
    <rPh sb="46" eb="48">
      <t>ハンエイ</t>
    </rPh>
    <phoneticPr fontId="2"/>
  </si>
  <si>
    <t/>
  </si>
  <si>
    <t>改定履歴</t>
    <rPh sb="0" eb="2">
      <t>カイテイ</t>
    </rPh>
    <rPh sb="2" eb="4">
      <t>リレキ</t>
    </rPh>
    <phoneticPr fontId="2"/>
  </si>
  <si>
    <t>2021/10/1　勤務計画シートの超勤時間の計算を勤務表示の11時間勤務日数(BD列)＊3時間に変更　By小池</t>
    <rPh sb="10" eb="14">
      <t>キンムケイカク</t>
    </rPh>
    <rPh sb="18" eb="20">
      <t>チョウキン</t>
    </rPh>
    <rPh sb="20" eb="22">
      <t>ジカン</t>
    </rPh>
    <rPh sb="23" eb="25">
      <t>ケイサン</t>
    </rPh>
    <rPh sb="26" eb="30">
      <t>キンムヒョウジ</t>
    </rPh>
    <rPh sb="33" eb="35">
      <t>ジカン</t>
    </rPh>
    <rPh sb="35" eb="37">
      <t>キンム</t>
    </rPh>
    <rPh sb="37" eb="39">
      <t>ニッスウ</t>
    </rPh>
    <rPh sb="42" eb="43">
      <t>レツ</t>
    </rPh>
    <rPh sb="46" eb="48">
      <t>ジカン</t>
    </rPh>
    <rPh sb="49" eb="51">
      <t>ヘンコウ</t>
    </rPh>
    <rPh sb="54" eb="56">
      <t>コイケ</t>
    </rPh>
    <phoneticPr fontId="2"/>
  </si>
  <si>
    <t>-</t>
    <phoneticPr fontId="2"/>
  </si>
  <si>
    <t>フェザー安全剃刀(株) 関・美濃工場保安検査記録　再入室チェック表</t>
  </si>
  <si>
    <t>№B－GD－２０/180801</t>
    <phoneticPr fontId="47"/>
  </si>
  <si>
    <t>スクリーニングした時間を記入（２４H表示）</t>
    <rPh sb="9" eb="11">
      <t>ジカン</t>
    </rPh>
    <rPh sb="12" eb="14">
      <t>キニュウ</t>
    </rPh>
    <rPh sb="18" eb="20">
      <t>ヒョウジ</t>
    </rPh>
    <phoneticPr fontId="47"/>
  </si>
  <si>
    <t>非喫煙者昼</t>
    <rPh sb="0" eb="4">
      <t>ヒキツエンシャ</t>
    </rPh>
    <rPh sb="4" eb="5">
      <t>ヒル</t>
    </rPh>
    <phoneticPr fontId="2"/>
  </si>
  <si>
    <t>喫煙者昼</t>
    <rPh sb="0" eb="3">
      <t>キツエンシャ</t>
    </rPh>
    <rPh sb="3" eb="4">
      <t>ヒル</t>
    </rPh>
    <phoneticPr fontId="2"/>
  </si>
  <si>
    <t>非喫煙者日</t>
    <rPh sb="0" eb="4">
      <t>ヒキツエンシャ</t>
    </rPh>
    <rPh sb="4" eb="5">
      <t>ヒ</t>
    </rPh>
    <phoneticPr fontId="2"/>
  </si>
  <si>
    <t>喫煙者日</t>
    <rPh sb="0" eb="3">
      <t>キツエンシャ</t>
    </rPh>
    <rPh sb="3" eb="4">
      <t>ヒ</t>
    </rPh>
    <phoneticPr fontId="2"/>
  </si>
  <si>
    <t>内堀　路弘</t>
    <rPh sb="0" eb="2">
      <t>ウチボリ</t>
    </rPh>
    <rPh sb="3" eb="4">
      <t>ロ</t>
    </rPh>
    <rPh sb="4" eb="5">
      <t>ヒロ</t>
    </rPh>
    <phoneticPr fontId="2"/>
  </si>
  <si>
    <t>\\163.59.144.156\ExRicSys\ガンマ勤務計画DB.accdb</t>
    <phoneticPr fontId="2"/>
  </si>
  <si>
    <t>年月日入力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</si>
</sst>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76" formatCode="m/d;@"/>
    <numFmt numFmtId="177" formatCode="d"/>
    <numFmt numFmtId="178" formatCode="aaa"/>
    <numFmt numFmtId="179" formatCode="yyyy&quot;年&quot;m&quot;月&quot;d&quot;日&quot;;@"/>
    <numFmt numFmtId="180" formatCode="0_);[Red]\(0\)"/>
    <numFmt numFmtId="181" formatCode="General&quot;H&quot;"/>
    <numFmt numFmtId="182" formatCode="m&quot;月&quot;d&quot;日&quot;;@"/>
    <numFmt numFmtId="183" formatCode="m/d\(aaa\)"/>
    <numFmt numFmtId="184" formatCode="yyyy&quot;年&quot;"/>
    <numFmt numFmtId="185" formatCode="yyyy&quot;年&quot;m&quot;月&quot;;@"/>
    <numFmt numFmtId="186" formatCode="g/&quot;標&quot;&quot;準&quot;"/>
    <numFmt numFmtId="187" formatCode="h:mm;@"/>
    <numFmt numFmtId="188" formatCode="dd"/>
  </numFmts>
  <fonts count="48" x14ac:knownFonts="1">
    <font>
      <sz val="11"/>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0"/>
      <color indexed="12"/>
      <name val="ＭＳ Ｐゴシック"/>
      <family val="3"/>
      <charset val="128"/>
    </font>
    <font>
      <sz val="10"/>
      <color indexed="10"/>
      <name val="ＭＳ Ｐゴシック"/>
      <family val="3"/>
      <charset val="128"/>
    </font>
    <font>
      <sz val="10"/>
      <color indexed="17"/>
      <name val="ＭＳ Ｐゴシック"/>
      <family val="3"/>
      <charset val="128"/>
    </font>
    <font>
      <sz val="12"/>
      <name val="ＭＳ Ｐゴシック"/>
      <family val="3"/>
      <charset val="128"/>
    </font>
    <font>
      <sz val="14"/>
      <name val="ＭＳ Ｐゴシック"/>
      <family val="3"/>
      <charset val="128"/>
    </font>
    <font>
      <b/>
      <sz val="14"/>
      <name val="ＭＳ Ｐゴシック"/>
      <family val="3"/>
      <charset val="128"/>
    </font>
    <font>
      <sz val="18"/>
      <name val="ＭＳ Ｐゴシック"/>
      <family val="3"/>
      <charset val="128"/>
    </font>
    <font>
      <sz val="16"/>
      <name val="ＭＳ Ｐゴシック"/>
      <family val="3"/>
      <charset val="128"/>
    </font>
    <font>
      <b/>
      <sz val="12"/>
      <name val="ＭＳ Ｐゴシック"/>
      <family val="3"/>
      <charset val="128"/>
    </font>
    <font>
      <b/>
      <sz val="12"/>
      <color indexed="12"/>
      <name val="ＭＳ Ｐゴシック"/>
      <family val="3"/>
      <charset val="128"/>
    </font>
    <font>
      <b/>
      <sz val="12"/>
      <color indexed="10"/>
      <name val="ＭＳ Ｐゴシック"/>
      <family val="3"/>
      <charset val="128"/>
    </font>
    <font>
      <b/>
      <sz val="12"/>
      <color indexed="14"/>
      <name val="ＭＳ Ｐゴシック"/>
      <family val="3"/>
      <charset val="128"/>
    </font>
    <font>
      <b/>
      <sz val="12"/>
      <color indexed="20"/>
      <name val="ＭＳ Ｐゴシック"/>
      <family val="3"/>
      <charset val="128"/>
    </font>
    <font>
      <sz val="12"/>
      <color indexed="10"/>
      <name val="ＭＳ Ｐゴシック"/>
      <family val="3"/>
      <charset val="128"/>
    </font>
    <font>
      <sz val="8"/>
      <name val="ＭＳ Ｐゴシック"/>
      <family val="3"/>
      <charset val="128"/>
    </font>
    <font>
      <sz val="11"/>
      <color indexed="8"/>
      <name val="ＭＳ Ｐゴシック"/>
      <family val="3"/>
      <charset val="128"/>
    </font>
    <font>
      <b/>
      <sz val="12"/>
      <color rgb="FFFF0000"/>
      <name val="ＭＳ Ｐゴシック"/>
      <family val="3"/>
      <charset val="128"/>
    </font>
    <font>
      <sz val="11"/>
      <color theme="3"/>
      <name val="ＭＳ Ｐゴシック"/>
      <family val="3"/>
      <charset val="128"/>
    </font>
    <font>
      <sz val="14"/>
      <color rgb="FF000000"/>
      <name val="ＭＳ Ｐゴシック"/>
      <family val="3"/>
      <charset val="128"/>
    </font>
    <font>
      <sz val="11"/>
      <color rgb="FF000000"/>
      <name val="ＭＳ Ｐゴシック"/>
      <family val="3"/>
      <charset val="128"/>
    </font>
    <font>
      <sz val="12"/>
      <color indexed="12"/>
      <name val="ＭＳ Ｐゴシック"/>
      <family val="3"/>
      <charset val="128"/>
    </font>
    <font>
      <sz val="12"/>
      <color indexed="20"/>
      <name val="ＭＳ Ｐゴシック"/>
      <family val="3"/>
      <charset val="128"/>
    </font>
    <font>
      <sz val="12"/>
      <color indexed="14"/>
      <name val="ＭＳ Ｐゴシック"/>
      <family val="3"/>
      <charset val="128"/>
    </font>
    <font>
      <sz val="18"/>
      <color rgb="FFFF0000"/>
      <name val="ＭＳ Ｐゴシック"/>
      <family val="3"/>
      <charset val="128"/>
    </font>
    <font>
      <sz val="9"/>
      <name val="ＭＳ Ｐゴシック"/>
      <family val="3"/>
      <charset val="128"/>
    </font>
    <font>
      <b/>
      <sz val="12"/>
      <color rgb="FF000099"/>
      <name val="ＭＳ Ｐゴシック"/>
      <family val="3"/>
      <charset val="128"/>
    </font>
    <font>
      <b/>
      <sz val="12"/>
      <color indexed="8"/>
      <name val="ＭＳ Ｐゴシック"/>
      <family val="3"/>
      <charset val="128"/>
    </font>
    <font>
      <sz val="12"/>
      <color indexed="8"/>
      <name val="ＭＳ Ｐゴシック"/>
      <family val="3"/>
      <charset val="128"/>
    </font>
    <font>
      <b/>
      <sz val="18"/>
      <color rgb="FFFF0000"/>
      <name val="ＭＳ Ｐゴシック"/>
      <family val="3"/>
      <charset val="128"/>
    </font>
    <font>
      <sz val="12"/>
      <color rgb="FF0070C0"/>
      <name val="ＭＳ Ｐゴシック"/>
      <family val="3"/>
      <charset val="128"/>
    </font>
    <font>
      <sz val="10"/>
      <color rgb="FF0070C0"/>
      <name val="ＭＳ Ｐゴシック"/>
      <family val="3"/>
      <charset val="128"/>
    </font>
    <font>
      <sz val="14"/>
      <color rgb="FF0070C0"/>
      <name val="ＭＳ Ｐゴシック"/>
      <family val="3"/>
      <charset val="128"/>
    </font>
    <font>
      <sz val="9"/>
      <color rgb="FF0070C0"/>
      <name val="ＭＳ Ｐゴシック"/>
      <family val="3"/>
      <charset val="128"/>
    </font>
    <font>
      <sz val="14"/>
      <color indexed="8"/>
      <name val="ＭＳ Ｐゴシック"/>
      <family val="3"/>
      <charset val="128"/>
    </font>
    <font>
      <b/>
      <sz val="16"/>
      <name val="ＭＳ Ｐゴシック"/>
      <family val="3"/>
      <charset val="128"/>
    </font>
    <font>
      <b/>
      <sz val="16"/>
      <color rgb="FFFF0000"/>
      <name val="ＭＳ Ｐゴシック"/>
      <family val="3"/>
      <charset val="128"/>
    </font>
    <font>
      <b/>
      <sz val="16"/>
      <color rgb="FF000099"/>
      <name val="ＭＳ Ｐゴシック"/>
      <family val="3"/>
      <charset val="128"/>
    </font>
    <font>
      <b/>
      <sz val="12"/>
      <color rgb="FF000000"/>
      <name val="ＭＳ Ｐゴシック"/>
      <family val="3"/>
      <charset val="128"/>
    </font>
    <font>
      <b/>
      <sz val="11"/>
      <color rgb="FF0066FF"/>
      <name val="ＭＳ Ｐゴシック"/>
      <family val="3"/>
      <charset val="128"/>
    </font>
    <font>
      <sz val="10"/>
      <color indexed="8"/>
      <name val="ＭＳ Ｐゴシック"/>
      <family val="3"/>
      <charset val="128"/>
    </font>
    <font>
      <sz val="12"/>
      <color rgb="FFFF0000"/>
      <name val="ＭＳ Ｐゴシック"/>
      <family val="3"/>
      <charset val="128"/>
    </font>
    <font>
      <b/>
      <sz val="12"/>
      <color theme="1"/>
      <name val="ＭＳ Ｐゴシック"/>
      <family val="3"/>
      <charset val="128"/>
    </font>
    <font>
      <b/>
      <sz val="12"/>
      <color theme="1"/>
      <name val="ＭＳ Ｐゴシック"/>
      <family val="3"/>
      <charset val="128"/>
      <scheme val="minor"/>
    </font>
    <font>
      <sz val="6"/>
      <name val="ＭＳ Ｐゴシック"/>
      <family val="2"/>
      <charset val="128"/>
      <scheme val="minor"/>
    </font>
  </fonts>
  <fills count="17">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indexed="11"/>
        <bgColor indexed="64"/>
      </patternFill>
    </fill>
    <fill>
      <patternFill patternType="solid">
        <fgColor indexed="47"/>
        <bgColor indexed="64"/>
      </patternFill>
    </fill>
    <fill>
      <patternFill patternType="solid">
        <fgColor indexed="55"/>
        <bgColor indexed="64"/>
      </patternFill>
    </fill>
    <fill>
      <patternFill patternType="solid">
        <fgColor indexed="27"/>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rgb="FFFFFFCC"/>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0" tint="-0.14996795556505021"/>
        <bgColor indexed="64"/>
      </patternFill>
    </fill>
    <fill>
      <patternFill patternType="solid">
        <fgColor rgb="FFCCECFF"/>
        <bgColor indexed="64"/>
      </patternFill>
    </fill>
  </fills>
  <borders count="30">
    <border>
      <left/>
      <right/>
      <top/>
      <bottom/>
      <diagonal/>
    </border>
    <border>
      <left style="thin">
        <color indexed="64"/>
      </left>
      <right style="thin">
        <color indexed="64"/>
      </right>
      <top style="hair">
        <color indexed="64"/>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right/>
      <top style="thin">
        <color indexed="23"/>
      </top>
      <bottom/>
      <diagonal/>
    </border>
    <border>
      <left style="thin">
        <color auto="1"/>
      </left>
      <right style="thin">
        <color auto="1"/>
      </right>
      <top style="thin">
        <color auto="1"/>
      </top>
      <bottom/>
      <diagonal/>
    </border>
    <border>
      <left/>
      <right style="thin">
        <color indexed="64"/>
      </right>
      <top style="thin">
        <color indexed="64"/>
      </top>
      <bottom style="thin">
        <color indexed="64"/>
      </bottom>
      <diagonal/>
    </border>
    <border>
      <left style="thin">
        <color theme="1"/>
      </left>
      <right style="thin">
        <color theme="1"/>
      </right>
      <top style="thin">
        <color theme="1"/>
      </top>
      <bottom/>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1"/>
      </top>
      <bottom/>
      <diagonal/>
    </border>
    <border>
      <left/>
      <right style="thin">
        <color theme="1"/>
      </right>
      <top style="thin">
        <color theme="1"/>
      </top>
      <bottom/>
      <diagonal/>
    </border>
    <border>
      <left style="thin">
        <color theme="1"/>
      </left>
      <right/>
      <top style="thin">
        <color theme="1"/>
      </top>
      <bottom/>
      <diagonal/>
    </border>
    <border>
      <left style="thin">
        <color rgb="FF3399FF"/>
      </left>
      <right style="thin">
        <color rgb="FF3399FF"/>
      </right>
      <top style="thin">
        <color rgb="FF3399FF"/>
      </top>
      <bottom style="thin">
        <color rgb="FF3399FF"/>
      </bottom>
      <diagonal/>
    </border>
    <border>
      <left style="thin">
        <color theme="1"/>
      </left>
      <right style="thin">
        <color theme="1"/>
      </right>
      <top style="thin">
        <color rgb="FF3399FF"/>
      </top>
      <bottom style="thin">
        <color theme="1"/>
      </bottom>
      <diagonal/>
    </border>
    <border>
      <left style="thin">
        <color rgb="FFFF00FF"/>
      </left>
      <right/>
      <top/>
      <bottom style="thin">
        <color rgb="FFFF00FF"/>
      </bottom>
      <diagonal/>
    </border>
    <border>
      <left style="thin">
        <color rgb="FF3399FF"/>
      </left>
      <right style="thin">
        <color rgb="FF3399FF"/>
      </right>
      <top/>
      <bottom style="thin">
        <color rgb="FF3399FF"/>
      </bottom>
      <diagonal/>
    </border>
    <border>
      <left/>
      <right style="thin">
        <color theme="1"/>
      </right>
      <top style="thin">
        <color indexed="64"/>
      </top>
      <bottom style="thin">
        <color indexed="64"/>
      </bottom>
      <diagonal/>
    </border>
    <border>
      <left/>
      <right/>
      <top style="thin">
        <color indexed="64"/>
      </top>
      <bottom/>
      <diagonal/>
    </border>
    <border>
      <left style="thin">
        <color theme="1"/>
      </left>
      <right/>
      <top/>
      <bottom/>
      <diagonal/>
    </border>
    <border>
      <left style="thin">
        <color theme="1"/>
      </left>
      <right style="thin">
        <color theme="1"/>
      </right>
      <top style="thin">
        <color theme="1"/>
      </top>
      <bottom style="thin">
        <color indexed="64"/>
      </bottom>
      <diagonal/>
    </border>
  </borders>
  <cellStyleXfs count="3">
    <xf numFmtId="0" fontId="0" fillId="0" borderId="0">
      <alignment vertical="center"/>
    </xf>
    <xf numFmtId="0" fontId="19" fillId="0" borderId="0"/>
    <xf numFmtId="38" fontId="1" fillId="0" borderId="0" applyFont="0" applyFill="0" applyBorder="0" applyAlignment="0" applyProtection="0">
      <alignment vertical="center"/>
    </xf>
  </cellStyleXfs>
  <cellXfs count="225">
    <xf numFmtId="0" fontId="0" fillId="0" borderId="0" xfId="0">
      <alignment vertical="center"/>
    </xf>
    <xf numFmtId="0" fontId="3" fillId="0" borderId="0" xfId="0" applyFont="1">
      <alignment vertical="center"/>
    </xf>
    <xf numFmtId="0" fontId="3" fillId="0" borderId="0" xfId="0" applyFont="1" applyAlignment="1">
      <alignment horizontal="center" vertical="center"/>
    </xf>
    <xf numFmtId="0" fontId="10" fillId="0" borderId="0" xfId="0" applyFont="1">
      <alignment vertical="center"/>
    </xf>
    <xf numFmtId="0" fontId="17" fillId="0" borderId="0" xfId="0" applyFont="1">
      <alignment vertical="center"/>
    </xf>
    <xf numFmtId="0" fontId="7" fillId="0" borderId="0" xfId="0" applyFont="1">
      <alignment vertical="center"/>
    </xf>
    <xf numFmtId="0" fontId="15" fillId="0" borderId="0" xfId="0" applyFont="1" applyAlignment="1" applyProtection="1">
      <alignment horizontal="center" vertical="center"/>
      <protection locked="0"/>
    </xf>
    <xf numFmtId="0" fontId="12" fillId="0" borderId="2" xfId="0" applyFont="1" applyBorder="1">
      <alignment vertical="center"/>
    </xf>
    <xf numFmtId="0" fontId="3" fillId="0" borderId="2" xfId="0" applyFont="1" applyBorder="1">
      <alignment vertical="center"/>
    </xf>
    <xf numFmtId="49" fontId="3" fillId="0" borderId="2" xfId="0" applyNumberFormat="1" applyFont="1" applyBorder="1">
      <alignment vertical="center"/>
    </xf>
    <xf numFmtId="176" fontId="0" fillId="0" borderId="0" xfId="0" applyNumberFormat="1">
      <alignment vertical="center"/>
    </xf>
    <xf numFmtId="0" fontId="0" fillId="0" borderId="0" xfId="0" applyAlignment="1">
      <alignment horizontal="center" vertical="center"/>
    </xf>
    <xf numFmtId="0" fontId="0" fillId="0" borderId="3" xfId="0" applyBorder="1" applyAlignment="1">
      <alignment horizontal="center" vertical="center"/>
    </xf>
    <xf numFmtId="0" fontId="11" fillId="0" borderId="0" xfId="0" applyFont="1">
      <alignment vertical="center"/>
    </xf>
    <xf numFmtId="183" fontId="0" fillId="0" borderId="3" xfId="0" applyNumberFormat="1" applyBorder="1" applyAlignment="1">
      <alignment horizontal="center" vertical="center"/>
    </xf>
    <xf numFmtId="0" fontId="0" fillId="0" borderId="3" xfId="0" applyBorder="1" applyProtection="1">
      <alignment vertical="center"/>
      <protection locked="0"/>
    </xf>
    <xf numFmtId="0" fontId="0" fillId="0" borderId="0" xfId="0" applyAlignment="1">
      <alignment vertical="center" wrapText="1"/>
    </xf>
    <xf numFmtId="49" fontId="0" fillId="0" borderId="0" xfId="0" applyNumberFormat="1" applyAlignment="1">
      <alignment horizontal="center" vertical="center"/>
    </xf>
    <xf numFmtId="0" fontId="0" fillId="8" borderId="3" xfId="0" applyFill="1" applyBorder="1" applyAlignment="1">
      <alignment horizontal="center" vertical="center"/>
    </xf>
    <xf numFmtId="49" fontId="0" fillId="0" borderId="3" xfId="0" applyNumberFormat="1" applyBorder="1" applyAlignment="1">
      <alignment horizontal="center" vertical="center"/>
    </xf>
    <xf numFmtId="0" fontId="19" fillId="9" borderId="3" xfId="1" applyFill="1" applyBorder="1" applyAlignment="1">
      <alignment horizontal="center" vertical="center" wrapText="1"/>
    </xf>
    <xf numFmtId="49" fontId="19" fillId="9" borderId="3" xfId="1" applyNumberFormat="1" applyFill="1" applyBorder="1" applyAlignment="1">
      <alignment horizontal="center" vertical="center" wrapText="1"/>
    </xf>
    <xf numFmtId="49" fontId="19" fillId="0" borderId="3" xfId="1" applyNumberFormat="1" applyBorder="1" applyAlignment="1">
      <alignment horizontal="center" vertical="center"/>
    </xf>
    <xf numFmtId="0" fontId="9" fillId="0" borderId="0" xfId="0" applyFont="1">
      <alignment vertical="center"/>
    </xf>
    <xf numFmtId="49" fontId="0" fillId="0" borderId="3" xfId="0" applyNumberFormat="1" applyBorder="1" applyAlignment="1" applyProtection="1">
      <alignment horizontal="center" vertical="center"/>
      <protection locked="0"/>
    </xf>
    <xf numFmtId="0" fontId="0" fillId="0" borderId="3" xfId="0" applyBorder="1">
      <alignment vertical="center"/>
    </xf>
    <xf numFmtId="0" fontId="14" fillId="0" borderId="0" xfId="0" applyFont="1" applyAlignment="1" applyProtection="1">
      <alignment horizontal="center" vertical="center"/>
      <protection locked="0"/>
    </xf>
    <xf numFmtId="0" fontId="12" fillId="0" borderId="0" xfId="0" applyFont="1">
      <alignment vertical="center"/>
    </xf>
    <xf numFmtId="179" fontId="11" fillId="0" borderId="0" xfId="0" applyNumberFormat="1" applyFont="1" applyAlignment="1">
      <alignment horizontal="center" vertical="center"/>
    </xf>
    <xf numFmtId="182" fontId="11" fillId="0" borderId="0" xfId="0" quotePrefix="1" applyNumberFormat="1" applyFont="1" applyAlignment="1">
      <alignment horizontal="center" vertical="center"/>
    </xf>
    <xf numFmtId="0" fontId="10" fillId="0" borderId="0" xfId="0" applyFont="1" applyAlignment="1">
      <alignment horizontal="center" vertical="center"/>
    </xf>
    <xf numFmtId="49" fontId="3" fillId="0" borderId="0" xfId="0" applyNumberFormat="1" applyFont="1">
      <alignment vertical="center"/>
    </xf>
    <xf numFmtId="181" fontId="10" fillId="0" borderId="0" xfId="0" applyNumberFormat="1" applyFont="1" applyAlignment="1">
      <alignment horizontal="center" vertical="center"/>
    </xf>
    <xf numFmtId="0" fontId="9"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6" fillId="0" borderId="0" xfId="0" applyFont="1" applyAlignment="1" applyProtection="1">
      <alignment horizontal="center" vertical="center"/>
      <protection locked="0"/>
    </xf>
    <xf numFmtId="0" fontId="7" fillId="0" borderId="0" xfId="0" applyFont="1" applyAlignment="1" applyProtection="1">
      <alignment horizontal="center" vertical="top" shrinkToFit="1"/>
      <protection locked="0"/>
    </xf>
    <xf numFmtId="0" fontId="24" fillId="0" borderId="0" xfId="0" applyFont="1" applyAlignment="1" applyProtection="1">
      <alignment horizontal="center" vertical="center"/>
      <protection locked="0"/>
    </xf>
    <xf numFmtId="0" fontId="17" fillId="0" borderId="0" xfId="0" applyFont="1" applyAlignment="1" applyProtection="1">
      <alignment horizontal="center" vertical="center"/>
      <protection locked="0"/>
    </xf>
    <xf numFmtId="0" fontId="25" fillId="0" borderId="0" xfId="0" applyFont="1" applyAlignment="1" applyProtection="1">
      <alignment horizontal="center" vertical="center"/>
      <protection locked="0"/>
    </xf>
    <xf numFmtId="0" fontId="26" fillId="0" borderId="0" xfId="0" applyFont="1" applyAlignment="1" applyProtection="1">
      <alignment horizontal="center" vertical="center"/>
      <protection locked="0"/>
    </xf>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21" fillId="0" borderId="8" xfId="0" applyFont="1" applyBorder="1" applyAlignment="1">
      <alignment horizontal="center" vertical="center"/>
    </xf>
    <xf numFmtId="0" fontId="3" fillId="0" borderId="8" xfId="0" applyFont="1" applyBorder="1" applyAlignment="1">
      <alignment horizontal="center" vertical="center"/>
    </xf>
    <xf numFmtId="0" fontId="3" fillId="0" borderId="4" xfId="0" applyFont="1" applyBorder="1">
      <alignment vertical="center"/>
    </xf>
    <xf numFmtId="0" fontId="12" fillId="0" borderId="0" xfId="0" applyFont="1" applyAlignment="1">
      <alignment horizontal="center" vertical="center"/>
    </xf>
    <xf numFmtId="0" fontId="4" fillId="0" borderId="0" xfId="0" applyFont="1" applyAlignment="1">
      <alignment horizontal="center" vertical="center"/>
    </xf>
    <xf numFmtId="0" fontId="6" fillId="0" borderId="0" xfId="0" applyFont="1" applyAlignment="1">
      <alignment horizontal="center" vertical="center"/>
    </xf>
    <xf numFmtId="0" fontId="5" fillId="0" borderId="0" xfId="0" applyFont="1" applyAlignment="1">
      <alignment horizontal="center" vertical="center"/>
    </xf>
    <xf numFmtId="0" fontId="3" fillId="0" borderId="11" xfId="0" applyFont="1" applyBorder="1">
      <alignment vertical="center"/>
    </xf>
    <xf numFmtId="0" fontId="3" fillId="7" borderId="3" xfId="0" applyFont="1" applyFill="1" applyBorder="1">
      <alignment vertical="center"/>
    </xf>
    <xf numFmtId="0" fontId="7" fillId="0" borderId="5" xfId="0" applyFont="1" applyBorder="1" applyAlignment="1" applyProtection="1">
      <alignment horizontal="center" vertical="top" shrinkToFit="1"/>
      <protection locked="0"/>
    </xf>
    <xf numFmtId="0" fontId="3" fillId="0" borderId="12" xfId="0" applyFont="1" applyBorder="1" applyAlignment="1">
      <alignment horizontal="center" vertical="center"/>
    </xf>
    <xf numFmtId="0" fontId="3" fillId="10" borderId="3" xfId="0" applyFont="1" applyFill="1" applyBorder="1" applyAlignment="1">
      <alignment horizontal="center" vertical="center"/>
    </xf>
    <xf numFmtId="0" fontId="28" fillId="0" borderId="0" xfId="0" applyFont="1">
      <alignment vertical="center"/>
    </xf>
    <xf numFmtId="0" fontId="28" fillId="0" borderId="0" xfId="0" applyFont="1" applyAlignment="1">
      <alignment horizontal="center" vertical="center"/>
    </xf>
    <xf numFmtId="0" fontId="21" fillId="8" borderId="7" xfId="0" applyFont="1" applyFill="1" applyBorder="1" applyAlignment="1">
      <alignment horizontal="center" vertical="center"/>
    </xf>
    <xf numFmtId="0" fontId="27" fillId="0" borderId="0" xfId="0" applyFont="1">
      <alignment vertical="center"/>
    </xf>
    <xf numFmtId="0" fontId="3" fillId="0" borderId="9" xfId="0" applyFont="1" applyBorder="1">
      <alignment vertical="center"/>
    </xf>
    <xf numFmtId="180" fontId="3" fillId="0" borderId="9" xfId="0" applyNumberFormat="1" applyFont="1" applyBorder="1">
      <alignment vertical="center"/>
    </xf>
    <xf numFmtId="180" fontId="3" fillId="0" borderId="0" xfId="0" applyNumberFormat="1" applyFont="1">
      <alignment vertical="center"/>
    </xf>
    <xf numFmtId="184" fontId="10" fillId="0" borderId="0" xfId="0" applyNumberFormat="1" applyFont="1">
      <alignment vertical="center"/>
    </xf>
    <xf numFmtId="0" fontId="3" fillId="7" borderId="3" xfId="0" applyFont="1" applyFill="1" applyBorder="1" applyAlignment="1">
      <alignment horizontal="center" vertical="center" textRotation="255"/>
    </xf>
    <xf numFmtId="0" fontId="18" fillId="0" borderId="8" xfId="0" applyFont="1" applyBorder="1" applyAlignment="1">
      <alignment horizontal="center" vertical="center"/>
    </xf>
    <xf numFmtId="0" fontId="12" fillId="0" borderId="5" xfId="0" applyFont="1" applyBorder="1" applyAlignment="1" applyProtection="1">
      <alignment horizontal="center" vertical="center"/>
      <protection locked="0"/>
    </xf>
    <xf numFmtId="0" fontId="8" fillId="0" borderId="0" xfId="0" applyFont="1" applyAlignment="1">
      <alignment horizontal="center" vertical="center" shrinkToFit="1"/>
    </xf>
    <xf numFmtId="0" fontId="28" fillId="6" borderId="9" xfId="0" applyFont="1" applyFill="1" applyBorder="1" applyAlignment="1">
      <alignment horizontal="center" vertical="center"/>
    </xf>
    <xf numFmtId="0" fontId="28" fillId="4" borderId="9" xfId="0" applyFont="1" applyFill="1" applyBorder="1" applyAlignment="1">
      <alignment horizontal="center" vertical="center"/>
    </xf>
    <xf numFmtId="0" fontId="28" fillId="2" borderId="9" xfId="0" applyFont="1" applyFill="1" applyBorder="1" applyAlignment="1">
      <alignment horizontal="center" vertical="center" shrinkToFit="1"/>
    </xf>
    <xf numFmtId="0" fontId="0" fillId="0" borderId="0" xfId="0" applyProtection="1">
      <alignment vertical="center"/>
      <protection locked="0"/>
    </xf>
    <xf numFmtId="0" fontId="3" fillId="10" borderId="16" xfId="0" applyFont="1" applyFill="1" applyBorder="1" applyAlignment="1">
      <alignment horizontal="center" vertical="center"/>
    </xf>
    <xf numFmtId="0" fontId="3" fillId="10" borderId="13" xfId="0" applyFont="1" applyFill="1" applyBorder="1" applyAlignment="1">
      <alignment horizontal="center" vertical="center"/>
    </xf>
    <xf numFmtId="0" fontId="0" fillId="10" borderId="3" xfId="0" applyFill="1" applyBorder="1" applyAlignment="1">
      <alignment horizontal="center" vertical="center" shrinkToFit="1"/>
    </xf>
    <xf numFmtId="0" fontId="3" fillId="0" borderId="0" xfId="0" applyFont="1" applyProtection="1">
      <alignment vertical="center"/>
      <protection locked="0"/>
    </xf>
    <xf numFmtId="0" fontId="7" fillId="0" borderId="0" xfId="0" applyFont="1" applyAlignment="1">
      <alignment vertical="center" wrapText="1"/>
    </xf>
    <xf numFmtId="49" fontId="7" fillId="0" borderId="0" xfId="0" applyNumberFormat="1" applyFont="1" applyAlignment="1">
      <alignment horizontal="center" vertical="center"/>
    </xf>
    <xf numFmtId="0" fontId="7" fillId="0" borderId="0" xfId="0" applyFont="1" applyAlignment="1">
      <alignment horizontal="center" vertical="center"/>
    </xf>
    <xf numFmtId="0" fontId="3" fillId="0" borderId="3" xfId="0" applyFont="1" applyBorder="1">
      <alignment vertical="center"/>
    </xf>
    <xf numFmtId="0" fontId="3" fillId="12" borderId="3" xfId="0" applyFont="1" applyFill="1" applyBorder="1" applyAlignment="1">
      <alignment horizontal="center" vertical="center"/>
    </xf>
    <xf numFmtId="0" fontId="0" fillId="0" borderId="17" xfId="0" applyBorder="1" applyAlignment="1">
      <alignment horizontal="center" vertical="center"/>
    </xf>
    <xf numFmtId="0" fontId="0" fillId="11" borderId="3" xfId="0" applyFill="1" applyBorder="1" applyAlignment="1" applyProtection="1">
      <alignment horizontal="center" vertical="center"/>
      <protection locked="0"/>
    </xf>
    <xf numFmtId="176" fontId="33" fillId="0" borderId="9" xfId="0" applyNumberFormat="1" applyFont="1" applyBorder="1" applyAlignment="1">
      <alignment horizontal="center" vertical="center" shrinkToFit="1"/>
    </xf>
    <xf numFmtId="0" fontId="33" fillId="0" borderId="9" xfId="0" applyFont="1" applyBorder="1" applyAlignment="1">
      <alignment horizontal="center" vertical="center" shrinkToFit="1"/>
    </xf>
    <xf numFmtId="49" fontId="33" fillId="0" borderId="9" xfId="0" applyNumberFormat="1" applyFont="1" applyBorder="1" applyAlignment="1">
      <alignment horizontal="center" vertical="center" shrinkToFit="1"/>
    </xf>
    <xf numFmtId="178" fontId="33" fillId="0" borderId="9" xfId="0" applyNumberFormat="1" applyFont="1" applyBorder="1" applyAlignment="1">
      <alignment horizontal="center" vertical="center" shrinkToFit="1"/>
    </xf>
    <xf numFmtId="0" fontId="33" fillId="0" borderId="9" xfId="0" applyFont="1" applyBorder="1" applyAlignment="1">
      <alignment vertical="center" shrinkToFit="1"/>
    </xf>
    <xf numFmtId="0" fontId="34" fillId="0" borderId="4" xfId="0" applyFont="1" applyBorder="1">
      <alignment vertical="center"/>
    </xf>
    <xf numFmtId="0" fontId="36" fillId="0" borderId="0" xfId="0" applyFont="1">
      <alignment vertical="center"/>
    </xf>
    <xf numFmtId="0" fontId="34" fillId="0" borderId="12" xfId="0" applyFont="1" applyBorder="1" applyAlignment="1">
      <alignment horizontal="center" vertical="center"/>
    </xf>
    <xf numFmtId="0" fontId="33" fillId="0" borderId="5" xfId="0" applyFont="1" applyBorder="1" applyAlignment="1" applyProtection="1">
      <alignment horizontal="center" vertical="top" shrinkToFit="1"/>
      <protection locked="0"/>
    </xf>
    <xf numFmtId="0" fontId="34" fillId="0" borderId="0" xfId="0" applyFont="1">
      <alignment vertical="center"/>
    </xf>
    <xf numFmtId="0" fontId="33" fillId="0" borderId="3" xfId="0" applyFont="1" applyBorder="1" applyAlignment="1" applyProtection="1">
      <alignment horizontal="center" vertical="center" wrapText="1" shrinkToFit="1"/>
      <protection locked="0"/>
    </xf>
    <xf numFmtId="0" fontId="33" fillId="0" borderId="3" xfId="0" applyFont="1" applyBorder="1" applyAlignment="1" applyProtection="1">
      <alignment horizontal="center" vertical="center" shrinkToFit="1"/>
      <protection locked="0"/>
    </xf>
    <xf numFmtId="177" fontId="34" fillId="0" borderId="3" xfId="0" applyNumberFormat="1" applyFont="1" applyBorder="1" applyAlignment="1">
      <alignment horizontal="center" vertical="center"/>
    </xf>
    <xf numFmtId="178" fontId="34" fillId="0" borderId="3" xfId="0" applyNumberFormat="1" applyFont="1" applyBorder="1" applyAlignment="1">
      <alignment horizontal="center" vertical="center"/>
    </xf>
    <xf numFmtId="0" fontId="34" fillId="0" borderId="8" xfId="0" applyFont="1" applyBorder="1">
      <alignment vertical="center"/>
    </xf>
    <xf numFmtId="0" fontId="18" fillId="13" borderId="6" xfId="0" applyFont="1" applyFill="1" applyBorder="1" applyAlignment="1">
      <alignment horizontal="center" vertical="center"/>
    </xf>
    <xf numFmtId="0" fontId="0" fillId="0" borderId="12" xfId="0" applyBorder="1">
      <alignment vertical="center"/>
    </xf>
    <xf numFmtId="0" fontId="0" fillId="0" borderId="7" xfId="0" applyBorder="1">
      <alignment vertical="center"/>
    </xf>
    <xf numFmtId="0" fontId="0" fillId="0" borderId="5" xfId="0" applyBorder="1">
      <alignment vertical="center"/>
    </xf>
    <xf numFmtId="0" fontId="13" fillId="0" borderId="22" xfId="0" applyFont="1" applyBorder="1" applyAlignment="1" applyProtection="1">
      <alignment horizontal="center" vertical="center"/>
      <protection locked="0"/>
    </xf>
    <xf numFmtId="14" fontId="21" fillId="0" borderId="12" xfId="0" applyNumberFormat="1" applyFont="1" applyBorder="1" applyAlignment="1">
      <alignment horizontal="center" vertical="center"/>
    </xf>
    <xf numFmtId="0" fontId="21" fillId="0" borderId="12" xfId="0" applyFont="1" applyBorder="1" applyAlignment="1">
      <alignment horizontal="center" vertical="center"/>
    </xf>
    <xf numFmtId="0" fontId="0" fillId="0" borderId="7" xfId="0" applyBorder="1" applyAlignment="1">
      <alignment horizontal="center" vertical="center"/>
    </xf>
    <xf numFmtId="177" fontId="33" fillId="0" borderId="23" xfId="0" applyNumberFormat="1" applyFont="1" applyBorder="1" applyAlignment="1">
      <alignment horizontal="center" vertical="center" shrinkToFit="1"/>
    </xf>
    <xf numFmtId="182" fontId="11" fillId="0" borderId="18" xfId="0" applyNumberFormat="1" applyFont="1" applyBorder="1" applyAlignment="1" applyProtection="1">
      <alignment vertical="center" shrinkToFit="1"/>
      <protection locked="0"/>
    </xf>
    <xf numFmtId="0" fontId="3" fillId="0" borderId="17" xfId="0" applyFont="1" applyBorder="1" applyAlignment="1">
      <alignment horizontal="center" vertical="center"/>
    </xf>
    <xf numFmtId="0" fontId="33" fillId="0" borderId="0" xfId="0" applyFont="1" applyAlignment="1">
      <alignment horizontal="center" vertical="center" shrinkToFit="1"/>
    </xf>
    <xf numFmtId="0" fontId="36" fillId="3" borderId="9" xfId="0" applyFont="1" applyFill="1" applyBorder="1" applyAlignment="1">
      <alignment horizontal="center" vertical="center"/>
    </xf>
    <xf numFmtId="0" fontId="3" fillId="0" borderId="0" xfId="0" applyFont="1" applyAlignment="1">
      <alignment horizontal="right" vertical="center"/>
    </xf>
    <xf numFmtId="186" fontId="38" fillId="11" borderId="24" xfId="0" applyNumberFormat="1" applyFont="1" applyFill="1" applyBorder="1" applyAlignment="1">
      <alignment horizontal="center" vertical="center" shrinkToFit="1"/>
    </xf>
    <xf numFmtId="186" fontId="38" fillId="11" borderId="25" xfId="0" applyNumberFormat="1" applyFont="1" applyFill="1" applyBorder="1" applyAlignment="1">
      <alignment horizontal="center" vertical="center" shrinkToFit="1"/>
    </xf>
    <xf numFmtId="186" fontId="38" fillId="11" borderId="22" xfId="0" applyNumberFormat="1" applyFont="1" applyFill="1" applyBorder="1" applyAlignment="1">
      <alignment horizontal="center" vertical="center" shrinkToFit="1"/>
    </xf>
    <xf numFmtId="186" fontId="39" fillId="11" borderId="22" xfId="0" applyNumberFormat="1" applyFont="1" applyFill="1" applyBorder="1" applyAlignment="1">
      <alignment horizontal="center" vertical="center" shrinkToFit="1"/>
    </xf>
    <xf numFmtId="186" fontId="40" fillId="11" borderId="22" xfId="0" applyNumberFormat="1" applyFont="1" applyFill="1" applyBorder="1" applyAlignment="1">
      <alignment horizontal="center" vertical="center" shrinkToFit="1"/>
    </xf>
    <xf numFmtId="0" fontId="37" fillId="0" borderId="9" xfId="0" applyFont="1" applyBorder="1" applyAlignment="1">
      <alignment horizontal="center" vertical="center" shrinkToFit="1"/>
    </xf>
    <xf numFmtId="0" fontId="3" fillId="0" borderId="27" xfId="0" applyFont="1" applyBorder="1">
      <alignment vertical="center"/>
    </xf>
    <xf numFmtId="0" fontId="1" fillId="0" borderId="28" xfId="0" applyFont="1" applyBorder="1" applyAlignment="1">
      <alignment horizontal="center" vertical="center"/>
    </xf>
    <xf numFmtId="0" fontId="7" fillId="0" borderId="28" xfId="0" applyFont="1" applyBorder="1" applyAlignment="1">
      <alignment vertical="center" shrinkToFit="1"/>
    </xf>
    <xf numFmtId="0" fontId="7" fillId="0" borderId="28" xfId="0" applyFont="1" applyBorder="1">
      <alignment vertical="center"/>
    </xf>
    <xf numFmtId="0" fontId="3" fillId="0" borderId="29" xfId="0" applyFont="1" applyBorder="1">
      <alignment vertical="center"/>
    </xf>
    <xf numFmtId="0" fontId="3" fillId="0" borderId="28" xfId="0" applyFont="1" applyBorder="1">
      <alignment vertical="center"/>
    </xf>
    <xf numFmtId="182" fontId="11" fillId="0" borderId="18" xfId="0" applyNumberFormat="1" applyFont="1" applyBorder="1" applyAlignment="1">
      <alignment vertical="center" shrinkToFit="1"/>
    </xf>
    <xf numFmtId="0" fontId="0" fillId="0" borderId="28" xfId="0" applyBorder="1">
      <alignment vertical="center"/>
    </xf>
    <xf numFmtId="0" fontId="3" fillId="0" borderId="0" xfId="0" applyFont="1" applyAlignment="1" applyProtection="1">
      <alignment horizontal="center" vertical="center"/>
      <protection locked="0"/>
    </xf>
    <xf numFmtId="14" fontId="3" fillId="0" borderId="0" xfId="0" applyNumberFormat="1" applyFont="1">
      <alignment vertical="center"/>
    </xf>
    <xf numFmtId="0" fontId="1" fillId="10" borderId="9" xfId="0" applyFont="1" applyFill="1" applyBorder="1" applyAlignment="1">
      <alignment horizontal="center" vertical="center" shrinkToFit="1"/>
    </xf>
    <xf numFmtId="0" fontId="0" fillId="10" borderId="9" xfId="0" applyFill="1" applyBorder="1" applyAlignment="1">
      <alignment horizontal="center" vertical="center" shrinkToFit="1"/>
    </xf>
    <xf numFmtId="49" fontId="0" fillId="10" borderId="9" xfId="0" applyNumberFormat="1" applyFill="1" applyBorder="1" applyAlignment="1">
      <alignment horizontal="center" vertical="center" shrinkToFit="1"/>
    </xf>
    <xf numFmtId="0" fontId="1" fillId="10" borderId="10" xfId="0" applyFont="1" applyFill="1" applyBorder="1" applyAlignment="1">
      <alignment horizontal="center" vertical="center" shrinkToFit="1"/>
    </xf>
    <xf numFmtId="49" fontId="0" fillId="10" borderId="10" xfId="0" applyNumberFormat="1" applyFill="1" applyBorder="1" applyAlignment="1">
      <alignment horizontal="center" vertical="center" shrinkToFit="1"/>
    </xf>
    <xf numFmtId="0" fontId="0" fillId="10" borderId="10" xfId="0" applyFill="1" applyBorder="1" applyAlignment="1">
      <alignment horizontal="center" vertical="center" shrinkToFit="1"/>
    </xf>
    <xf numFmtId="0" fontId="43" fillId="9" borderId="3" xfId="1" applyFont="1" applyFill="1" applyBorder="1" applyAlignment="1">
      <alignment horizontal="center" vertical="center" wrapText="1"/>
    </xf>
    <xf numFmtId="49" fontId="43" fillId="9" borderId="3" xfId="1" applyNumberFormat="1" applyFont="1" applyFill="1" applyBorder="1" applyAlignment="1">
      <alignment horizontal="center" vertical="center" wrapText="1"/>
    </xf>
    <xf numFmtId="0" fontId="28" fillId="2" borderId="14" xfId="0" applyFont="1" applyFill="1" applyBorder="1" applyAlignment="1">
      <alignment horizontal="center" vertical="center"/>
    </xf>
    <xf numFmtId="0" fontId="28" fillId="5" borderId="9" xfId="0" applyFont="1" applyFill="1" applyBorder="1" applyAlignment="1">
      <alignment horizontal="center" vertical="center"/>
    </xf>
    <xf numFmtId="0" fontId="0" fillId="10" borderId="3" xfId="0" applyFill="1" applyBorder="1" applyAlignment="1">
      <alignment horizontal="center" vertical="center"/>
    </xf>
    <xf numFmtId="0" fontId="0" fillId="15" borderId="3" xfId="0" applyFill="1" applyBorder="1" applyAlignment="1">
      <alignment horizontal="center" vertical="center"/>
    </xf>
    <xf numFmtId="49" fontId="0" fillId="10" borderId="3" xfId="0" applyNumberFormat="1" applyFill="1" applyBorder="1" applyAlignment="1">
      <alignment horizontal="center" vertical="center"/>
    </xf>
    <xf numFmtId="0" fontId="28" fillId="0" borderId="9" xfId="0" applyFont="1" applyBorder="1" applyAlignment="1">
      <alignment horizontal="center" vertical="center" shrinkToFit="1"/>
    </xf>
    <xf numFmtId="0" fontId="29" fillId="0" borderId="22" xfId="0" applyFont="1" applyBorder="1" applyAlignment="1">
      <alignment horizontal="center" vertical="center"/>
    </xf>
    <xf numFmtId="0" fontId="20" fillId="0" borderId="22" xfId="0" applyFont="1" applyBorder="1" applyAlignment="1">
      <alignment horizontal="center" vertical="center"/>
    </xf>
    <xf numFmtId="0" fontId="12" fillId="0" borderId="22" xfId="0" applyFont="1" applyBorder="1" applyAlignment="1">
      <alignment horizontal="center" vertical="center"/>
    </xf>
    <xf numFmtId="0" fontId="15" fillId="0" borderId="22" xfId="0" applyFont="1" applyBorder="1" applyAlignment="1">
      <alignment horizontal="center" vertical="center"/>
    </xf>
    <xf numFmtId="0" fontId="8" fillId="14" borderId="0" xfId="0" applyFont="1" applyFill="1" applyAlignment="1" applyProtection="1">
      <alignment horizontal="center" vertical="center" shrinkToFit="1"/>
      <protection locked="0"/>
    </xf>
    <xf numFmtId="0" fontId="8" fillId="0" borderId="0" xfId="0" applyFont="1">
      <alignment vertical="center"/>
    </xf>
    <xf numFmtId="38" fontId="8" fillId="0" borderId="0" xfId="2" applyFont="1">
      <alignment vertical="center"/>
    </xf>
    <xf numFmtId="38" fontId="7" fillId="0" borderId="0" xfId="2" applyFont="1" applyAlignment="1">
      <alignment horizontal="center" vertical="center"/>
    </xf>
    <xf numFmtId="38" fontId="7" fillId="0" borderId="0" xfId="2" applyFont="1" applyAlignment="1">
      <alignment vertical="center" wrapText="1"/>
    </xf>
    <xf numFmtId="38" fontId="0" fillId="0" borderId="0" xfId="2" applyFont="1">
      <alignment vertical="center"/>
    </xf>
    <xf numFmtId="0" fontId="45" fillId="0" borderId="0" xfId="0" applyFont="1" applyAlignment="1">
      <alignment vertical="center" wrapText="1"/>
    </xf>
    <xf numFmtId="0" fontId="44" fillId="0" borderId="0" xfId="0" applyFont="1" applyAlignment="1">
      <alignment vertical="center" wrapText="1"/>
    </xf>
    <xf numFmtId="49" fontId="19" fillId="11" borderId="3" xfId="1" applyNumberFormat="1" applyFill="1" applyBorder="1" applyAlignment="1" applyProtection="1">
      <alignment horizontal="center" vertical="center"/>
      <protection locked="0"/>
    </xf>
    <xf numFmtId="49" fontId="0" fillId="11" borderId="3" xfId="0" applyNumberFormat="1" applyFill="1" applyBorder="1" applyAlignment="1" applyProtection="1">
      <alignment horizontal="center" vertical="center"/>
      <protection locked="0"/>
    </xf>
    <xf numFmtId="0" fontId="30" fillId="0" borderId="1" xfId="0" applyFont="1" applyBorder="1" applyAlignment="1" applyProtection="1">
      <alignment horizontal="center" vertical="center"/>
      <protection locked="0"/>
    </xf>
    <xf numFmtId="0" fontId="20" fillId="0" borderId="1" xfId="0" applyFont="1" applyBorder="1" applyAlignment="1" applyProtection="1">
      <alignment horizontal="center" vertical="center"/>
      <protection locked="0"/>
    </xf>
    <xf numFmtId="0" fontId="29" fillId="0" borderId="1" xfId="0" applyFont="1" applyBorder="1" applyAlignment="1" applyProtection="1">
      <alignment horizontal="center" vertical="center"/>
      <protection locked="0"/>
    </xf>
    <xf numFmtId="0" fontId="41" fillId="0" borderId="1" xfId="0" applyFont="1" applyBorder="1" applyAlignment="1" applyProtection="1">
      <alignment horizontal="center" vertical="center"/>
      <protection locked="0"/>
    </xf>
    <xf numFmtId="0" fontId="30" fillId="0" borderId="1" xfId="0" applyFont="1" applyBorder="1" applyAlignment="1" applyProtection="1">
      <alignment horizontal="center" vertical="center" shrinkToFit="1"/>
      <protection locked="0"/>
    </xf>
    <xf numFmtId="0" fontId="20" fillId="0" borderId="1" xfId="0" applyFont="1" applyBorder="1" applyAlignment="1" applyProtection="1">
      <alignment horizontal="center" vertical="center" shrinkToFit="1"/>
      <protection locked="0"/>
    </xf>
    <xf numFmtId="0" fontId="31" fillId="0" borderId="1" xfId="0" applyFont="1" applyBorder="1" applyAlignment="1" applyProtection="1">
      <alignment horizontal="center" vertical="center" shrinkToFit="1"/>
      <protection locked="0"/>
    </xf>
    <xf numFmtId="20" fontId="3" fillId="0" borderId="0" xfId="0" applyNumberFormat="1" applyFont="1">
      <alignment vertical="center"/>
    </xf>
    <xf numFmtId="20" fontId="3" fillId="0" borderId="0" xfId="0" applyNumberFormat="1" applyFont="1" applyAlignment="1">
      <alignment horizontal="center" vertical="center"/>
    </xf>
    <xf numFmtId="14" fontId="3" fillId="0" borderId="0" xfId="0" applyNumberFormat="1" applyFont="1" applyAlignment="1">
      <alignment horizontal="center" vertical="center"/>
    </xf>
    <xf numFmtId="20" fontId="0" fillId="0" borderId="3" xfId="0" applyNumberFormat="1" applyBorder="1" applyAlignment="1">
      <alignment horizontal="center" vertical="center"/>
    </xf>
    <xf numFmtId="187" fontId="28" fillId="0" borderId="3" xfId="0" applyNumberFormat="1" applyFont="1" applyBorder="1" applyAlignment="1">
      <alignment horizontal="center" vertical="center" shrinkToFit="1"/>
    </xf>
    <xf numFmtId="178" fontId="3" fillId="0" borderId="3" xfId="0" applyNumberFormat="1" applyFont="1" applyBorder="1" applyAlignment="1">
      <alignment horizontal="center" vertical="center"/>
    </xf>
    <xf numFmtId="0" fontId="3" fillId="0" borderId="3" xfId="0" applyFont="1" applyBorder="1" applyAlignment="1">
      <alignment horizontal="center" vertical="center"/>
    </xf>
    <xf numFmtId="177" fontId="3" fillId="0" borderId="3" xfId="0" applyNumberFormat="1" applyFont="1" applyBorder="1" applyAlignment="1">
      <alignment horizontal="center" vertical="center"/>
    </xf>
    <xf numFmtId="188" fontId="3" fillId="0" borderId="3" xfId="0" applyNumberFormat="1" applyFont="1" applyBorder="1" applyAlignment="1">
      <alignment horizontal="center" vertical="center"/>
    </xf>
    <xf numFmtId="176" fontId="3" fillId="0" borderId="3" xfId="0" applyNumberFormat="1" applyFont="1" applyBorder="1" applyAlignment="1">
      <alignment horizontal="center" vertical="center"/>
    </xf>
    <xf numFmtId="0" fontId="0" fillId="10" borderId="14" xfId="0" applyFill="1" applyBorder="1" applyAlignment="1">
      <alignment horizontal="center" vertical="center" wrapText="1"/>
    </xf>
    <xf numFmtId="0" fontId="0" fillId="10" borderId="10" xfId="0" applyFill="1" applyBorder="1" applyAlignment="1">
      <alignment horizontal="center" vertical="center"/>
    </xf>
    <xf numFmtId="176" fontId="34" fillId="0" borderId="14" xfId="0" applyNumberFormat="1" applyFont="1" applyBorder="1" applyAlignment="1">
      <alignment horizontal="center" vertical="center" wrapText="1"/>
    </xf>
    <xf numFmtId="176" fontId="34" fillId="0" borderId="10" xfId="0" applyNumberFormat="1" applyFont="1" applyBorder="1" applyAlignment="1">
      <alignment horizontal="center" vertical="center" wrapText="1"/>
    </xf>
    <xf numFmtId="0" fontId="3" fillId="10" borderId="5" xfId="0" applyFont="1" applyFill="1" applyBorder="1" applyAlignment="1">
      <alignment horizontal="center" vertical="center"/>
    </xf>
    <xf numFmtId="176" fontId="34" fillId="0" borderId="14" xfId="0" applyNumberFormat="1" applyFont="1" applyBorder="1" applyAlignment="1">
      <alignment horizontal="center" vertical="center"/>
    </xf>
    <xf numFmtId="176" fontId="34" fillId="0" borderId="10" xfId="0" applyNumberFormat="1" applyFont="1" applyBorder="1" applyAlignment="1">
      <alignment horizontal="center" vertical="center"/>
    </xf>
    <xf numFmtId="0" fontId="3" fillId="0" borderId="0" xfId="0" applyFont="1" applyAlignment="1">
      <alignment horizontal="center" vertical="center" shrinkToFit="1"/>
    </xf>
    <xf numFmtId="0" fontId="42" fillId="0" borderId="0" xfId="0" applyFont="1" applyAlignment="1">
      <alignment horizontal="left" vertical="center" wrapText="1"/>
    </xf>
    <xf numFmtId="0" fontId="42" fillId="0" borderId="0" xfId="0" applyFont="1" applyAlignment="1">
      <alignment horizontal="left" vertical="center"/>
    </xf>
    <xf numFmtId="0" fontId="32" fillId="0" borderId="0" xfId="0" applyFont="1" applyAlignment="1">
      <alignment horizontal="center" vertical="center" shrinkToFit="1"/>
    </xf>
    <xf numFmtId="0" fontId="7" fillId="0" borderId="19" xfId="0" applyFont="1" applyBorder="1" applyAlignment="1">
      <alignment horizontal="left" vertical="center" indent="1"/>
    </xf>
    <xf numFmtId="0" fontId="7" fillId="0" borderId="20" xfId="0" applyFont="1" applyBorder="1" applyAlignment="1">
      <alignment horizontal="left" vertical="center" indent="1"/>
    </xf>
    <xf numFmtId="0" fontId="3" fillId="0" borderId="21" xfId="0" applyFont="1" applyBorder="1" applyAlignment="1">
      <alignment horizontal="right" vertical="center" wrapText="1"/>
    </xf>
    <xf numFmtId="0" fontId="3" fillId="0" borderId="19" xfId="0" applyFont="1" applyBorder="1" applyAlignment="1">
      <alignment horizontal="right" vertical="center" wrapText="1"/>
    </xf>
    <xf numFmtId="0" fontId="0" fillId="0" borderId="2" xfId="0" applyBorder="1" applyAlignment="1">
      <alignment horizontal="right" vertical="center"/>
    </xf>
    <xf numFmtId="185" fontId="3" fillId="0" borderId="0" xfId="0" applyNumberFormat="1" applyFont="1" applyAlignment="1">
      <alignment horizontal="center" vertical="center"/>
    </xf>
    <xf numFmtId="0" fontId="46" fillId="0" borderId="0" xfId="0" applyFont="1" applyAlignment="1">
      <alignment horizontal="center" vertical="center"/>
    </xf>
    <xf numFmtId="0" fontId="0" fillId="0" borderId="0" xfId="0" applyAlignment="1">
      <alignment horizontal="right" vertical="center"/>
    </xf>
    <xf numFmtId="182" fontId="11" fillId="0" borderId="17" xfId="0" applyNumberFormat="1" applyFont="1" applyBorder="1" applyAlignment="1">
      <alignment horizontal="left" vertical="center" shrinkToFit="1"/>
    </xf>
    <xf numFmtId="182" fontId="11" fillId="0" borderId="26" xfId="0" applyNumberFormat="1" applyFont="1" applyBorder="1" applyAlignment="1">
      <alignment horizontal="left" vertical="center" shrinkToFit="1"/>
    </xf>
    <xf numFmtId="176" fontId="3" fillId="3" borderId="3" xfId="0" applyNumberFormat="1" applyFont="1" applyFill="1" applyBorder="1" applyAlignment="1">
      <alignment horizontal="center" vertical="center"/>
    </xf>
    <xf numFmtId="176" fontId="34" fillId="0" borderId="3" xfId="0" applyNumberFormat="1" applyFont="1" applyBorder="1" applyAlignment="1">
      <alignment horizontal="center" vertical="center"/>
    </xf>
    <xf numFmtId="179" fontId="11" fillId="0" borderId="2" xfId="0" applyNumberFormat="1" applyFont="1" applyBorder="1" applyAlignment="1">
      <alignment horizontal="center" vertical="center"/>
    </xf>
    <xf numFmtId="176" fontId="34" fillId="0" borderId="15" xfId="0" applyNumberFormat="1" applyFont="1" applyBorder="1" applyAlignment="1">
      <alignment horizontal="left" vertical="center"/>
    </xf>
    <xf numFmtId="182" fontId="11" fillId="0" borderId="2" xfId="0" quotePrefix="1" applyNumberFormat="1" applyFont="1" applyBorder="1" applyAlignment="1">
      <alignment horizontal="center" vertical="center"/>
    </xf>
    <xf numFmtId="181"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177" fontId="34" fillId="0" borderId="8" xfId="0" applyNumberFormat="1" applyFont="1" applyBorder="1" applyAlignment="1">
      <alignment horizontal="center" vertical="center" wrapText="1"/>
    </xf>
    <xf numFmtId="177" fontId="34" fillId="0" borderId="5" xfId="0" applyNumberFormat="1" applyFont="1" applyBorder="1" applyAlignment="1">
      <alignment horizontal="center" vertical="center"/>
    </xf>
    <xf numFmtId="14" fontId="3" fillId="11" borderId="18" xfId="0" applyNumberFormat="1" applyFont="1" applyFill="1" applyBorder="1" applyAlignment="1" applyProtection="1">
      <alignment horizontal="center" vertical="center"/>
      <protection locked="0"/>
    </xf>
    <xf numFmtId="14" fontId="3" fillId="11" borderId="17" xfId="0" applyNumberFormat="1" applyFont="1" applyFill="1" applyBorder="1" applyAlignment="1" applyProtection="1">
      <alignment horizontal="center" vertical="center"/>
      <protection locked="0"/>
    </xf>
    <xf numFmtId="14" fontId="3" fillId="0" borderId="17" xfId="0" applyNumberFormat="1" applyFont="1" applyBorder="1" applyAlignment="1">
      <alignment horizontal="center" vertical="center"/>
    </xf>
    <xf numFmtId="14" fontId="3" fillId="0" borderId="13" xfId="0" applyNumberFormat="1" applyFont="1" applyBorder="1" applyAlignment="1">
      <alignment horizontal="center" vertical="center"/>
    </xf>
    <xf numFmtId="0" fontId="3" fillId="16" borderId="0" xfId="0" applyFont="1" applyFill="1" applyAlignment="1" applyProtection="1">
      <alignment horizontal="center" vertical="center" wrapText="1"/>
      <protection locked="0"/>
    </xf>
    <xf numFmtId="0" fontId="3" fillId="16" borderId="2" xfId="0" applyFont="1" applyFill="1" applyBorder="1" applyAlignment="1" applyProtection="1">
      <alignment horizontal="center" vertical="center" wrapText="1"/>
      <protection locked="0"/>
    </xf>
    <xf numFmtId="0" fontId="0" fillId="0" borderId="0" xfId="0" applyAlignment="1">
      <alignment vertical="center" wrapText="1"/>
    </xf>
    <xf numFmtId="0" fontId="0" fillId="0" borderId="0" xfId="0">
      <alignment vertical="center"/>
    </xf>
    <xf numFmtId="185" fontId="8" fillId="0" borderId="2" xfId="0" applyNumberFormat="1" applyFont="1" applyBorder="1" applyAlignment="1">
      <alignment horizontal="center" vertical="center"/>
    </xf>
    <xf numFmtId="0" fontId="20" fillId="0" borderId="0" xfId="0" applyFont="1" applyAlignment="1">
      <alignment horizontal="center" vertical="center"/>
    </xf>
    <xf numFmtId="0" fontId="3" fillId="0" borderId="9" xfId="0" applyFont="1" applyFill="1" applyBorder="1" applyAlignment="1">
      <alignment horizontal="center" vertical="center"/>
    </xf>
    <xf numFmtId="0" fontId="33" fillId="0" borderId="9" xfId="0" applyFont="1" applyFill="1" applyBorder="1" applyAlignment="1">
      <alignment horizontal="center" vertical="center" shrinkToFit="1"/>
    </xf>
    <xf numFmtId="0" fontId="37" fillId="0" borderId="9" xfId="0" applyFont="1" applyFill="1" applyBorder="1" applyAlignment="1" applyProtection="1">
      <alignment horizontal="center" vertical="center" shrinkToFit="1"/>
      <protection locked="0"/>
    </xf>
    <xf numFmtId="0" fontId="35" fillId="0" borderId="9" xfId="0" applyFont="1" applyFill="1" applyBorder="1" applyAlignment="1">
      <alignment horizontal="center" vertical="center"/>
    </xf>
    <xf numFmtId="0" fontId="35" fillId="0" borderId="9" xfId="0" applyFont="1" applyFill="1" applyBorder="1">
      <alignment vertical="center"/>
    </xf>
    <xf numFmtId="0" fontId="35" fillId="0" borderId="10" xfId="0" applyFont="1" applyFill="1" applyBorder="1">
      <alignment vertical="center"/>
    </xf>
    <xf numFmtId="0" fontId="33" fillId="0" borderId="9" xfId="0" applyFont="1" applyFill="1" applyBorder="1" applyAlignment="1">
      <alignment vertical="center" shrinkToFit="1"/>
    </xf>
    <xf numFmtId="49" fontId="37" fillId="0" borderId="9" xfId="0" applyNumberFormat="1" applyFont="1" applyFill="1" applyBorder="1" applyAlignment="1" applyProtection="1">
      <alignment horizontal="center" vertical="center" shrinkToFit="1"/>
      <protection locked="0"/>
    </xf>
    <xf numFmtId="0" fontId="35" fillId="0" borderId="9" xfId="0" applyFont="1" applyFill="1" applyBorder="1" applyAlignment="1" applyProtection="1">
      <alignment horizontal="center" vertical="center"/>
      <protection locked="0"/>
    </xf>
    <xf numFmtId="56" fontId="37" fillId="0" borderId="9" xfId="0" applyNumberFormat="1" applyFont="1" applyFill="1" applyBorder="1" applyAlignment="1" applyProtection="1">
      <alignment horizontal="center" vertical="center" shrinkToFit="1"/>
      <protection locked="0"/>
    </xf>
    <xf numFmtId="0" fontId="19" fillId="0" borderId="9" xfId="0" applyFont="1" applyFill="1" applyBorder="1" applyAlignment="1" applyProtection="1">
      <alignment horizontal="center" vertical="center" shrinkToFit="1"/>
      <protection locked="0"/>
    </xf>
    <xf numFmtId="0" fontId="19" fillId="0" borderId="9" xfId="0" applyFont="1" applyFill="1" applyBorder="1" applyAlignment="1" applyProtection="1">
      <alignment vertical="center" shrinkToFit="1"/>
      <protection locked="0"/>
    </xf>
    <xf numFmtId="49" fontId="19" fillId="0" borderId="3" xfId="1" applyNumberFormat="1" applyBorder="1" applyAlignment="1" applyProtection="1">
      <alignment horizontal="left" vertical="center" indent="1"/>
    </xf>
  </cellXfs>
  <cellStyles count="3">
    <cellStyle name="桁区切り" xfId="2" builtinId="6"/>
    <cellStyle name="標準" xfId="0" builtinId="0"/>
    <cellStyle name="標準_Sheet1" xfId="1" xr:uid="{00000000-0005-0000-0000-000002000000}"/>
  </cellStyles>
  <dxfs count="9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FF0000"/>
        </patternFill>
      </fill>
    </dxf>
    <dxf>
      <fill>
        <patternFill>
          <bgColor rgb="FFFFFF99"/>
        </patternFill>
      </fill>
    </dxf>
    <dxf>
      <font>
        <b/>
        <i val="0"/>
        <color rgb="FFFF0000"/>
      </font>
    </dxf>
    <dxf>
      <fill>
        <patternFill>
          <bgColor rgb="FFFFFF99"/>
        </patternFill>
      </fill>
    </dxf>
    <dxf>
      <font>
        <b/>
        <i val="0"/>
        <color rgb="FFFF0000"/>
      </font>
    </dxf>
    <dxf>
      <font>
        <color rgb="FFFF0000"/>
      </font>
    </dxf>
    <dxf>
      <fill>
        <patternFill>
          <bgColor rgb="FFF5E4E3"/>
        </patternFill>
      </fill>
    </dxf>
    <dxf>
      <fill>
        <patternFill>
          <bgColor rgb="FF00B0F0"/>
        </patternFill>
      </fill>
    </dxf>
    <dxf>
      <fill>
        <patternFill>
          <bgColor indexed="11"/>
        </patternFill>
      </fill>
    </dxf>
    <dxf>
      <font>
        <color rgb="FFFF0000"/>
      </font>
    </dxf>
    <dxf>
      <font>
        <color rgb="FFFF0000"/>
      </font>
    </dxf>
    <dxf>
      <fill>
        <patternFill>
          <bgColor rgb="FFFF000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FF"/>
      </font>
    </dxf>
    <dxf>
      <fill>
        <patternFill>
          <bgColor theme="5" tint="0.79998168889431442"/>
        </patternFill>
      </fill>
    </dxf>
    <dxf>
      <fill>
        <patternFill>
          <bgColor rgb="FFCC99FF"/>
        </patternFill>
      </fill>
    </dxf>
    <dxf>
      <fill>
        <patternFill>
          <bgColor rgb="FFFFFF00"/>
        </patternFill>
      </fill>
    </dxf>
    <dxf>
      <font>
        <color rgb="FFFF0000"/>
      </font>
    </dxf>
    <dxf>
      <fill>
        <patternFill>
          <bgColor indexed="10"/>
        </patternFill>
      </fill>
    </dxf>
    <dxf>
      <font>
        <condense val="0"/>
        <extend val="0"/>
        <color indexed="10"/>
      </font>
      <fill>
        <patternFill patternType="none">
          <bgColor indexed="65"/>
        </patternFill>
      </fill>
    </dxf>
    <dxf>
      <font>
        <color rgb="FFFF0000"/>
      </font>
    </dxf>
    <dxf>
      <fill>
        <patternFill>
          <bgColor rgb="FFF5E4E3"/>
        </patternFill>
      </fill>
    </dxf>
    <dxf>
      <fill>
        <patternFill>
          <bgColor rgb="FFFFFF99"/>
        </patternFill>
      </fill>
    </dxf>
    <dxf>
      <font>
        <b val="0"/>
        <i val="0"/>
        <color auto="1"/>
      </font>
      <fill>
        <patternFill>
          <bgColor theme="4" tint="0.79998168889431442"/>
        </patternFill>
      </fill>
    </dxf>
    <dxf>
      <fill>
        <patternFill>
          <bgColor rgb="FFFFFF99"/>
        </patternFill>
      </fill>
    </dxf>
    <dxf>
      <font>
        <b/>
        <i val="0"/>
        <color rgb="FFFF0000"/>
      </font>
    </dxf>
    <dxf>
      <font>
        <color theme="0" tint="-0.34998626667073579"/>
      </font>
    </dxf>
    <dxf>
      <fill>
        <patternFill>
          <bgColor rgb="FFFFFF99"/>
        </patternFill>
      </fill>
    </dxf>
    <dxf>
      <fill>
        <patternFill>
          <bgColor rgb="FF00B0F0"/>
        </patternFill>
      </fill>
    </dxf>
    <dxf>
      <fill>
        <patternFill>
          <bgColor indexed="10"/>
        </patternFill>
      </fill>
    </dxf>
    <dxf>
      <fill>
        <patternFill>
          <bgColor indexed="11"/>
        </patternFill>
      </fill>
    </dxf>
  </dxfs>
  <tableStyles count="0" defaultTableStyle="TableStyleMedium2" defaultPivotStyle="PivotStyleLight16"/>
  <colors>
    <mruColors>
      <color rgb="FFCCECFF"/>
      <color rgb="FFFFFFFF"/>
      <color rgb="FFFFFFCC"/>
      <color rgb="FFFFFF99"/>
      <color rgb="FFFFFF66"/>
      <color rgb="FF0066FF"/>
      <color rgb="FF969696"/>
      <color rgb="FF0070C0"/>
      <color rgb="FF3399FF"/>
      <color rgb="FFF5E4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7</xdr:col>
      <xdr:colOff>116417</xdr:colOff>
      <xdr:row>5</xdr:row>
      <xdr:rowOff>19050</xdr:rowOff>
    </xdr:from>
    <xdr:to>
      <xdr:col>17</xdr:col>
      <xdr:colOff>125941</xdr:colOff>
      <xdr:row>5</xdr:row>
      <xdr:rowOff>361950</xdr:rowOff>
    </xdr:to>
    <xdr:sp macro="" textlink="">
      <xdr:nvSpPr>
        <xdr:cNvPr id="1039" name="Text Box 15">
          <a:extLst>
            <a:ext uri="{FF2B5EF4-FFF2-40B4-BE49-F238E27FC236}">
              <a16:creationId xmlns:a16="http://schemas.microsoft.com/office/drawing/2014/main" id="{00000000-0008-0000-0000-00000F040000}"/>
            </a:ext>
          </a:extLst>
        </xdr:cNvPr>
        <xdr:cNvSpPr txBox="1">
          <a:spLocks noChangeArrowheads="1"/>
        </xdr:cNvSpPr>
      </xdr:nvSpPr>
      <xdr:spPr bwMode="auto">
        <a:xfrm>
          <a:off x="2910417" y="706967"/>
          <a:ext cx="3396191" cy="342900"/>
        </a:xfrm>
        <a:prstGeom prst="rect">
          <a:avLst/>
        </a:prstGeom>
        <a:solidFill>
          <a:srgbClr val="FFFFFF"/>
        </a:solidFill>
        <a:ln>
          <a:noFill/>
        </a:ln>
      </xdr:spPr>
      <xdr:txBody>
        <a:bodyPr vertOverflow="clip" wrap="square" lIns="36576" tIns="22860" rIns="36576" bIns="22860" anchor="ctr" upright="1"/>
        <a:lstStyle/>
        <a:p>
          <a:pPr algn="dist" rtl="0">
            <a:defRPr sz="1000"/>
          </a:pPr>
          <a:r>
            <a:rPr lang="ja-JP" altLang="en-US" sz="1800" b="0" i="0" u="none" strike="noStrike" baseline="0">
              <a:solidFill>
                <a:srgbClr val="000000"/>
              </a:solidFill>
              <a:latin typeface="ＭＳ Ｐゴシック"/>
              <a:ea typeface="ＭＳ Ｐゴシック"/>
            </a:rPr>
            <a:t>ｶﾞﾝﾏ照射課勤務予定表</a:t>
          </a:r>
          <a:endParaRPr lang="ja-JP" altLang="en-US"/>
        </a:p>
      </xdr:txBody>
    </xdr:sp>
    <xdr:clientData/>
  </xdr:twoCellAnchor>
  <mc:AlternateContent xmlns:mc="http://schemas.openxmlformats.org/markup-compatibility/2006">
    <mc:Choice xmlns:a14="http://schemas.microsoft.com/office/drawing/2010/main" Requires="a14">
      <xdr:twoCellAnchor>
        <xdr:from>
          <xdr:col>21</xdr:col>
          <xdr:colOff>213360</xdr:colOff>
          <xdr:row>5</xdr:row>
          <xdr:rowOff>144780</xdr:rowOff>
        </xdr:from>
        <xdr:to>
          <xdr:col>24</xdr:col>
          <xdr:colOff>30480</xdr:colOff>
          <xdr:row>6</xdr:row>
          <xdr:rowOff>274320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画面</a:t>
              </a:r>
            </a:p>
            <a:p>
              <a:pPr algn="ctr" rtl="0">
                <a:defRPr sz="1000"/>
              </a:pPr>
              <a:r>
                <a:rPr lang="ja-JP" altLang="en-US" sz="11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45720</xdr:colOff>
          <xdr:row>5</xdr:row>
          <xdr:rowOff>144780</xdr:rowOff>
        </xdr:from>
        <xdr:to>
          <xdr:col>21</xdr:col>
          <xdr:colOff>220980</xdr:colOff>
          <xdr:row>6</xdr:row>
          <xdr:rowOff>274320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記録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60960</xdr:colOff>
          <xdr:row>5</xdr:row>
          <xdr:rowOff>121920</xdr:rowOff>
        </xdr:from>
        <xdr:to>
          <xdr:col>26</xdr:col>
          <xdr:colOff>213360</xdr:colOff>
          <xdr:row>6</xdr:row>
          <xdr:rowOff>274320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注意事項</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190500</xdr:colOff>
          <xdr:row>0</xdr:row>
          <xdr:rowOff>99060</xdr:rowOff>
        </xdr:from>
        <xdr:to>
          <xdr:col>37</xdr:col>
          <xdr:colOff>289560</xdr:colOff>
          <xdr:row>2</xdr:row>
          <xdr:rowOff>190500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100-0000011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400" b="0" i="0" u="none" strike="noStrike" baseline="0">
                  <a:solidFill>
                    <a:srgbClr val="000000"/>
                  </a:solidFill>
                  <a:latin typeface="ＭＳ Ｐゴシック"/>
                  <a:ea typeface="ＭＳ Ｐゴシック"/>
                </a:rPr>
                <a:t>記録</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685800</xdr:colOff>
          <xdr:row>3</xdr:row>
          <xdr:rowOff>22860</xdr:rowOff>
        </xdr:from>
        <xdr:to>
          <xdr:col>5</xdr:col>
          <xdr:colOff>449580</xdr:colOff>
          <xdr:row>4</xdr:row>
          <xdr:rowOff>190500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社員登録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22860</xdr:rowOff>
        </xdr:from>
        <xdr:to>
          <xdr:col>4</xdr:col>
          <xdr:colOff>685800</xdr:colOff>
          <xdr:row>4</xdr:row>
          <xdr:rowOff>190500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呼出</a:t>
              </a:r>
            </a:p>
          </xdr:txBody>
        </xdr:sp>
        <xdr:clientData fPrintsWithSheet="0"/>
      </xdr:twoCellAnchor>
    </mc:Choice>
    <mc:Fallback/>
  </mc:AlternateContent>
  <xdr:twoCellAnchor>
    <xdr:from>
      <xdr:col>5</xdr:col>
      <xdr:colOff>575831</xdr:colOff>
      <xdr:row>2</xdr:row>
      <xdr:rowOff>161925</xdr:rowOff>
    </xdr:from>
    <xdr:to>
      <xdr:col>5</xdr:col>
      <xdr:colOff>804431</xdr:colOff>
      <xdr:row>4</xdr:row>
      <xdr:rowOff>38100</xdr:rowOff>
    </xdr:to>
    <xdr:sp macro="[0]!UP" textlink="">
      <xdr:nvSpPr>
        <xdr:cNvPr id="2" name="矢印: 上 1">
          <a:extLst>
            <a:ext uri="{FF2B5EF4-FFF2-40B4-BE49-F238E27FC236}">
              <a16:creationId xmlns:a16="http://schemas.microsoft.com/office/drawing/2014/main" id="{00000000-0008-0000-0300-000002000000}"/>
            </a:ext>
          </a:extLst>
        </xdr:cNvPr>
        <xdr:cNvSpPr/>
      </xdr:nvSpPr>
      <xdr:spPr>
        <a:xfrm>
          <a:off x="2394240" y="551584"/>
          <a:ext cx="228600" cy="22253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891021</xdr:colOff>
      <xdr:row>3</xdr:row>
      <xdr:rowOff>19050</xdr:rowOff>
    </xdr:from>
    <xdr:to>
      <xdr:col>5</xdr:col>
      <xdr:colOff>1110096</xdr:colOff>
      <xdr:row>4</xdr:row>
      <xdr:rowOff>57150</xdr:rowOff>
    </xdr:to>
    <xdr:sp macro="[0]!Down" textlink="">
      <xdr:nvSpPr>
        <xdr:cNvPr id="3" name="矢印: 下 2">
          <a:extLst>
            <a:ext uri="{FF2B5EF4-FFF2-40B4-BE49-F238E27FC236}">
              <a16:creationId xmlns:a16="http://schemas.microsoft.com/office/drawing/2014/main" id="{00000000-0008-0000-0300-000003000000}"/>
            </a:ext>
          </a:extLst>
        </xdr:cNvPr>
        <xdr:cNvSpPr/>
      </xdr:nvSpPr>
      <xdr:spPr>
        <a:xfrm>
          <a:off x="2709430" y="581891"/>
          <a:ext cx="219075" cy="211282"/>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xdr:from>
          <xdr:col>22</xdr:col>
          <xdr:colOff>22860</xdr:colOff>
          <xdr:row>1</xdr:row>
          <xdr:rowOff>175260</xdr:rowOff>
        </xdr:from>
        <xdr:to>
          <xdr:col>23</xdr:col>
          <xdr:colOff>571500</xdr:colOff>
          <xdr:row>3</xdr:row>
          <xdr:rowOff>121920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勤務時間登録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0</xdr:colOff>
          <xdr:row>1</xdr:row>
          <xdr:rowOff>175260</xdr:rowOff>
        </xdr:from>
        <xdr:to>
          <xdr:col>28</xdr:col>
          <xdr:colOff>982980</xdr:colOff>
          <xdr:row>3</xdr:row>
          <xdr:rowOff>121920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300-000021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回覧先登録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487680</xdr:colOff>
          <xdr:row>1</xdr:row>
          <xdr:rowOff>160020</xdr:rowOff>
        </xdr:from>
        <xdr:to>
          <xdr:col>21</xdr:col>
          <xdr:colOff>579120</xdr:colOff>
          <xdr:row>3</xdr:row>
          <xdr:rowOff>121920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300-000023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呼出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175260</xdr:colOff>
          <xdr:row>3</xdr:row>
          <xdr:rowOff>144780</xdr:rowOff>
        </xdr:from>
        <xdr:to>
          <xdr:col>28</xdr:col>
          <xdr:colOff>861060</xdr:colOff>
          <xdr:row>4</xdr:row>
          <xdr:rowOff>236220</xdr:rowOff>
        </xdr:to>
        <xdr:sp macro="" textlink="">
          <xdr:nvSpPr>
            <xdr:cNvPr id="4133" name="Button 37" hidden="1">
              <a:extLst>
                <a:ext uri="{63B3BB69-23CF-44E3-9099-C40C66FF867C}">
                  <a14:compatExt spid="_x0000_s4133"/>
                </a:ext>
                <a:ext uri="{FF2B5EF4-FFF2-40B4-BE49-F238E27FC236}">
                  <a16:creationId xmlns:a16="http://schemas.microsoft.com/office/drawing/2014/main" id="{00000000-0008-0000-0300-0000251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呼出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7</xdr:col>
      <xdr:colOff>116417</xdr:colOff>
      <xdr:row>5</xdr:row>
      <xdr:rowOff>19050</xdr:rowOff>
    </xdr:from>
    <xdr:to>
      <xdr:col>17</xdr:col>
      <xdr:colOff>125941</xdr:colOff>
      <xdr:row>5</xdr:row>
      <xdr:rowOff>361950</xdr:rowOff>
    </xdr:to>
    <xdr:sp macro="" textlink="">
      <xdr:nvSpPr>
        <xdr:cNvPr id="2" name="Text Box 15">
          <a:extLst>
            <a:ext uri="{FF2B5EF4-FFF2-40B4-BE49-F238E27FC236}">
              <a16:creationId xmlns:a16="http://schemas.microsoft.com/office/drawing/2014/main" id="{00000000-0008-0000-0500-000002000000}"/>
            </a:ext>
          </a:extLst>
        </xdr:cNvPr>
        <xdr:cNvSpPr txBox="1">
          <a:spLocks noChangeArrowheads="1"/>
        </xdr:cNvSpPr>
      </xdr:nvSpPr>
      <xdr:spPr bwMode="auto">
        <a:xfrm>
          <a:off x="1192742" y="390525"/>
          <a:ext cx="3343274" cy="342900"/>
        </a:xfrm>
        <a:prstGeom prst="rect">
          <a:avLst/>
        </a:prstGeom>
        <a:solidFill>
          <a:srgbClr val="FFFFFF"/>
        </a:solidFill>
        <a:ln>
          <a:noFill/>
        </a:ln>
      </xdr:spPr>
      <xdr:txBody>
        <a:bodyPr vertOverflow="clip" wrap="square" lIns="36576" tIns="22860" rIns="36576" bIns="22860" anchor="ctr" upright="1"/>
        <a:lstStyle/>
        <a:p>
          <a:pPr algn="dist" rtl="0">
            <a:defRPr sz="1000"/>
          </a:pPr>
          <a:r>
            <a:rPr lang="ja-JP" altLang="en-US" sz="1800" b="0" i="0" u="none" strike="noStrike" baseline="0">
              <a:solidFill>
                <a:srgbClr val="000000"/>
              </a:solidFill>
              <a:latin typeface="ＭＳ Ｐゴシック"/>
              <a:ea typeface="ＭＳ Ｐゴシック"/>
            </a:rPr>
            <a:t>ｶﾞﾝﾏ照射課勤務予定表</a:t>
          </a:r>
          <a:endParaRPr lang="ja-JP" altLang="en-US"/>
        </a:p>
      </xdr:txBody>
    </xdr:sp>
    <xdr:clientData/>
  </xdr:twoCellAnchor>
  <xdr:oneCellAnchor>
    <xdr:from>
      <xdr:col>14</xdr:col>
      <xdr:colOff>178879</xdr:colOff>
      <xdr:row>15</xdr:row>
      <xdr:rowOff>16721</xdr:rowOff>
    </xdr:from>
    <xdr:ext cx="7064375" cy="1403730"/>
    <xdr:sp macro="" textlink="">
      <xdr:nvSpPr>
        <xdr:cNvPr id="3" name="テキスト ボックス 2">
          <a:extLst>
            <a:ext uri="{FF2B5EF4-FFF2-40B4-BE49-F238E27FC236}">
              <a16:creationId xmlns:a16="http://schemas.microsoft.com/office/drawing/2014/main" id="{00000000-0008-0000-0500-000003000000}"/>
            </a:ext>
          </a:extLst>
        </xdr:cNvPr>
        <xdr:cNvSpPr txBox="1"/>
      </xdr:nvSpPr>
      <xdr:spPr>
        <a:xfrm rot="1346244">
          <a:off x="3592004" y="2969471"/>
          <a:ext cx="7064375" cy="14037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kumimoji="1" lang="ja-JP" altLang="en-US" sz="8000">
              <a:solidFill>
                <a:schemeClr val="tx2">
                  <a:lumMod val="60000"/>
                  <a:lumOff val="40000"/>
                  <a:alpha val="61000"/>
                </a:schemeClr>
              </a:solidFill>
            </a:rPr>
            <a:t>印刷用シート</a:t>
          </a:r>
        </a:p>
      </xdr:txBody>
    </xdr:sp>
    <xdr:clientData fPrintsWithSheet="0"/>
  </xdr:oneCellAnchor>
  <mc:AlternateContent xmlns:mc="http://schemas.openxmlformats.org/markup-compatibility/2006">
    <mc:Choice xmlns:a14="http://schemas.microsoft.com/office/drawing/2010/main" Requires="a14">
      <xdr:twoCellAnchor editAs="oneCell">
        <xdr:from>
          <xdr:col>24</xdr:col>
          <xdr:colOff>257175</xdr:colOff>
          <xdr:row>4</xdr:row>
          <xdr:rowOff>38100</xdr:rowOff>
        </xdr:from>
        <xdr:to>
          <xdr:col>38</xdr:col>
          <xdr:colOff>352425</xdr:colOff>
          <xdr:row>6</xdr:row>
          <xdr:rowOff>266700</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a:extLst>
                <a:ext uri="{84589F7E-364E-4C9E-8A38-B11213B215E9}">
                  <a14:cameraTool cellRange="社員データ!$AK$7:$AP$10" spid="_x0000_s9763"/>
                </a:ext>
              </a:extLst>
            </xdr:cNvPicPr>
          </xdr:nvPicPr>
          <xdr:blipFill>
            <a:blip xmlns:r="http://schemas.openxmlformats.org/officeDocument/2006/relationships" r:embed="rId1"/>
            <a:srcRect/>
            <a:stretch>
              <a:fillRect/>
            </a:stretch>
          </xdr:blipFill>
          <xdr:spPr bwMode="auto">
            <a:xfrm>
              <a:off x="6238875" y="133350"/>
              <a:ext cx="4229100" cy="92392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0</xdr:colOff>
      <xdr:row>0</xdr:row>
      <xdr:rowOff>0</xdr:rowOff>
    </xdr:from>
    <xdr:to>
      <xdr:col>2</xdr:col>
      <xdr:colOff>0</xdr:colOff>
      <xdr:row>1</xdr:row>
      <xdr:rowOff>7007</xdr:rowOff>
    </xdr:to>
    <xdr:sp macro="[0]!画面の初期設定" textlink="">
      <xdr:nvSpPr>
        <xdr:cNvPr id="2" name="正方形/長方形 1">
          <a:extLst>
            <a:ext uri="{FF2B5EF4-FFF2-40B4-BE49-F238E27FC236}">
              <a16:creationId xmlns:a16="http://schemas.microsoft.com/office/drawing/2014/main" id="{00000000-0008-0000-0600-000002000000}"/>
            </a:ext>
          </a:extLst>
        </xdr:cNvPr>
        <xdr:cNvSpPr/>
      </xdr:nvSpPr>
      <xdr:spPr>
        <a:xfrm>
          <a:off x="333375" y="542925"/>
          <a:ext cx="371475" cy="273707"/>
        </a:xfrm>
        <a:prstGeom prst="rect">
          <a:avLst/>
        </a:prstGeom>
        <a:solidFill>
          <a:schemeClr val="tx2">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B1</a:t>
          </a:r>
          <a:endParaRPr kumimoji="1" lang="ja-JP" altLang="en-US" sz="1100">
            <a:solidFill>
              <a:sysClr val="windowText" lastClr="000000"/>
            </a:solidFill>
          </a:endParaRP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3.vml"/><Relationship Id="rId7" Type="http://schemas.openxmlformats.org/officeDocument/2006/relationships/ctrlProp" Target="../ctrlProps/ctrlProp8.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Z101"/>
  <sheetViews>
    <sheetView showGridLines="0" showRowColHeaders="0" showZeros="0" tabSelected="1" showOutlineSymbols="0" defaultGridColor="0" colorId="55" zoomScale="119" zoomScaleNormal="119" zoomScaleSheetLayoutView="75" workbookViewId="0">
      <pane xSplit="42" ySplit="11" topLeftCell="AQ12" activePane="bottomRight" state="frozen"/>
      <selection pane="topRight" activeCell="AQ1" sqref="AQ1"/>
      <selection pane="bottomLeft" activeCell="A12" sqref="A12"/>
      <selection pane="bottomRight" activeCell="G7" sqref="G7"/>
    </sheetView>
  </sheetViews>
  <sheetFormatPr defaultColWidth="4.109375" defaultRowHeight="13.2" x14ac:dyDescent="0.2"/>
  <cols>
    <col min="1" max="1" width="2.6640625" style="1" customWidth="1"/>
    <col min="2" max="4" width="5.6640625" style="1" hidden="1" customWidth="1"/>
    <col min="5" max="6" width="8.6640625" style="2" hidden="1" customWidth="1"/>
    <col min="7" max="7" width="11.44140625" style="1" customWidth="1"/>
    <col min="8" max="38" width="4.33203125" style="1" customWidth="1"/>
    <col min="39" max="41" width="5.33203125" style="1" customWidth="1"/>
    <col min="42" max="42" width="11.44140625" style="1" customWidth="1"/>
    <col min="43" max="43" width="2.109375" style="1" customWidth="1"/>
    <col min="44" max="48" width="4.33203125" style="1" hidden="1" customWidth="1"/>
    <col min="49" max="55" width="4.44140625" style="1" hidden="1" customWidth="1"/>
    <col min="56" max="56" width="8.6640625" style="1" hidden="1" customWidth="1"/>
    <col min="57" max="60" width="4.44140625" style="1" hidden="1" customWidth="1"/>
    <col min="61" max="61" width="8.109375" style="1" hidden="1" customWidth="1"/>
    <col min="62" max="62" width="8.77734375" style="1" hidden="1" customWidth="1"/>
    <col min="63" max="64" width="4.44140625" style="1" hidden="1" customWidth="1"/>
    <col min="65" max="65" width="3.88671875" hidden="1" customWidth="1"/>
    <col min="68" max="74" width="4.109375" style="1" customWidth="1"/>
    <col min="75" max="75" width="9.33203125" style="1" customWidth="1"/>
    <col min="76" max="76" width="4.88671875" style="1" customWidth="1"/>
    <col min="77" max="78" width="4.109375" style="1" customWidth="1"/>
    <col min="79" max="79" width="4.109375" style="1"/>
    <col min="80" max="98" width="0" style="1" hidden="1" customWidth="1"/>
    <col min="99" max="16384" width="4.109375" style="1"/>
  </cols>
  <sheetData>
    <row r="1" spans="2:71" s="2" customFormat="1" ht="7.5" customHeight="1" x14ac:dyDescent="0.2"/>
    <row r="2" spans="2:71" ht="14.4" hidden="1" x14ac:dyDescent="0.2">
      <c r="B2" s="2"/>
      <c r="C2" s="2"/>
      <c r="D2" s="2"/>
      <c r="F2" s="1"/>
      <c r="G2" s="2"/>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2"/>
      <c r="AN2" s="2"/>
      <c r="AP2" s="2"/>
      <c r="AQ2" s="2"/>
      <c r="AR2" s="2"/>
      <c r="AS2" s="2"/>
      <c r="AT2" s="2"/>
      <c r="AU2" s="2"/>
      <c r="AV2" s="2"/>
      <c r="AW2" s="2"/>
      <c r="AX2" s="2"/>
      <c r="AY2" s="2"/>
      <c r="AZ2" s="2"/>
      <c r="BA2" s="2"/>
      <c r="BB2" s="2"/>
      <c r="BC2" s="2"/>
      <c r="BD2" s="2"/>
      <c r="BE2" s="2"/>
      <c r="BF2" s="2"/>
    </row>
    <row r="3" spans="2:71" s="2" customFormat="1" ht="18" hidden="1" customHeight="1" x14ac:dyDescent="0.2"/>
    <row r="4" spans="2:71" hidden="1" x14ac:dyDescent="0.2"/>
    <row r="5" spans="2:71" ht="21.75" hidden="1" customHeight="1" x14ac:dyDescent="0.2">
      <c r="M5" s="58"/>
      <c r="N5" s="3"/>
      <c r="T5" s="126"/>
      <c r="AC5" s="3"/>
    </row>
    <row r="6" spans="2:71" ht="33" customHeight="1" x14ac:dyDescent="0.2">
      <c r="G6" s="62" t="str">
        <f>IF(OR(S_Day="年月日入力",S_Day=""),"------",S_Day)</f>
        <v>------</v>
      </c>
      <c r="H6" s="3"/>
      <c r="I6" s="3"/>
      <c r="J6" s="3"/>
      <c r="K6" s="3"/>
      <c r="L6" s="3"/>
      <c r="M6" s="3"/>
      <c r="N6" s="3"/>
      <c r="R6" s="4"/>
      <c r="S6" s="182"/>
      <c r="T6" s="182"/>
      <c r="U6" s="182"/>
      <c r="V6" s="182"/>
      <c r="X6" s="4"/>
      <c r="Y6" s="4"/>
      <c r="Z6" s="4"/>
      <c r="AA6" s="4"/>
      <c r="AB6" s="4"/>
      <c r="AC6" s="180"/>
      <c r="AD6" s="181"/>
      <c r="AE6" s="181"/>
      <c r="AF6" s="181"/>
      <c r="AG6" s="181"/>
      <c r="AH6" s="181"/>
      <c r="AI6" s="181"/>
      <c r="AJ6" s="181"/>
      <c r="AK6" s="181"/>
      <c r="AL6" s="181"/>
      <c r="AM6" s="181"/>
      <c r="AN6" s="181"/>
      <c r="AO6" s="181"/>
    </row>
    <row r="7" spans="2:71" ht="23.25" customHeight="1" x14ac:dyDescent="0.2">
      <c r="G7" s="106" t="s">
        <v>151</v>
      </c>
      <c r="H7" s="107" t="s">
        <v>80</v>
      </c>
      <c r="I7" s="191"/>
      <c r="J7" s="191"/>
      <c r="K7" s="192"/>
      <c r="L7" s="185" t="s">
        <v>64</v>
      </c>
      <c r="M7" s="186"/>
      <c r="N7" s="183" t="str">
        <f>IFERROR(E_day*1-S_Day*1+1-AM11,"")</f>
        <v/>
      </c>
      <c r="O7" s="184"/>
      <c r="P7" s="186" t="s">
        <v>1</v>
      </c>
      <c r="Q7" s="186"/>
      <c r="R7" s="183" t="str">
        <f>IFERROR(N7*8,"")</f>
        <v/>
      </c>
      <c r="S7" s="184"/>
      <c r="AC7" s="181"/>
      <c r="AD7" s="181"/>
      <c r="AE7" s="181"/>
      <c r="AF7" s="181"/>
      <c r="AG7" s="181"/>
      <c r="AH7" s="181"/>
      <c r="AI7" s="181"/>
      <c r="AJ7" s="181"/>
      <c r="AK7" s="181"/>
      <c r="AL7" s="181"/>
      <c r="AM7" s="181"/>
      <c r="AN7" s="181"/>
      <c r="AO7" s="181"/>
    </row>
    <row r="8" spans="2:71" ht="27.75" customHeight="1" x14ac:dyDescent="0.2">
      <c r="G8" s="82" t="s">
        <v>81</v>
      </c>
      <c r="H8" s="111" t="str">
        <f>社員データ!T33&amp;""</f>
        <v/>
      </c>
      <c r="I8" s="111" t="str">
        <f>社員データ!T32&amp;""</f>
        <v/>
      </c>
      <c r="J8" s="111" t="str">
        <f>社員データ!T31&amp;""</f>
        <v/>
      </c>
      <c r="K8" s="113" t="str">
        <f>社員データ!T30&amp;""</f>
        <v>点検</v>
      </c>
      <c r="L8" s="113" t="str">
        <f>社員データ!T29&amp;""</f>
        <v>積</v>
      </c>
      <c r="M8" s="113" t="str">
        <f>社員データ!T28</f>
        <v>S希</v>
      </c>
      <c r="N8" s="113" t="str">
        <f>社員データ!T27&amp;""</f>
        <v>S</v>
      </c>
      <c r="O8" s="114" t="str">
        <f>社員データ!T26&amp;""</f>
        <v>休希</v>
      </c>
      <c r="P8" s="114" t="str">
        <f>社員データ!T25</f>
        <v>代休</v>
      </c>
      <c r="Q8" s="113" t="str">
        <f>社員データ!T24</f>
        <v>早出</v>
      </c>
      <c r="R8" s="114" t="str">
        <f>社員データ!T23</f>
        <v>有休</v>
      </c>
      <c r="S8" s="115" t="str">
        <f>社員データ!T20</f>
        <v>夜L</v>
      </c>
      <c r="T8" s="115" t="str">
        <f>社員データ!T16</f>
        <v>S残1</v>
      </c>
      <c r="U8" s="115" t="str">
        <f>社員データ!T17</f>
        <v>S残2</v>
      </c>
      <c r="V8" s="115" t="str">
        <f>社員データ!T7</f>
        <v>1</v>
      </c>
      <c r="W8" s="115" t="str">
        <f>社員データ!T8</f>
        <v>2</v>
      </c>
      <c r="X8" s="115" t="str">
        <f>社員データ!T9</f>
        <v>3</v>
      </c>
      <c r="Y8" s="115" t="str">
        <f>社員データ!T12</f>
        <v>残1</v>
      </c>
      <c r="Z8" s="115" t="str">
        <f>社員データ!T13</f>
        <v>残2</v>
      </c>
      <c r="AA8" s="115" t="str">
        <f>社員データ!T14</f>
        <v>3残1</v>
      </c>
      <c r="AB8" s="115" t="str">
        <f>社員データ!T15</f>
        <v>3残2</v>
      </c>
      <c r="AC8" s="115" t="str">
        <f>社員データ!T10</f>
        <v>①</v>
      </c>
      <c r="AD8" s="115" t="str">
        <f>社員データ!T11</f>
        <v>②</v>
      </c>
      <c r="AE8" s="115" t="str">
        <f>社員データ!T19</f>
        <v>夜2</v>
      </c>
      <c r="AF8" s="115" t="str">
        <f>社員データ!T18</f>
        <v>夜1</v>
      </c>
      <c r="AG8" s="115" t="str">
        <f>社員データ!T22</f>
        <v>明</v>
      </c>
      <c r="AH8" s="114" t="str">
        <f>社員データ!T21</f>
        <v>休</v>
      </c>
      <c r="AI8" s="115" t="str">
        <f>社員データ!T18</f>
        <v>夜1</v>
      </c>
      <c r="AJ8" s="115" t="str">
        <f>社員データ!T19</f>
        <v>夜2</v>
      </c>
      <c r="AK8" s="115" t="str">
        <f>社員データ!T22</f>
        <v>明</v>
      </c>
      <c r="AL8" s="114" t="str">
        <f>社員データ!T21</f>
        <v>休</v>
      </c>
      <c r="AM8" s="110" t="s">
        <v>82</v>
      </c>
      <c r="AN8" s="179"/>
      <c r="AO8" s="179"/>
      <c r="BD8" s="2"/>
      <c r="BS8" s="61"/>
    </row>
    <row r="9" spans="2:71" s="11" customFormat="1" ht="27.75" hidden="1" customHeight="1" x14ac:dyDescent="0.2">
      <c r="G9" s="57" t="s">
        <v>26</v>
      </c>
      <c r="H9" s="102"/>
      <c r="I9" s="103"/>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43"/>
      <c r="AO9" s="2"/>
      <c r="AW9" s="2"/>
      <c r="AX9" s="2"/>
      <c r="AY9" s="2"/>
      <c r="AZ9" s="2"/>
      <c r="BA9" s="2"/>
      <c r="BB9" s="2"/>
      <c r="BC9" s="2"/>
      <c r="BD9" s="2"/>
      <c r="BE9" s="2"/>
      <c r="BF9" s="2"/>
      <c r="BG9" s="2"/>
      <c r="BH9" s="2"/>
      <c r="BI9" s="2"/>
      <c r="BJ9" s="2"/>
      <c r="BK9" s="2"/>
      <c r="BL9" s="2"/>
    </row>
    <row r="10" spans="2:71" ht="18.75" customHeight="1" x14ac:dyDescent="0.2">
      <c r="G10" s="82" t="s">
        <v>27</v>
      </c>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105"/>
      <c r="AM10" s="84" t="s">
        <v>33</v>
      </c>
      <c r="AN10" s="174" t="s">
        <v>51</v>
      </c>
      <c r="AO10" s="174" t="s">
        <v>49</v>
      </c>
      <c r="AP10" s="177" t="s">
        <v>0</v>
      </c>
      <c r="AQ10" s="118"/>
      <c r="AR10" s="127">
        <f t="shared" ref="AR10:BC10" si="0">VLOOKUP(AR11,KinmuTime,5,FALSE)</f>
        <v>11</v>
      </c>
      <c r="AS10" s="127">
        <f t="shared" si="0"/>
        <v>11</v>
      </c>
      <c r="AT10" s="127">
        <f t="shared" si="0"/>
        <v>11</v>
      </c>
      <c r="AU10" s="127">
        <f t="shared" si="0"/>
        <v>11</v>
      </c>
      <c r="AV10" s="127"/>
      <c r="AW10" s="127">
        <f t="shared" si="0"/>
        <v>11</v>
      </c>
      <c r="AX10" s="127">
        <f t="shared" si="0"/>
        <v>11</v>
      </c>
      <c r="AY10" s="127">
        <f t="shared" si="0"/>
        <v>11</v>
      </c>
      <c r="AZ10" s="127">
        <f t="shared" si="0"/>
        <v>11</v>
      </c>
      <c r="BA10" s="127">
        <f t="shared" si="0"/>
        <v>11</v>
      </c>
      <c r="BB10" s="127">
        <f t="shared" si="0"/>
        <v>11</v>
      </c>
      <c r="BC10" s="127">
        <f t="shared" si="0"/>
        <v>11</v>
      </c>
      <c r="BD10" s="172" t="s">
        <v>32</v>
      </c>
      <c r="BE10" s="127">
        <f>VLOOKUP(BE11,KinmuTime,5,FALSE)</f>
        <v>0</v>
      </c>
      <c r="BF10" s="127">
        <f>VLOOKUP(BF11,KinmuTime,5,FALSE)</f>
        <v>0</v>
      </c>
      <c r="BG10" s="127">
        <f>VLOOKUP(BG11,KinmuTime,5,FALSE)</f>
        <v>0</v>
      </c>
      <c r="BH10" s="127">
        <f>VLOOKUP(BH11,KinmuTime,5,FALSE)</f>
        <v>0</v>
      </c>
      <c r="BI10" s="172" t="s">
        <v>35</v>
      </c>
      <c r="BJ10" s="172" t="s">
        <v>34</v>
      </c>
      <c r="BK10" s="127">
        <f>VLOOKUP(BK11,KinmuTime,5,FALSE)</f>
        <v>8</v>
      </c>
      <c r="BL10" s="127">
        <f>VLOOKUP(BL11,KinmuTime,5,FALSE)</f>
        <v>8</v>
      </c>
      <c r="BM10" s="127">
        <f>VLOOKUP(BM11,KinmuTime,5,FALSE)</f>
        <v>8</v>
      </c>
    </row>
    <row r="11" spans="2:71" ht="18.75" customHeight="1" x14ac:dyDescent="0.2">
      <c r="E11" s="42" t="s">
        <v>71</v>
      </c>
      <c r="F11" s="42" t="s">
        <v>28</v>
      </c>
      <c r="G11" s="82" t="s">
        <v>70</v>
      </c>
      <c r="H11" s="85"/>
      <c r="I11" s="85"/>
      <c r="J11" s="85"/>
      <c r="K11" s="85"/>
      <c r="L11" s="85"/>
      <c r="M11" s="85"/>
      <c r="N11" s="85"/>
      <c r="O11" s="85"/>
      <c r="P11" s="85"/>
      <c r="Q11" s="85"/>
      <c r="R11" s="85"/>
      <c r="S11" s="85"/>
      <c r="T11" s="85"/>
      <c r="U11" s="85"/>
      <c r="V11" s="85"/>
      <c r="W11" s="85"/>
      <c r="X11" s="85"/>
      <c r="Y11" s="85"/>
      <c r="Z11" s="85"/>
      <c r="AA11" s="85"/>
      <c r="AB11" s="85"/>
      <c r="AC11" s="85"/>
      <c r="AD11" s="85"/>
      <c r="AE11" s="85"/>
      <c r="AF11" s="85"/>
      <c r="AG11" s="85"/>
      <c r="AH11" s="85"/>
      <c r="AI11" s="85"/>
      <c r="AJ11" s="85"/>
      <c r="AK11" s="85"/>
      <c r="AL11" s="85"/>
      <c r="AM11" s="83">
        <f>IF(S_Day="","",COUNTIF(H9:AL9,"○"))</f>
        <v>0</v>
      </c>
      <c r="AN11" s="175"/>
      <c r="AO11" s="175"/>
      <c r="AP11" s="178"/>
      <c r="AQ11" s="118"/>
      <c r="AR11" s="127" t="str">
        <f>社員データ!T16</f>
        <v>S残1</v>
      </c>
      <c r="AS11" s="127" t="str">
        <f>社員データ!T17</f>
        <v>S残2</v>
      </c>
      <c r="AT11" s="128" t="str">
        <f>社員データ!T12</f>
        <v>残1</v>
      </c>
      <c r="AU11" s="129" t="str">
        <f>社員データ!T13</f>
        <v>残2</v>
      </c>
      <c r="AV11" s="127"/>
      <c r="AW11" s="127" t="str">
        <f>社員データ!T14</f>
        <v>3残1</v>
      </c>
      <c r="AX11" s="127" t="str">
        <f>社員データ!T15</f>
        <v>3残2</v>
      </c>
      <c r="AY11" s="127" t="str">
        <f>社員データ!T10</f>
        <v>①</v>
      </c>
      <c r="AZ11" s="127" t="str">
        <f>社員データ!T11</f>
        <v>②</v>
      </c>
      <c r="BA11" s="127" t="str">
        <f>社員データ!T18</f>
        <v>夜1</v>
      </c>
      <c r="BB11" s="127" t="str">
        <f>社員データ!T19</f>
        <v>夜2</v>
      </c>
      <c r="BC11" s="130" t="str">
        <f>社員データ!T20</f>
        <v>夜L</v>
      </c>
      <c r="BD11" s="173"/>
      <c r="BE11" s="127" t="str">
        <f>社員データ!T22</f>
        <v>明</v>
      </c>
      <c r="BF11" s="127" t="str">
        <f>社員データ!T21</f>
        <v>休</v>
      </c>
      <c r="BG11" s="131" t="str">
        <f>社員データ!T25</f>
        <v>代休</v>
      </c>
      <c r="BH11" s="131" t="str">
        <f>社員データ!T26</f>
        <v>休希</v>
      </c>
      <c r="BI11" s="173"/>
      <c r="BJ11" s="173"/>
      <c r="BK11" s="128" t="str">
        <f>社員データ!T23</f>
        <v>有休</v>
      </c>
      <c r="BL11" s="132" t="str">
        <f>社員データ!T24</f>
        <v>早出</v>
      </c>
      <c r="BM11" s="131" t="str">
        <f>社員データ!T28</f>
        <v>S希</v>
      </c>
      <c r="BP11" s="2"/>
    </row>
    <row r="12" spans="2:71" ht="27.75" customHeight="1" x14ac:dyDescent="0.2">
      <c r="E12" s="212"/>
      <c r="F12" s="212"/>
      <c r="G12" s="213"/>
      <c r="H12" s="214"/>
      <c r="I12" s="214"/>
      <c r="J12" s="214"/>
      <c r="K12" s="214"/>
      <c r="L12" s="214"/>
      <c r="M12" s="214"/>
      <c r="N12" s="214"/>
      <c r="O12" s="214"/>
      <c r="P12" s="214"/>
      <c r="Q12" s="214"/>
      <c r="R12" s="214"/>
      <c r="S12" s="214"/>
      <c r="T12" s="214"/>
      <c r="U12" s="214"/>
      <c r="V12" s="214"/>
      <c r="W12" s="214"/>
      <c r="X12" s="214"/>
      <c r="Y12" s="214"/>
      <c r="Z12" s="214"/>
      <c r="AA12" s="214"/>
      <c r="AB12" s="214"/>
      <c r="AC12" s="214"/>
      <c r="AD12" s="214"/>
      <c r="AE12" s="214"/>
      <c r="AF12" s="214"/>
      <c r="AG12" s="214"/>
      <c r="AH12" s="214"/>
      <c r="AI12" s="214"/>
      <c r="AJ12" s="214"/>
      <c r="AK12" s="214"/>
      <c r="AL12" s="214"/>
      <c r="AM12" s="215" t="str">
        <f>IFERROR(BF12+BH12,"")</f>
        <v/>
      </c>
      <c r="AN12" s="216" t="str">
        <f>IF(G12="","",BD12*3)</f>
        <v/>
      </c>
      <c r="AO12" s="217">
        <f t="shared" ref="AO12:AO39" si="1">BD12*11+BJ12*8</f>
        <v>0</v>
      </c>
      <c r="AP12" s="218" t="str">
        <f t="shared" ref="AP12:AP39" si="2">G12&amp;""</f>
        <v/>
      </c>
      <c r="AQ12" s="119"/>
      <c r="AR12" s="59" t="str">
        <f t="shared" ref="AR12:AX28" si="3">IF($G12="","",COUNTIF($H12:$AL12,AR$11))</f>
        <v/>
      </c>
      <c r="AS12" s="59" t="str">
        <f t="shared" si="3"/>
        <v/>
      </c>
      <c r="AT12" s="59" t="str">
        <f t="shared" si="3"/>
        <v/>
      </c>
      <c r="AU12" s="59" t="str">
        <f t="shared" si="3"/>
        <v/>
      </c>
      <c r="AV12" s="59" t="str">
        <f t="shared" si="3"/>
        <v/>
      </c>
      <c r="AW12" s="59" t="str">
        <f t="shared" si="3"/>
        <v/>
      </c>
      <c r="AX12" s="59" t="str">
        <f>IF($G12="","",COUNTIF($H12:$AL12,AX$11))</f>
        <v/>
      </c>
      <c r="AY12" s="59" t="str">
        <f t="shared" ref="AY12:BC27" si="4">IF($G12="","",COUNTIF($H12:$AL12,AY$11))</f>
        <v/>
      </c>
      <c r="AZ12" s="59" t="str">
        <f t="shared" si="4"/>
        <v/>
      </c>
      <c r="BA12" s="59" t="str">
        <f t="shared" si="4"/>
        <v/>
      </c>
      <c r="BB12" s="59" t="str">
        <f t="shared" si="4"/>
        <v/>
      </c>
      <c r="BC12" s="59" t="str">
        <f t="shared" si="4"/>
        <v/>
      </c>
      <c r="BD12" s="59">
        <f>SUM(AR12:BC12)</f>
        <v>0</v>
      </c>
      <c r="BE12" s="59" t="str">
        <f t="shared" ref="BE12:BH27" si="5">IF($G12="","",COUNTIF($H12:$AL12,BE$11))</f>
        <v/>
      </c>
      <c r="BF12" s="59" t="str">
        <f t="shared" si="5"/>
        <v/>
      </c>
      <c r="BG12" s="59" t="str">
        <f t="shared" si="5"/>
        <v/>
      </c>
      <c r="BH12" s="59" t="str">
        <f t="shared" si="5"/>
        <v/>
      </c>
      <c r="BI12" s="59">
        <f t="shared" ref="BI12:BI39" si="6">SUM(BE12:BH12)</f>
        <v>0</v>
      </c>
      <c r="BJ12" s="60">
        <f t="shared" ref="BJ12:BJ39" si="7">IF(G12="",0,E_day*1-S_Day*1+1-BD12-BI12)</f>
        <v>0</v>
      </c>
      <c r="BK12" s="59" t="str">
        <f t="shared" ref="BK12:BK39" si="8">IF($G12="","",COUNTIF($H12:$AL12,BK$11))</f>
        <v/>
      </c>
      <c r="BL12" s="59" t="str">
        <f t="shared" ref="BL12:BL39" si="9">IF($G12="","",COUNTIF($H12:$AL12,BL$11))</f>
        <v/>
      </c>
      <c r="BM12" s="59" t="str">
        <f t="shared" ref="BM12:BM39" si="10">IF(G12="","",COUNTIF(H12:AL12,$BM$11))</f>
        <v/>
      </c>
      <c r="BN12" s="1"/>
      <c r="BO12" s="1"/>
    </row>
    <row r="13" spans="2:71" ht="27.75" customHeight="1" x14ac:dyDescent="0.2">
      <c r="E13" s="212"/>
      <c r="F13" s="212"/>
      <c r="G13" s="213"/>
      <c r="H13" s="214"/>
      <c r="I13" s="214"/>
      <c r="J13" s="214"/>
      <c r="K13" s="214"/>
      <c r="L13" s="214"/>
      <c r="M13" s="214"/>
      <c r="N13" s="214"/>
      <c r="O13" s="214"/>
      <c r="P13" s="214"/>
      <c r="Q13" s="214"/>
      <c r="R13" s="214"/>
      <c r="S13" s="214"/>
      <c r="T13" s="214"/>
      <c r="U13" s="214"/>
      <c r="V13" s="214"/>
      <c r="W13" s="214"/>
      <c r="X13" s="214"/>
      <c r="Y13" s="214"/>
      <c r="Z13" s="214"/>
      <c r="AA13" s="214"/>
      <c r="AB13" s="214"/>
      <c r="AC13" s="214"/>
      <c r="AD13" s="214"/>
      <c r="AE13" s="214"/>
      <c r="AF13" s="214"/>
      <c r="AG13" s="214"/>
      <c r="AH13" s="214"/>
      <c r="AI13" s="214"/>
      <c r="AJ13" s="214"/>
      <c r="AK13" s="214"/>
      <c r="AL13" s="214"/>
      <c r="AM13" s="215" t="str">
        <f t="shared" ref="AM13:AM39" si="11">IFERROR(BF13+BH13,"")</f>
        <v/>
      </c>
      <c r="AN13" s="216" t="str">
        <f t="shared" ref="AN13:AN39" si="12">IF(G13="","",BD13*3)</f>
        <v/>
      </c>
      <c r="AO13" s="216">
        <f t="shared" si="1"/>
        <v>0</v>
      </c>
      <c r="AP13" s="218" t="str">
        <f t="shared" si="2"/>
        <v/>
      </c>
      <c r="AQ13" s="119"/>
      <c r="AR13" s="59" t="str">
        <f t="shared" si="3"/>
        <v/>
      </c>
      <c r="AS13" s="59" t="str">
        <f t="shared" si="3"/>
        <v/>
      </c>
      <c r="AT13" s="59" t="str">
        <f t="shared" si="3"/>
        <v/>
      </c>
      <c r="AU13" s="59" t="str">
        <f t="shared" si="3"/>
        <v/>
      </c>
      <c r="AV13" s="59" t="str">
        <f t="shared" si="3"/>
        <v/>
      </c>
      <c r="AW13" s="59" t="str">
        <f t="shared" si="3"/>
        <v/>
      </c>
      <c r="AX13" s="59" t="str">
        <f t="shared" si="3"/>
        <v/>
      </c>
      <c r="AY13" s="59" t="str">
        <f t="shared" si="4"/>
        <v/>
      </c>
      <c r="AZ13" s="59" t="str">
        <f t="shared" si="4"/>
        <v/>
      </c>
      <c r="BA13" s="59" t="str">
        <f t="shared" si="4"/>
        <v/>
      </c>
      <c r="BB13" s="59" t="str">
        <f t="shared" si="4"/>
        <v/>
      </c>
      <c r="BC13" s="59" t="str">
        <f t="shared" si="4"/>
        <v/>
      </c>
      <c r="BD13" s="59">
        <f t="shared" ref="BD13:BD39" si="13">SUM(AR13:BC13)</f>
        <v>0</v>
      </c>
      <c r="BE13" s="59" t="str">
        <f t="shared" si="5"/>
        <v/>
      </c>
      <c r="BF13" s="59" t="str">
        <f t="shared" si="5"/>
        <v/>
      </c>
      <c r="BG13" s="59" t="str">
        <f t="shared" si="5"/>
        <v/>
      </c>
      <c r="BH13" s="59" t="str">
        <f t="shared" si="5"/>
        <v/>
      </c>
      <c r="BI13" s="59">
        <f t="shared" si="6"/>
        <v>0</v>
      </c>
      <c r="BJ13" s="60">
        <f t="shared" si="7"/>
        <v>0</v>
      </c>
      <c r="BK13" s="59" t="str">
        <f t="shared" si="8"/>
        <v/>
      </c>
      <c r="BL13" s="59" t="str">
        <f t="shared" si="9"/>
        <v/>
      </c>
      <c r="BM13" s="59" t="str">
        <f t="shared" si="10"/>
        <v/>
      </c>
      <c r="BN13" s="1"/>
      <c r="BO13" s="1"/>
    </row>
    <row r="14" spans="2:71" ht="27.75" customHeight="1" x14ac:dyDescent="0.2">
      <c r="E14" s="212"/>
      <c r="F14" s="212"/>
      <c r="G14" s="213"/>
      <c r="H14" s="214"/>
      <c r="I14" s="214"/>
      <c r="J14" s="214"/>
      <c r="K14" s="214"/>
      <c r="L14" s="214"/>
      <c r="M14" s="214"/>
      <c r="N14" s="219"/>
      <c r="O14" s="219"/>
      <c r="P14" s="219"/>
      <c r="Q14" s="214"/>
      <c r="R14" s="219"/>
      <c r="S14" s="219"/>
      <c r="T14" s="219"/>
      <c r="U14" s="214"/>
      <c r="V14" s="214"/>
      <c r="W14" s="214"/>
      <c r="X14" s="214"/>
      <c r="Y14" s="214"/>
      <c r="Z14" s="214"/>
      <c r="AA14" s="214"/>
      <c r="AB14" s="214"/>
      <c r="AC14" s="214"/>
      <c r="AD14" s="214"/>
      <c r="AE14" s="214"/>
      <c r="AF14" s="214"/>
      <c r="AG14" s="214"/>
      <c r="AH14" s="214"/>
      <c r="AI14" s="214"/>
      <c r="AJ14" s="214"/>
      <c r="AK14" s="214"/>
      <c r="AL14" s="214"/>
      <c r="AM14" s="220" t="str">
        <f t="shared" si="11"/>
        <v/>
      </c>
      <c r="AN14" s="216" t="str">
        <f t="shared" si="12"/>
        <v/>
      </c>
      <c r="AO14" s="216">
        <f t="shared" si="1"/>
        <v>0</v>
      </c>
      <c r="AP14" s="218" t="str">
        <f t="shared" si="2"/>
        <v/>
      </c>
      <c r="AQ14" s="119"/>
      <c r="AR14" s="59" t="str">
        <f t="shared" si="3"/>
        <v/>
      </c>
      <c r="AS14" s="59" t="str">
        <f t="shared" si="3"/>
        <v/>
      </c>
      <c r="AT14" s="59" t="str">
        <f t="shared" si="3"/>
        <v/>
      </c>
      <c r="AU14" s="59" t="str">
        <f t="shared" si="3"/>
        <v/>
      </c>
      <c r="AV14" s="59" t="str">
        <f t="shared" si="3"/>
        <v/>
      </c>
      <c r="AW14" s="59" t="str">
        <f t="shared" si="3"/>
        <v/>
      </c>
      <c r="AX14" s="59" t="str">
        <f t="shared" si="3"/>
        <v/>
      </c>
      <c r="AY14" s="59" t="str">
        <f t="shared" si="4"/>
        <v/>
      </c>
      <c r="AZ14" s="59" t="str">
        <f t="shared" si="4"/>
        <v/>
      </c>
      <c r="BA14" s="59" t="str">
        <f t="shared" si="4"/>
        <v/>
      </c>
      <c r="BB14" s="59" t="str">
        <f t="shared" si="4"/>
        <v/>
      </c>
      <c r="BC14" s="59" t="str">
        <f t="shared" si="4"/>
        <v/>
      </c>
      <c r="BD14" s="59">
        <f t="shared" si="13"/>
        <v>0</v>
      </c>
      <c r="BE14" s="59" t="str">
        <f t="shared" si="5"/>
        <v/>
      </c>
      <c r="BF14" s="59" t="str">
        <f t="shared" si="5"/>
        <v/>
      </c>
      <c r="BG14" s="59" t="str">
        <f t="shared" si="5"/>
        <v/>
      </c>
      <c r="BH14" s="59" t="str">
        <f t="shared" si="5"/>
        <v/>
      </c>
      <c r="BI14" s="59">
        <f t="shared" si="6"/>
        <v>0</v>
      </c>
      <c r="BJ14" s="60">
        <f t="shared" si="7"/>
        <v>0</v>
      </c>
      <c r="BK14" s="59" t="str">
        <f t="shared" si="8"/>
        <v/>
      </c>
      <c r="BL14" s="59" t="str">
        <f t="shared" si="9"/>
        <v/>
      </c>
      <c r="BM14" s="59" t="str">
        <f t="shared" si="10"/>
        <v/>
      </c>
      <c r="BN14" s="1"/>
      <c r="BO14" s="1"/>
    </row>
    <row r="15" spans="2:71" ht="27.75" customHeight="1" x14ac:dyDescent="0.2">
      <c r="E15" s="212"/>
      <c r="F15" s="212"/>
      <c r="G15" s="213"/>
      <c r="H15" s="214"/>
      <c r="I15" s="214"/>
      <c r="J15" s="214"/>
      <c r="K15" s="214"/>
      <c r="L15" s="214"/>
      <c r="M15" s="214"/>
      <c r="N15" s="214"/>
      <c r="O15" s="214"/>
      <c r="P15" s="214"/>
      <c r="Q15" s="214"/>
      <c r="R15" s="214"/>
      <c r="S15" s="214"/>
      <c r="T15" s="214"/>
      <c r="U15" s="214"/>
      <c r="V15" s="214"/>
      <c r="W15" s="214"/>
      <c r="X15" s="214"/>
      <c r="Y15" s="214"/>
      <c r="Z15" s="214"/>
      <c r="AA15" s="214"/>
      <c r="AB15" s="214"/>
      <c r="AC15" s="214"/>
      <c r="AD15" s="214"/>
      <c r="AE15" s="214"/>
      <c r="AF15" s="214"/>
      <c r="AG15" s="214"/>
      <c r="AH15" s="214"/>
      <c r="AI15" s="214"/>
      <c r="AJ15" s="214"/>
      <c r="AK15" s="214"/>
      <c r="AL15" s="214"/>
      <c r="AM15" s="215" t="str">
        <f t="shared" si="11"/>
        <v/>
      </c>
      <c r="AN15" s="216" t="str">
        <f t="shared" si="12"/>
        <v/>
      </c>
      <c r="AO15" s="216">
        <f t="shared" si="1"/>
        <v>0</v>
      </c>
      <c r="AP15" s="218" t="str">
        <f t="shared" si="2"/>
        <v/>
      </c>
      <c r="AQ15" s="119"/>
      <c r="AR15" s="59" t="str">
        <f t="shared" si="3"/>
        <v/>
      </c>
      <c r="AS15" s="59" t="str">
        <f t="shared" si="3"/>
        <v/>
      </c>
      <c r="AT15" s="59" t="str">
        <f t="shared" si="3"/>
        <v/>
      </c>
      <c r="AU15" s="59" t="str">
        <f t="shared" si="3"/>
        <v/>
      </c>
      <c r="AV15" s="59" t="str">
        <f t="shared" si="3"/>
        <v/>
      </c>
      <c r="AW15" s="59" t="str">
        <f t="shared" si="3"/>
        <v/>
      </c>
      <c r="AX15" s="59" t="str">
        <f t="shared" si="3"/>
        <v/>
      </c>
      <c r="AY15" s="59" t="str">
        <f t="shared" si="4"/>
        <v/>
      </c>
      <c r="AZ15" s="59" t="str">
        <f t="shared" si="4"/>
        <v/>
      </c>
      <c r="BA15" s="59" t="str">
        <f t="shared" si="4"/>
        <v/>
      </c>
      <c r="BB15" s="59" t="str">
        <f t="shared" si="4"/>
        <v/>
      </c>
      <c r="BC15" s="59" t="str">
        <f t="shared" si="4"/>
        <v/>
      </c>
      <c r="BD15" s="59">
        <f t="shared" si="13"/>
        <v>0</v>
      </c>
      <c r="BE15" s="59" t="str">
        <f t="shared" si="5"/>
        <v/>
      </c>
      <c r="BF15" s="59" t="str">
        <f t="shared" si="5"/>
        <v/>
      </c>
      <c r="BG15" s="59" t="str">
        <f t="shared" si="5"/>
        <v/>
      </c>
      <c r="BH15" s="59" t="str">
        <f t="shared" si="5"/>
        <v/>
      </c>
      <c r="BI15" s="59">
        <f t="shared" si="6"/>
        <v>0</v>
      </c>
      <c r="BJ15" s="60">
        <f t="shared" si="7"/>
        <v>0</v>
      </c>
      <c r="BK15" s="59" t="str">
        <f t="shared" si="8"/>
        <v/>
      </c>
      <c r="BL15" s="59" t="str">
        <f t="shared" si="9"/>
        <v/>
      </c>
      <c r="BM15" s="59" t="str">
        <f t="shared" si="10"/>
        <v/>
      </c>
      <c r="BN15" s="1"/>
      <c r="BO15" s="1"/>
    </row>
    <row r="16" spans="2:71" ht="27.75" customHeight="1" x14ac:dyDescent="0.2">
      <c r="E16" s="212"/>
      <c r="F16" s="212"/>
      <c r="G16" s="213"/>
      <c r="H16" s="214"/>
      <c r="I16" s="214"/>
      <c r="J16" s="214"/>
      <c r="K16" s="214"/>
      <c r="L16" s="214"/>
      <c r="M16" s="214"/>
      <c r="N16" s="214"/>
      <c r="O16" s="214"/>
      <c r="P16" s="214"/>
      <c r="Q16" s="214"/>
      <c r="R16" s="219"/>
      <c r="S16" s="214"/>
      <c r="T16" s="214"/>
      <c r="U16" s="214"/>
      <c r="V16" s="214"/>
      <c r="W16" s="214"/>
      <c r="X16" s="214"/>
      <c r="Y16" s="214"/>
      <c r="Z16" s="214"/>
      <c r="AA16" s="214"/>
      <c r="AB16" s="214"/>
      <c r="AC16" s="214"/>
      <c r="AD16" s="214"/>
      <c r="AE16" s="214"/>
      <c r="AF16" s="214"/>
      <c r="AG16" s="214"/>
      <c r="AH16" s="214"/>
      <c r="AI16" s="214"/>
      <c r="AJ16" s="214"/>
      <c r="AK16" s="214"/>
      <c r="AL16" s="214"/>
      <c r="AM16" s="215" t="str">
        <f t="shared" si="11"/>
        <v/>
      </c>
      <c r="AN16" s="216" t="str">
        <f t="shared" si="12"/>
        <v/>
      </c>
      <c r="AO16" s="216">
        <f t="shared" si="1"/>
        <v>0</v>
      </c>
      <c r="AP16" s="218" t="str">
        <f t="shared" si="2"/>
        <v/>
      </c>
      <c r="AQ16" s="119"/>
      <c r="AR16" s="59" t="str">
        <f t="shared" si="3"/>
        <v/>
      </c>
      <c r="AS16" s="59" t="str">
        <f t="shared" si="3"/>
        <v/>
      </c>
      <c r="AT16" s="59" t="str">
        <f t="shared" si="3"/>
        <v/>
      </c>
      <c r="AU16" s="59" t="str">
        <f t="shared" si="3"/>
        <v/>
      </c>
      <c r="AV16" s="59" t="str">
        <f t="shared" si="3"/>
        <v/>
      </c>
      <c r="AW16" s="59" t="str">
        <f t="shared" si="3"/>
        <v/>
      </c>
      <c r="AX16" s="59" t="str">
        <f t="shared" si="3"/>
        <v/>
      </c>
      <c r="AY16" s="59" t="str">
        <f t="shared" si="4"/>
        <v/>
      </c>
      <c r="AZ16" s="59" t="str">
        <f t="shared" si="4"/>
        <v/>
      </c>
      <c r="BA16" s="59" t="str">
        <f t="shared" si="4"/>
        <v/>
      </c>
      <c r="BB16" s="59" t="str">
        <f t="shared" si="4"/>
        <v/>
      </c>
      <c r="BC16" s="59" t="str">
        <f t="shared" si="4"/>
        <v/>
      </c>
      <c r="BD16" s="59">
        <f t="shared" si="13"/>
        <v>0</v>
      </c>
      <c r="BE16" s="59" t="str">
        <f t="shared" si="5"/>
        <v/>
      </c>
      <c r="BF16" s="59" t="str">
        <f t="shared" si="5"/>
        <v/>
      </c>
      <c r="BG16" s="59" t="str">
        <f t="shared" si="5"/>
        <v/>
      </c>
      <c r="BH16" s="59" t="str">
        <f t="shared" si="5"/>
        <v/>
      </c>
      <c r="BI16" s="59">
        <f t="shared" si="6"/>
        <v>0</v>
      </c>
      <c r="BJ16" s="60">
        <f t="shared" si="7"/>
        <v>0</v>
      </c>
      <c r="BK16" s="59" t="str">
        <f t="shared" si="8"/>
        <v/>
      </c>
      <c r="BL16" s="59" t="str">
        <f t="shared" si="9"/>
        <v/>
      </c>
      <c r="BM16" s="59" t="str">
        <f t="shared" si="10"/>
        <v/>
      </c>
      <c r="BN16" s="1"/>
      <c r="BO16" s="1"/>
    </row>
    <row r="17" spans="5:67" ht="27.75" customHeight="1" x14ac:dyDescent="0.2">
      <c r="E17" s="212"/>
      <c r="F17" s="212"/>
      <c r="G17" s="213"/>
      <c r="H17" s="221"/>
      <c r="I17" s="221"/>
      <c r="J17" s="221"/>
      <c r="K17" s="221"/>
      <c r="L17" s="221"/>
      <c r="M17" s="221"/>
      <c r="N17" s="221"/>
      <c r="O17" s="214"/>
      <c r="P17" s="221"/>
      <c r="Q17" s="221"/>
      <c r="R17" s="214"/>
      <c r="S17" s="214"/>
      <c r="T17" s="214"/>
      <c r="U17" s="214"/>
      <c r="V17" s="214"/>
      <c r="W17" s="214"/>
      <c r="X17" s="214"/>
      <c r="Y17" s="214"/>
      <c r="Z17" s="214"/>
      <c r="AA17" s="214"/>
      <c r="AB17" s="214"/>
      <c r="AC17" s="214"/>
      <c r="AD17" s="214"/>
      <c r="AE17" s="214"/>
      <c r="AF17" s="214"/>
      <c r="AG17" s="214"/>
      <c r="AH17" s="214"/>
      <c r="AI17" s="214"/>
      <c r="AJ17" s="214"/>
      <c r="AK17" s="214"/>
      <c r="AL17" s="214"/>
      <c r="AM17" s="215" t="str">
        <f t="shared" si="11"/>
        <v/>
      </c>
      <c r="AN17" s="216" t="str">
        <f t="shared" si="12"/>
        <v/>
      </c>
      <c r="AO17" s="216">
        <f t="shared" si="1"/>
        <v>0</v>
      </c>
      <c r="AP17" s="218" t="str">
        <f t="shared" si="2"/>
        <v/>
      </c>
      <c r="AQ17" s="119"/>
      <c r="AR17" s="59" t="str">
        <f t="shared" si="3"/>
        <v/>
      </c>
      <c r="AS17" s="59" t="str">
        <f t="shared" si="3"/>
        <v/>
      </c>
      <c r="AT17" s="59" t="str">
        <f t="shared" si="3"/>
        <v/>
      </c>
      <c r="AU17" s="59" t="str">
        <f t="shared" si="3"/>
        <v/>
      </c>
      <c r="AV17" s="59" t="str">
        <f t="shared" si="3"/>
        <v/>
      </c>
      <c r="AW17" s="59" t="str">
        <f t="shared" si="3"/>
        <v/>
      </c>
      <c r="AX17" s="59" t="str">
        <f t="shared" si="3"/>
        <v/>
      </c>
      <c r="AY17" s="59" t="str">
        <f t="shared" si="4"/>
        <v/>
      </c>
      <c r="AZ17" s="59" t="str">
        <f t="shared" si="4"/>
        <v/>
      </c>
      <c r="BA17" s="59" t="str">
        <f t="shared" si="4"/>
        <v/>
      </c>
      <c r="BB17" s="59" t="str">
        <f t="shared" si="4"/>
        <v/>
      </c>
      <c r="BC17" s="59" t="str">
        <f t="shared" si="4"/>
        <v/>
      </c>
      <c r="BD17" s="59">
        <f t="shared" si="13"/>
        <v>0</v>
      </c>
      <c r="BE17" s="59" t="str">
        <f t="shared" si="5"/>
        <v/>
      </c>
      <c r="BF17" s="59" t="str">
        <f t="shared" si="5"/>
        <v/>
      </c>
      <c r="BG17" s="59" t="str">
        <f t="shared" si="5"/>
        <v/>
      </c>
      <c r="BH17" s="59" t="str">
        <f t="shared" si="5"/>
        <v/>
      </c>
      <c r="BI17" s="59">
        <f t="shared" si="6"/>
        <v>0</v>
      </c>
      <c r="BJ17" s="60">
        <f t="shared" si="7"/>
        <v>0</v>
      </c>
      <c r="BK17" s="59" t="str">
        <f t="shared" si="8"/>
        <v/>
      </c>
      <c r="BL17" s="59" t="str">
        <f t="shared" si="9"/>
        <v/>
      </c>
      <c r="BM17" s="59" t="str">
        <f t="shared" si="10"/>
        <v/>
      </c>
      <c r="BN17" s="1"/>
      <c r="BO17" s="1"/>
    </row>
    <row r="18" spans="5:67" ht="27.75" customHeight="1" x14ac:dyDescent="0.2">
      <c r="E18" s="212"/>
      <c r="F18" s="212"/>
      <c r="G18" s="213"/>
      <c r="H18" s="214"/>
      <c r="I18" s="214"/>
      <c r="J18" s="214"/>
      <c r="K18" s="221"/>
      <c r="L18" s="214"/>
      <c r="M18" s="214"/>
      <c r="N18" s="214"/>
      <c r="O18" s="214"/>
      <c r="P18" s="214"/>
      <c r="Q18" s="214"/>
      <c r="R18" s="214"/>
      <c r="S18" s="214"/>
      <c r="T18" s="214"/>
      <c r="U18" s="214"/>
      <c r="V18" s="214"/>
      <c r="W18" s="214"/>
      <c r="X18" s="214"/>
      <c r="Y18" s="214"/>
      <c r="Z18" s="214"/>
      <c r="AA18" s="214"/>
      <c r="AB18" s="214"/>
      <c r="AC18" s="214"/>
      <c r="AD18" s="214"/>
      <c r="AE18" s="214"/>
      <c r="AF18" s="214"/>
      <c r="AG18" s="214"/>
      <c r="AH18" s="214"/>
      <c r="AI18" s="214"/>
      <c r="AJ18" s="214"/>
      <c r="AK18" s="214"/>
      <c r="AL18" s="214"/>
      <c r="AM18" s="215" t="str">
        <f t="shared" si="11"/>
        <v/>
      </c>
      <c r="AN18" s="216" t="str">
        <f t="shared" si="12"/>
        <v/>
      </c>
      <c r="AO18" s="216">
        <f t="shared" si="1"/>
        <v>0</v>
      </c>
      <c r="AP18" s="218" t="str">
        <f t="shared" si="2"/>
        <v/>
      </c>
      <c r="AQ18" s="119"/>
      <c r="AR18" s="59" t="str">
        <f t="shared" si="3"/>
        <v/>
      </c>
      <c r="AS18" s="59" t="str">
        <f t="shared" si="3"/>
        <v/>
      </c>
      <c r="AT18" s="59" t="str">
        <f t="shared" si="3"/>
        <v/>
      </c>
      <c r="AU18" s="59" t="str">
        <f t="shared" si="3"/>
        <v/>
      </c>
      <c r="AV18" s="59" t="str">
        <f t="shared" si="3"/>
        <v/>
      </c>
      <c r="AW18" s="59" t="str">
        <f t="shared" si="3"/>
        <v/>
      </c>
      <c r="AX18" s="59" t="str">
        <f t="shared" si="3"/>
        <v/>
      </c>
      <c r="AY18" s="59" t="str">
        <f t="shared" si="4"/>
        <v/>
      </c>
      <c r="AZ18" s="59" t="str">
        <f t="shared" si="4"/>
        <v/>
      </c>
      <c r="BA18" s="59" t="str">
        <f t="shared" si="4"/>
        <v/>
      </c>
      <c r="BB18" s="59" t="str">
        <f t="shared" si="4"/>
        <v/>
      </c>
      <c r="BC18" s="59" t="str">
        <f t="shared" si="4"/>
        <v/>
      </c>
      <c r="BD18" s="59">
        <f t="shared" si="13"/>
        <v>0</v>
      </c>
      <c r="BE18" s="59" t="str">
        <f t="shared" si="5"/>
        <v/>
      </c>
      <c r="BF18" s="59" t="str">
        <f t="shared" si="5"/>
        <v/>
      </c>
      <c r="BG18" s="59" t="str">
        <f t="shared" si="5"/>
        <v/>
      </c>
      <c r="BH18" s="59" t="str">
        <f t="shared" si="5"/>
        <v/>
      </c>
      <c r="BI18" s="59">
        <f t="shared" si="6"/>
        <v>0</v>
      </c>
      <c r="BJ18" s="60">
        <f t="shared" si="7"/>
        <v>0</v>
      </c>
      <c r="BK18" s="59" t="str">
        <f t="shared" si="8"/>
        <v/>
      </c>
      <c r="BL18" s="59" t="str">
        <f t="shared" si="9"/>
        <v/>
      </c>
      <c r="BM18" s="59" t="str">
        <f t="shared" si="10"/>
        <v/>
      </c>
      <c r="BN18" s="1"/>
      <c r="BO18" s="1"/>
    </row>
    <row r="19" spans="5:67" ht="27.75" customHeight="1" x14ac:dyDescent="0.2">
      <c r="E19" s="212"/>
      <c r="F19" s="212"/>
      <c r="G19" s="213"/>
      <c r="H19" s="214"/>
      <c r="I19" s="214"/>
      <c r="J19" s="214"/>
      <c r="K19" s="214"/>
      <c r="L19" s="214"/>
      <c r="M19" s="214"/>
      <c r="N19" s="214"/>
      <c r="O19" s="214"/>
      <c r="P19" s="214"/>
      <c r="Q19" s="219"/>
      <c r="R19" s="219"/>
      <c r="S19" s="219"/>
      <c r="T19" s="219"/>
      <c r="U19" s="219"/>
      <c r="V19" s="214"/>
      <c r="W19" s="214"/>
      <c r="X19" s="214"/>
      <c r="Y19" s="214"/>
      <c r="Z19" s="214"/>
      <c r="AA19" s="214"/>
      <c r="AB19" s="214"/>
      <c r="AC19" s="214"/>
      <c r="AD19" s="214"/>
      <c r="AE19" s="214"/>
      <c r="AF19" s="214"/>
      <c r="AG19" s="214"/>
      <c r="AH19" s="214"/>
      <c r="AI19" s="214"/>
      <c r="AJ19" s="214"/>
      <c r="AK19" s="214"/>
      <c r="AL19" s="214"/>
      <c r="AM19" s="215" t="str">
        <f t="shared" si="11"/>
        <v/>
      </c>
      <c r="AN19" s="216" t="str">
        <f t="shared" si="12"/>
        <v/>
      </c>
      <c r="AO19" s="216">
        <f t="shared" si="1"/>
        <v>0</v>
      </c>
      <c r="AP19" s="218" t="str">
        <f t="shared" si="2"/>
        <v/>
      </c>
      <c r="AQ19" s="119"/>
      <c r="AR19" s="59" t="str">
        <f t="shared" si="3"/>
        <v/>
      </c>
      <c r="AS19" s="59" t="str">
        <f t="shared" si="3"/>
        <v/>
      </c>
      <c r="AT19" s="59" t="str">
        <f t="shared" si="3"/>
        <v/>
      </c>
      <c r="AU19" s="59" t="str">
        <f t="shared" si="3"/>
        <v/>
      </c>
      <c r="AV19" s="59" t="str">
        <f t="shared" si="3"/>
        <v/>
      </c>
      <c r="AW19" s="59" t="str">
        <f t="shared" si="3"/>
        <v/>
      </c>
      <c r="AX19" s="59" t="str">
        <f t="shared" si="3"/>
        <v/>
      </c>
      <c r="AY19" s="59" t="str">
        <f t="shared" si="4"/>
        <v/>
      </c>
      <c r="AZ19" s="59" t="str">
        <f t="shared" si="4"/>
        <v/>
      </c>
      <c r="BA19" s="59" t="str">
        <f t="shared" si="4"/>
        <v/>
      </c>
      <c r="BB19" s="59" t="str">
        <f t="shared" si="4"/>
        <v/>
      </c>
      <c r="BC19" s="59" t="str">
        <f t="shared" si="4"/>
        <v/>
      </c>
      <c r="BD19" s="59">
        <f t="shared" si="13"/>
        <v>0</v>
      </c>
      <c r="BE19" s="59" t="str">
        <f t="shared" si="5"/>
        <v/>
      </c>
      <c r="BF19" s="59" t="str">
        <f t="shared" si="5"/>
        <v/>
      </c>
      <c r="BG19" s="59" t="str">
        <f t="shared" si="5"/>
        <v/>
      </c>
      <c r="BH19" s="59" t="str">
        <f t="shared" si="5"/>
        <v/>
      </c>
      <c r="BI19" s="59">
        <f t="shared" si="6"/>
        <v>0</v>
      </c>
      <c r="BJ19" s="60">
        <f t="shared" si="7"/>
        <v>0</v>
      </c>
      <c r="BK19" s="59" t="str">
        <f t="shared" si="8"/>
        <v/>
      </c>
      <c r="BL19" s="59" t="str">
        <f t="shared" si="9"/>
        <v/>
      </c>
      <c r="BM19" s="59" t="str">
        <f t="shared" si="10"/>
        <v/>
      </c>
      <c r="BN19" s="1"/>
      <c r="BO19" s="1"/>
    </row>
    <row r="20" spans="5:67" ht="27.75" customHeight="1" x14ac:dyDescent="0.2">
      <c r="E20" s="212"/>
      <c r="F20" s="212"/>
      <c r="G20" s="213"/>
      <c r="H20" s="214"/>
      <c r="I20" s="214"/>
      <c r="J20" s="214"/>
      <c r="K20" s="214"/>
      <c r="L20" s="214"/>
      <c r="M20" s="214"/>
      <c r="N20" s="214"/>
      <c r="O20" s="214"/>
      <c r="P20" s="214"/>
      <c r="Q20" s="214"/>
      <c r="R20" s="214"/>
      <c r="S20" s="214"/>
      <c r="T20" s="214"/>
      <c r="U20" s="214"/>
      <c r="V20" s="214"/>
      <c r="W20" s="214"/>
      <c r="X20" s="214"/>
      <c r="Y20" s="214"/>
      <c r="Z20" s="214"/>
      <c r="AA20" s="214"/>
      <c r="AB20" s="214"/>
      <c r="AC20" s="214"/>
      <c r="AD20" s="214"/>
      <c r="AE20" s="214"/>
      <c r="AF20" s="214"/>
      <c r="AG20" s="214"/>
      <c r="AH20" s="214"/>
      <c r="AI20" s="214"/>
      <c r="AJ20" s="214"/>
      <c r="AK20" s="214"/>
      <c r="AL20" s="214"/>
      <c r="AM20" s="215" t="str">
        <f t="shared" si="11"/>
        <v/>
      </c>
      <c r="AN20" s="216" t="str">
        <f t="shared" si="12"/>
        <v/>
      </c>
      <c r="AO20" s="216">
        <f t="shared" si="1"/>
        <v>0</v>
      </c>
      <c r="AP20" s="218" t="str">
        <f t="shared" si="2"/>
        <v/>
      </c>
      <c r="AQ20" s="119"/>
      <c r="AR20" s="59" t="str">
        <f t="shared" si="3"/>
        <v/>
      </c>
      <c r="AS20" s="59" t="str">
        <f t="shared" si="3"/>
        <v/>
      </c>
      <c r="AT20" s="59" t="str">
        <f t="shared" si="3"/>
        <v/>
      </c>
      <c r="AU20" s="59" t="str">
        <f t="shared" si="3"/>
        <v/>
      </c>
      <c r="AV20" s="59" t="str">
        <f t="shared" si="3"/>
        <v/>
      </c>
      <c r="AW20" s="59" t="str">
        <f t="shared" si="3"/>
        <v/>
      </c>
      <c r="AX20" s="59" t="str">
        <f t="shared" si="3"/>
        <v/>
      </c>
      <c r="AY20" s="59" t="str">
        <f t="shared" si="4"/>
        <v/>
      </c>
      <c r="AZ20" s="59" t="str">
        <f t="shared" si="4"/>
        <v/>
      </c>
      <c r="BA20" s="59" t="str">
        <f t="shared" si="4"/>
        <v/>
      </c>
      <c r="BB20" s="59" t="str">
        <f t="shared" si="4"/>
        <v/>
      </c>
      <c r="BC20" s="59" t="str">
        <f t="shared" si="4"/>
        <v/>
      </c>
      <c r="BD20" s="59">
        <f t="shared" si="13"/>
        <v>0</v>
      </c>
      <c r="BE20" s="59" t="str">
        <f t="shared" si="5"/>
        <v/>
      </c>
      <c r="BF20" s="59" t="str">
        <f t="shared" si="5"/>
        <v/>
      </c>
      <c r="BG20" s="59" t="str">
        <f t="shared" si="5"/>
        <v/>
      </c>
      <c r="BH20" s="59" t="str">
        <f t="shared" si="5"/>
        <v/>
      </c>
      <c r="BI20" s="59">
        <f t="shared" si="6"/>
        <v>0</v>
      </c>
      <c r="BJ20" s="60">
        <f t="shared" si="7"/>
        <v>0</v>
      </c>
      <c r="BK20" s="59" t="str">
        <f t="shared" si="8"/>
        <v/>
      </c>
      <c r="BL20" s="59" t="str">
        <f t="shared" si="9"/>
        <v/>
      </c>
      <c r="BM20" s="59" t="str">
        <f t="shared" si="10"/>
        <v/>
      </c>
      <c r="BN20" s="1"/>
      <c r="BO20" s="1"/>
    </row>
    <row r="21" spans="5:67" ht="27.75" customHeight="1" x14ac:dyDescent="0.2">
      <c r="E21" s="212"/>
      <c r="F21" s="212"/>
      <c r="G21" s="213"/>
      <c r="H21" s="214"/>
      <c r="I21" s="214"/>
      <c r="J21" s="214"/>
      <c r="K21" s="214"/>
      <c r="L21" s="214"/>
      <c r="M21" s="214"/>
      <c r="N21" s="214"/>
      <c r="O21" s="214"/>
      <c r="P21" s="214"/>
      <c r="Q21" s="214"/>
      <c r="R21" s="214"/>
      <c r="S21" s="214"/>
      <c r="T21" s="214"/>
      <c r="U21" s="214"/>
      <c r="V21" s="214"/>
      <c r="W21" s="214"/>
      <c r="X21" s="214"/>
      <c r="Y21" s="214"/>
      <c r="Z21" s="214"/>
      <c r="AA21" s="214"/>
      <c r="AB21" s="214"/>
      <c r="AC21" s="214"/>
      <c r="AD21" s="214"/>
      <c r="AE21" s="214"/>
      <c r="AF21" s="214"/>
      <c r="AG21" s="214"/>
      <c r="AH21" s="214"/>
      <c r="AI21" s="214"/>
      <c r="AJ21" s="214"/>
      <c r="AK21" s="214"/>
      <c r="AL21" s="214"/>
      <c r="AM21" s="215" t="str">
        <f t="shared" si="11"/>
        <v/>
      </c>
      <c r="AN21" s="216" t="str">
        <f t="shared" si="12"/>
        <v/>
      </c>
      <c r="AO21" s="216">
        <f t="shared" si="1"/>
        <v>0</v>
      </c>
      <c r="AP21" s="218" t="str">
        <f t="shared" si="2"/>
        <v/>
      </c>
      <c r="AQ21" s="120"/>
      <c r="AR21" s="59" t="str">
        <f t="shared" si="3"/>
        <v/>
      </c>
      <c r="AS21" s="59" t="str">
        <f t="shared" si="3"/>
        <v/>
      </c>
      <c r="AT21" s="59" t="str">
        <f t="shared" si="3"/>
        <v/>
      </c>
      <c r="AU21" s="59" t="str">
        <f t="shared" si="3"/>
        <v/>
      </c>
      <c r="AV21" s="59" t="str">
        <f t="shared" si="3"/>
        <v/>
      </c>
      <c r="AW21" s="59" t="str">
        <f t="shared" si="3"/>
        <v/>
      </c>
      <c r="AX21" s="59" t="str">
        <f t="shared" si="3"/>
        <v/>
      </c>
      <c r="AY21" s="59" t="str">
        <f t="shared" si="4"/>
        <v/>
      </c>
      <c r="AZ21" s="59" t="str">
        <f t="shared" si="4"/>
        <v/>
      </c>
      <c r="BA21" s="59" t="str">
        <f t="shared" si="4"/>
        <v/>
      </c>
      <c r="BB21" s="59" t="str">
        <f t="shared" si="4"/>
        <v/>
      </c>
      <c r="BC21" s="59" t="str">
        <f t="shared" si="4"/>
        <v/>
      </c>
      <c r="BD21" s="59">
        <f t="shared" si="13"/>
        <v>0</v>
      </c>
      <c r="BE21" s="59" t="str">
        <f t="shared" si="5"/>
        <v/>
      </c>
      <c r="BF21" s="59" t="str">
        <f t="shared" si="5"/>
        <v/>
      </c>
      <c r="BG21" s="59" t="str">
        <f t="shared" si="5"/>
        <v/>
      </c>
      <c r="BH21" s="59" t="str">
        <f t="shared" si="5"/>
        <v/>
      </c>
      <c r="BI21" s="59">
        <f t="shared" si="6"/>
        <v>0</v>
      </c>
      <c r="BJ21" s="60">
        <f t="shared" si="7"/>
        <v>0</v>
      </c>
      <c r="BK21" s="59" t="str">
        <f t="shared" si="8"/>
        <v/>
      </c>
      <c r="BL21" s="59" t="str">
        <f t="shared" si="9"/>
        <v/>
      </c>
      <c r="BM21" s="59" t="str">
        <f t="shared" si="10"/>
        <v/>
      </c>
      <c r="BN21" s="1"/>
      <c r="BO21" s="1"/>
    </row>
    <row r="22" spans="5:67" ht="27.75" customHeight="1" x14ac:dyDescent="0.2">
      <c r="E22" s="212"/>
      <c r="F22" s="212"/>
      <c r="G22" s="213"/>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5" t="str">
        <f t="shared" si="11"/>
        <v/>
      </c>
      <c r="AN22" s="216" t="str">
        <f t="shared" si="12"/>
        <v/>
      </c>
      <c r="AO22" s="216">
        <f t="shared" si="1"/>
        <v>0</v>
      </c>
      <c r="AP22" s="218" t="str">
        <f t="shared" si="2"/>
        <v/>
      </c>
      <c r="AQ22" s="120"/>
      <c r="AR22" s="59" t="str">
        <f t="shared" si="3"/>
        <v/>
      </c>
      <c r="AS22" s="59" t="str">
        <f t="shared" si="3"/>
        <v/>
      </c>
      <c r="AT22" s="59" t="str">
        <f t="shared" si="3"/>
        <v/>
      </c>
      <c r="AU22" s="59" t="str">
        <f t="shared" si="3"/>
        <v/>
      </c>
      <c r="AV22" s="59" t="str">
        <f t="shared" si="3"/>
        <v/>
      </c>
      <c r="AW22" s="59" t="str">
        <f t="shared" si="3"/>
        <v/>
      </c>
      <c r="AX22" s="59" t="str">
        <f t="shared" si="3"/>
        <v/>
      </c>
      <c r="AY22" s="59" t="str">
        <f t="shared" si="4"/>
        <v/>
      </c>
      <c r="AZ22" s="59" t="str">
        <f t="shared" si="4"/>
        <v/>
      </c>
      <c r="BA22" s="59" t="str">
        <f t="shared" si="4"/>
        <v/>
      </c>
      <c r="BB22" s="59" t="str">
        <f t="shared" si="4"/>
        <v/>
      </c>
      <c r="BC22" s="59" t="str">
        <f t="shared" si="4"/>
        <v/>
      </c>
      <c r="BD22" s="59">
        <f t="shared" si="13"/>
        <v>0</v>
      </c>
      <c r="BE22" s="59" t="str">
        <f t="shared" si="5"/>
        <v/>
      </c>
      <c r="BF22" s="59" t="str">
        <f t="shared" si="5"/>
        <v/>
      </c>
      <c r="BG22" s="59" t="str">
        <f t="shared" si="5"/>
        <v/>
      </c>
      <c r="BH22" s="59" t="str">
        <f t="shared" si="5"/>
        <v/>
      </c>
      <c r="BI22" s="59">
        <f t="shared" si="6"/>
        <v>0</v>
      </c>
      <c r="BJ22" s="60">
        <f t="shared" si="7"/>
        <v>0</v>
      </c>
      <c r="BK22" s="59" t="str">
        <f t="shared" si="8"/>
        <v/>
      </c>
      <c r="BL22" s="59" t="str">
        <f t="shared" si="9"/>
        <v/>
      </c>
      <c r="BM22" s="59" t="str">
        <f t="shared" si="10"/>
        <v/>
      </c>
      <c r="BN22" s="1"/>
      <c r="BO22" s="1"/>
    </row>
    <row r="23" spans="5:67" ht="27.75" customHeight="1" x14ac:dyDescent="0.2">
      <c r="E23" s="212"/>
      <c r="F23" s="212"/>
      <c r="G23" s="213"/>
      <c r="H23" s="214"/>
      <c r="I23" s="214"/>
      <c r="J23" s="214"/>
      <c r="K23" s="214"/>
      <c r="L23" s="214"/>
      <c r="M23" s="214"/>
      <c r="N23" s="214"/>
      <c r="O23" s="214"/>
      <c r="P23" s="214"/>
      <c r="Q23" s="214"/>
      <c r="R23" s="214"/>
      <c r="S23" s="214"/>
      <c r="T23" s="214"/>
      <c r="U23" s="214"/>
      <c r="V23" s="214"/>
      <c r="W23" s="214"/>
      <c r="X23" s="214"/>
      <c r="Y23" s="214"/>
      <c r="Z23" s="214"/>
      <c r="AA23" s="214"/>
      <c r="AB23" s="214"/>
      <c r="AC23" s="214"/>
      <c r="AD23" s="214"/>
      <c r="AE23" s="214"/>
      <c r="AF23" s="214"/>
      <c r="AG23" s="214"/>
      <c r="AH23" s="214"/>
      <c r="AI23" s="214"/>
      <c r="AJ23" s="214"/>
      <c r="AK23" s="214"/>
      <c r="AL23" s="214"/>
      <c r="AM23" s="215" t="str">
        <f t="shared" si="11"/>
        <v/>
      </c>
      <c r="AN23" s="216" t="str">
        <f t="shared" si="12"/>
        <v/>
      </c>
      <c r="AO23" s="216">
        <f t="shared" si="1"/>
        <v>0</v>
      </c>
      <c r="AP23" s="218" t="str">
        <f t="shared" si="2"/>
        <v/>
      </c>
      <c r="AQ23" s="120"/>
      <c r="AR23" s="59" t="str">
        <f t="shared" si="3"/>
        <v/>
      </c>
      <c r="AS23" s="59" t="str">
        <f t="shared" si="3"/>
        <v/>
      </c>
      <c r="AT23" s="59" t="str">
        <f t="shared" si="3"/>
        <v/>
      </c>
      <c r="AU23" s="59" t="str">
        <f t="shared" si="3"/>
        <v/>
      </c>
      <c r="AV23" s="59" t="str">
        <f t="shared" si="3"/>
        <v/>
      </c>
      <c r="AW23" s="59" t="str">
        <f t="shared" si="3"/>
        <v/>
      </c>
      <c r="AX23" s="59" t="str">
        <f t="shared" si="3"/>
        <v/>
      </c>
      <c r="AY23" s="59" t="str">
        <f t="shared" si="4"/>
        <v/>
      </c>
      <c r="AZ23" s="59" t="str">
        <f t="shared" si="4"/>
        <v/>
      </c>
      <c r="BA23" s="59" t="str">
        <f t="shared" si="4"/>
        <v/>
      </c>
      <c r="BB23" s="59" t="str">
        <f t="shared" si="4"/>
        <v/>
      </c>
      <c r="BC23" s="59" t="str">
        <f t="shared" si="4"/>
        <v/>
      </c>
      <c r="BD23" s="59">
        <f t="shared" si="13"/>
        <v>0</v>
      </c>
      <c r="BE23" s="59" t="str">
        <f t="shared" si="5"/>
        <v/>
      </c>
      <c r="BF23" s="59" t="str">
        <f t="shared" si="5"/>
        <v/>
      </c>
      <c r="BG23" s="59" t="str">
        <f t="shared" si="5"/>
        <v/>
      </c>
      <c r="BH23" s="59" t="str">
        <f t="shared" si="5"/>
        <v/>
      </c>
      <c r="BI23" s="59">
        <f t="shared" si="6"/>
        <v>0</v>
      </c>
      <c r="BJ23" s="60">
        <f t="shared" si="7"/>
        <v>0</v>
      </c>
      <c r="BK23" s="59" t="str">
        <f t="shared" si="8"/>
        <v/>
      </c>
      <c r="BL23" s="59" t="str">
        <f t="shared" si="9"/>
        <v/>
      </c>
      <c r="BM23" s="59" t="str">
        <f t="shared" si="10"/>
        <v/>
      </c>
      <c r="BN23" s="1"/>
      <c r="BO23" s="1"/>
    </row>
    <row r="24" spans="5:67" ht="27.75" customHeight="1" x14ac:dyDescent="0.2">
      <c r="E24" s="212"/>
      <c r="F24" s="212"/>
      <c r="G24" s="213"/>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5" t="str">
        <f t="shared" si="11"/>
        <v/>
      </c>
      <c r="AN24" s="216" t="str">
        <f t="shared" si="12"/>
        <v/>
      </c>
      <c r="AO24" s="216">
        <f t="shared" si="1"/>
        <v>0</v>
      </c>
      <c r="AP24" s="218" t="str">
        <f t="shared" si="2"/>
        <v/>
      </c>
      <c r="AQ24" s="120"/>
      <c r="AR24" s="59" t="str">
        <f t="shared" si="3"/>
        <v/>
      </c>
      <c r="AS24" s="59" t="str">
        <f t="shared" si="3"/>
        <v/>
      </c>
      <c r="AT24" s="59" t="str">
        <f t="shared" si="3"/>
        <v/>
      </c>
      <c r="AU24" s="59" t="str">
        <f t="shared" si="3"/>
        <v/>
      </c>
      <c r="AV24" s="59" t="str">
        <f t="shared" si="3"/>
        <v/>
      </c>
      <c r="AW24" s="59" t="str">
        <f t="shared" si="3"/>
        <v/>
      </c>
      <c r="AX24" s="59" t="str">
        <f t="shared" si="3"/>
        <v/>
      </c>
      <c r="AY24" s="59" t="str">
        <f t="shared" si="4"/>
        <v/>
      </c>
      <c r="AZ24" s="59" t="str">
        <f t="shared" si="4"/>
        <v/>
      </c>
      <c r="BA24" s="59" t="str">
        <f t="shared" si="4"/>
        <v/>
      </c>
      <c r="BB24" s="59" t="str">
        <f t="shared" si="4"/>
        <v/>
      </c>
      <c r="BC24" s="59" t="str">
        <f t="shared" si="4"/>
        <v/>
      </c>
      <c r="BD24" s="59">
        <f t="shared" si="13"/>
        <v>0</v>
      </c>
      <c r="BE24" s="59" t="str">
        <f t="shared" si="5"/>
        <v/>
      </c>
      <c r="BF24" s="59" t="str">
        <f t="shared" si="5"/>
        <v/>
      </c>
      <c r="BG24" s="59" t="str">
        <f t="shared" si="5"/>
        <v/>
      </c>
      <c r="BH24" s="59" t="str">
        <f t="shared" si="5"/>
        <v/>
      </c>
      <c r="BI24" s="59">
        <f t="shared" si="6"/>
        <v>0</v>
      </c>
      <c r="BJ24" s="60">
        <f t="shared" si="7"/>
        <v>0</v>
      </c>
      <c r="BK24" s="59" t="str">
        <f t="shared" si="8"/>
        <v/>
      </c>
      <c r="BL24" s="59" t="str">
        <f t="shared" si="9"/>
        <v/>
      </c>
      <c r="BM24" s="59" t="str">
        <f t="shared" si="10"/>
        <v/>
      </c>
      <c r="BN24" s="1"/>
      <c r="BO24" s="1"/>
    </row>
    <row r="25" spans="5:67" ht="27.75" customHeight="1" x14ac:dyDescent="0.2">
      <c r="E25" s="212"/>
      <c r="F25" s="212"/>
      <c r="G25" s="213"/>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5" t="str">
        <f t="shared" si="11"/>
        <v/>
      </c>
      <c r="AN25" s="216" t="str">
        <f t="shared" si="12"/>
        <v/>
      </c>
      <c r="AO25" s="216">
        <f t="shared" si="1"/>
        <v>0</v>
      </c>
      <c r="AP25" s="218" t="str">
        <f t="shared" si="2"/>
        <v/>
      </c>
      <c r="AQ25" s="120"/>
      <c r="AR25" s="59" t="str">
        <f t="shared" si="3"/>
        <v/>
      </c>
      <c r="AS25" s="59" t="str">
        <f t="shared" si="3"/>
        <v/>
      </c>
      <c r="AT25" s="59" t="str">
        <f t="shared" si="3"/>
        <v/>
      </c>
      <c r="AU25" s="59" t="str">
        <f t="shared" si="3"/>
        <v/>
      </c>
      <c r="AV25" s="59" t="str">
        <f t="shared" si="3"/>
        <v/>
      </c>
      <c r="AW25" s="59" t="str">
        <f t="shared" si="3"/>
        <v/>
      </c>
      <c r="AX25" s="59" t="str">
        <f t="shared" si="3"/>
        <v/>
      </c>
      <c r="AY25" s="59" t="str">
        <f t="shared" si="4"/>
        <v/>
      </c>
      <c r="AZ25" s="59" t="str">
        <f t="shared" si="4"/>
        <v/>
      </c>
      <c r="BA25" s="59" t="str">
        <f t="shared" si="4"/>
        <v/>
      </c>
      <c r="BB25" s="59" t="str">
        <f t="shared" si="4"/>
        <v/>
      </c>
      <c r="BC25" s="59" t="str">
        <f t="shared" si="4"/>
        <v/>
      </c>
      <c r="BD25" s="59">
        <f t="shared" si="13"/>
        <v>0</v>
      </c>
      <c r="BE25" s="59" t="str">
        <f t="shared" si="5"/>
        <v/>
      </c>
      <c r="BF25" s="59" t="str">
        <f t="shared" si="5"/>
        <v/>
      </c>
      <c r="BG25" s="59" t="str">
        <f t="shared" si="5"/>
        <v/>
      </c>
      <c r="BH25" s="59" t="str">
        <f t="shared" si="5"/>
        <v/>
      </c>
      <c r="BI25" s="59">
        <f t="shared" si="6"/>
        <v>0</v>
      </c>
      <c r="BJ25" s="60">
        <f t="shared" si="7"/>
        <v>0</v>
      </c>
      <c r="BK25" s="59" t="str">
        <f t="shared" si="8"/>
        <v/>
      </c>
      <c r="BL25" s="59" t="str">
        <f t="shared" si="9"/>
        <v/>
      </c>
      <c r="BM25" s="59" t="str">
        <f t="shared" si="10"/>
        <v/>
      </c>
      <c r="BN25" s="1"/>
      <c r="BO25" s="1"/>
    </row>
    <row r="26" spans="5:67" ht="27.75" customHeight="1" x14ac:dyDescent="0.2">
      <c r="E26" s="212"/>
      <c r="F26" s="212"/>
      <c r="G26" s="213"/>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5" t="str">
        <f t="shared" si="11"/>
        <v/>
      </c>
      <c r="AN26" s="216" t="str">
        <f t="shared" si="12"/>
        <v/>
      </c>
      <c r="AO26" s="216">
        <f t="shared" si="1"/>
        <v>0</v>
      </c>
      <c r="AP26" s="218" t="str">
        <f t="shared" si="2"/>
        <v/>
      </c>
      <c r="AQ26" s="120"/>
      <c r="AR26" s="59" t="str">
        <f t="shared" si="3"/>
        <v/>
      </c>
      <c r="AS26" s="59" t="str">
        <f t="shared" si="3"/>
        <v/>
      </c>
      <c r="AT26" s="59" t="str">
        <f t="shared" si="3"/>
        <v/>
      </c>
      <c r="AU26" s="59" t="str">
        <f t="shared" si="3"/>
        <v/>
      </c>
      <c r="AV26" s="59" t="str">
        <f t="shared" si="3"/>
        <v/>
      </c>
      <c r="AW26" s="59" t="str">
        <f t="shared" si="3"/>
        <v/>
      </c>
      <c r="AX26" s="59" t="str">
        <f t="shared" si="3"/>
        <v/>
      </c>
      <c r="AY26" s="59" t="str">
        <f t="shared" si="4"/>
        <v/>
      </c>
      <c r="AZ26" s="59" t="str">
        <f t="shared" si="4"/>
        <v/>
      </c>
      <c r="BA26" s="59" t="str">
        <f t="shared" si="4"/>
        <v/>
      </c>
      <c r="BB26" s="59" t="str">
        <f t="shared" si="4"/>
        <v/>
      </c>
      <c r="BC26" s="59" t="str">
        <f t="shared" si="4"/>
        <v/>
      </c>
      <c r="BD26" s="59">
        <f t="shared" si="13"/>
        <v>0</v>
      </c>
      <c r="BE26" s="59" t="str">
        <f t="shared" si="5"/>
        <v/>
      </c>
      <c r="BF26" s="59" t="str">
        <f t="shared" si="5"/>
        <v/>
      </c>
      <c r="BG26" s="59" t="str">
        <f t="shared" si="5"/>
        <v/>
      </c>
      <c r="BH26" s="59" t="str">
        <f t="shared" si="5"/>
        <v/>
      </c>
      <c r="BI26" s="59">
        <f t="shared" si="6"/>
        <v>0</v>
      </c>
      <c r="BJ26" s="60">
        <f t="shared" si="7"/>
        <v>0</v>
      </c>
      <c r="BK26" s="59" t="str">
        <f t="shared" si="8"/>
        <v/>
      </c>
      <c r="BL26" s="59" t="str">
        <f t="shared" si="9"/>
        <v/>
      </c>
      <c r="BM26" s="59" t="str">
        <f t="shared" si="10"/>
        <v/>
      </c>
      <c r="BN26" s="1"/>
      <c r="BO26" s="1"/>
    </row>
    <row r="27" spans="5:67" ht="27.75" customHeight="1" x14ac:dyDescent="0.2">
      <c r="E27" s="212"/>
      <c r="F27" s="212"/>
      <c r="G27" s="213"/>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5" t="str">
        <f t="shared" si="11"/>
        <v/>
      </c>
      <c r="AN27" s="216" t="str">
        <f t="shared" si="12"/>
        <v/>
      </c>
      <c r="AO27" s="216">
        <f t="shared" si="1"/>
        <v>0</v>
      </c>
      <c r="AP27" s="218" t="str">
        <f t="shared" si="2"/>
        <v/>
      </c>
      <c r="AQ27" s="120"/>
      <c r="AR27" s="59" t="str">
        <f t="shared" si="3"/>
        <v/>
      </c>
      <c r="AS27" s="59" t="str">
        <f t="shared" si="3"/>
        <v/>
      </c>
      <c r="AT27" s="59" t="str">
        <f t="shared" si="3"/>
        <v/>
      </c>
      <c r="AU27" s="59" t="str">
        <f t="shared" si="3"/>
        <v/>
      </c>
      <c r="AV27" s="59" t="str">
        <f t="shared" si="3"/>
        <v/>
      </c>
      <c r="AW27" s="59" t="str">
        <f t="shared" si="3"/>
        <v/>
      </c>
      <c r="AX27" s="59" t="str">
        <f t="shared" si="3"/>
        <v/>
      </c>
      <c r="AY27" s="59" t="str">
        <f t="shared" si="4"/>
        <v/>
      </c>
      <c r="AZ27" s="59" t="str">
        <f t="shared" si="4"/>
        <v/>
      </c>
      <c r="BA27" s="59" t="str">
        <f t="shared" si="4"/>
        <v/>
      </c>
      <c r="BB27" s="59" t="str">
        <f t="shared" si="4"/>
        <v/>
      </c>
      <c r="BC27" s="59" t="str">
        <f t="shared" si="4"/>
        <v/>
      </c>
      <c r="BD27" s="59">
        <f t="shared" si="13"/>
        <v>0</v>
      </c>
      <c r="BE27" s="59" t="str">
        <f t="shared" si="5"/>
        <v/>
      </c>
      <c r="BF27" s="59" t="str">
        <f t="shared" si="5"/>
        <v/>
      </c>
      <c r="BG27" s="59" t="str">
        <f t="shared" si="5"/>
        <v/>
      </c>
      <c r="BH27" s="59" t="str">
        <f t="shared" si="5"/>
        <v/>
      </c>
      <c r="BI27" s="59">
        <f t="shared" si="6"/>
        <v>0</v>
      </c>
      <c r="BJ27" s="60">
        <f t="shared" si="7"/>
        <v>0</v>
      </c>
      <c r="BK27" s="59" t="str">
        <f t="shared" si="8"/>
        <v/>
      </c>
      <c r="BL27" s="59" t="str">
        <f t="shared" si="9"/>
        <v/>
      </c>
      <c r="BM27" s="59" t="str">
        <f t="shared" si="10"/>
        <v/>
      </c>
      <c r="BN27" s="1"/>
      <c r="BO27" s="1"/>
    </row>
    <row r="28" spans="5:67" ht="27.75" customHeight="1" x14ac:dyDescent="0.2">
      <c r="E28" s="212"/>
      <c r="F28" s="212"/>
      <c r="G28" s="213"/>
      <c r="H28" s="222"/>
      <c r="I28" s="222"/>
      <c r="J28" s="222"/>
      <c r="K28" s="222"/>
      <c r="L28" s="222"/>
      <c r="M28" s="222"/>
      <c r="N28" s="222"/>
      <c r="O28" s="222"/>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15" t="str">
        <f t="shared" si="11"/>
        <v/>
      </c>
      <c r="AN28" s="216" t="str">
        <f t="shared" si="12"/>
        <v/>
      </c>
      <c r="AO28" s="216">
        <f t="shared" si="1"/>
        <v>0</v>
      </c>
      <c r="AP28" s="218" t="str">
        <f t="shared" si="2"/>
        <v/>
      </c>
      <c r="AQ28" s="120"/>
      <c r="AR28" s="59" t="str">
        <f t="shared" ref="AR28:BC39" si="14">IF($G28="","",COUNTIF($H28:$AL28,AR$11))</f>
        <v/>
      </c>
      <c r="AS28" s="59" t="str">
        <f t="shared" si="14"/>
        <v/>
      </c>
      <c r="AT28" s="59" t="str">
        <f t="shared" si="14"/>
        <v/>
      </c>
      <c r="AU28" s="59" t="str">
        <f t="shared" si="3"/>
        <v/>
      </c>
      <c r="AV28" s="59" t="str">
        <f t="shared" si="14"/>
        <v/>
      </c>
      <c r="AW28" s="59" t="str">
        <f t="shared" si="14"/>
        <v/>
      </c>
      <c r="AX28" s="59" t="str">
        <f t="shared" si="14"/>
        <v/>
      </c>
      <c r="AY28" s="59" t="str">
        <f t="shared" si="14"/>
        <v/>
      </c>
      <c r="AZ28" s="59" t="str">
        <f t="shared" si="14"/>
        <v/>
      </c>
      <c r="BA28" s="59" t="str">
        <f t="shared" si="14"/>
        <v/>
      </c>
      <c r="BB28" s="59" t="str">
        <f t="shared" si="14"/>
        <v/>
      </c>
      <c r="BC28" s="59" t="str">
        <f t="shared" si="14"/>
        <v/>
      </c>
      <c r="BD28" s="59">
        <f t="shared" si="13"/>
        <v>0</v>
      </c>
      <c r="BE28" s="59" t="str">
        <f t="shared" ref="BE28:BH39" si="15">IF($G28="","",COUNTIF($H28:$AL28,BE$11))</f>
        <v/>
      </c>
      <c r="BF28" s="59" t="str">
        <f t="shared" si="15"/>
        <v/>
      </c>
      <c r="BG28" s="59" t="str">
        <f t="shared" si="15"/>
        <v/>
      </c>
      <c r="BH28" s="59" t="str">
        <f t="shared" si="15"/>
        <v/>
      </c>
      <c r="BI28" s="59">
        <f t="shared" si="6"/>
        <v>0</v>
      </c>
      <c r="BJ28" s="60">
        <f t="shared" si="7"/>
        <v>0</v>
      </c>
      <c r="BK28" s="59" t="str">
        <f t="shared" si="8"/>
        <v/>
      </c>
      <c r="BL28" s="59" t="str">
        <f t="shared" si="9"/>
        <v/>
      </c>
      <c r="BM28" s="59" t="str">
        <f t="shared" si="10"/>
        <v/>
      </c>
      <c r="BN28" s="1"/>
      <c r="BO28" s="1"/>
    </row>
    <row r="29" spans="5:67" ht="27.75" customHeight="1" x14ac:dyDescent="0.2">
      <c r="E29" s="212"/>
      <c r="F29" s="212"/>
      <c r="G29" s="213"/>
      <c r="H29" s="222"/>
      <c r="I29" s="222"/>
      <c r="J29" s="222"/>
      <c r="K29" s="222"/>
      <c r="L29" s="222"/>
      <c r="M29" s="222"/>
      <c r="N29" s="222"/>
      <c r="O29" s="222"/>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15" t="str">
        <f t="shared" si="11"/>
        <v/>
      </c>
      <c r="AN29" s="216" t="str">
        <f t="shared" si="12"/>
        <v/>
      </c>
      <c r="AO29" s="216">
        <f t="shared" si="1"/>
        <v>0</v>
      </c>
      <c r="AP29" s="218" t="str">
        <f t="shared" si="2"/>
        <v/>
      </c>
      <c r="AQ29" s="120"/>
      <c r="AR29" s="59" t="str">
        <f t="shared" si="14"/>
        <v/>
      </c>
      <c r="AS29" s="59" t="str">
        <f t="shared" si="14"/>
        <v/>
      </c>
      <c r="AT29" s="59" t="str">
        <f t="shared" si="14"/>
        <v/>
      </c>
      <c r="AU29" s="59" t="str">
        <f t="shared" si="14"/>
        <v/>
      </c>
      <c r="AV29" s="59" t="str">
        <f t="shared" si="14"/>
        <v/>
      </c>
      <c r="AW29" s="59" t="str">
        <f t="shared" si="14"/>
        <v/>
      </c>
      <c r="AX29" s="59" t="str">
        <f t="shared" si="14"/>
        <v/>
      </c>
      <c r="AY29" s="59" t="str">
        <f t="shared" si="14"/>
        <v/>
      </c>
      <c r="AZ29" s="59" t="str">
        <f t="shared" si="14"/>
        <v/>
      </c>
      <c r="BA29" s="59" t="str">
        <f t="shared" si="14"/>
        <v/>
      </c>
      <c r="BB29" s="59" t="str">
        <f t="shared" si="14"/>
        <v/>
      </c>
      <c r="BC29" s="59" t="str">
        <f t="shared" si="14"/>
        <v/>
      </c>
      <c r="BD29" s="59">
        <f t="shared" si="13"/>
        <v>0</v>
      </c>
      <c r="BE29" s="59" t="str">
        <f t="shared" si="15"/>
        <v/>
      </c>
      <c r="BF29" s="59" t="str">
        <f t="shared" si="15"/>
        <v/>
      </c>
      <c r="BG29" s="59" t="str">
        <f t="shared" si="15"/>
        <v/>
      </c>
      <c r="BH29" s="59" t="str">
        <f t="shared" si="15"/>
        <v/>
      </c>
      <c r="BI29" s="59">
        <f t="shared" si="6"/>
        <v>0</v>
      </c>
      <c r="BJ29" s="60">
        <f t="shared" si="7"/>
        <v>0</v>
      </c>
      <c r="BK29" s="59" t="str">
        <f t="shared" si="8"/>
        <v/>
      </c>
      <c r="BL29" s="59" t="str">
        <f t="shared" si="9"/>
        <v/>
      </c>
      <c r="BM29" s="59" t="str">
        <f t="shared" si="10"/>
        <v/>
      </c>
      <c r="BN29" s="1"/>
      <c r="BO29" s="1"/>
    </row>
    <row r="30" spans="5:67" ht="27.75" customHeight="1" x14ac:dyDescent="0.2">
      <c r="E30" s="212"/>
      <c r="F30" s="212"/>
      <c r="G30" s="213"/>
      <c r="H30" s="222"/>
      <c r="I30" s="222"/>
      <c r="J30" s="222"/>
      <c r="K30" s="222"/>
      <c r="L30" s="222"/>
      <c r="M30" s="222"/>
      <c r="N30" s="222"/>
      <c r="O30" s="222"/>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15" t="str">
        <f t="shared" si="11"/>
        <v/>
      </c>
      <c r="AN30" s="216" t="str">
        <f t="shared" si="12"/>
        <v/>
      </c>
      <c r="AO30" s="216">
        <f t="shared" si="1"/>
        <v>0</v>
      </c>
      <c r="AP30" s="218" t="str">
        <f t="shared" si="2"/>
        <v/>
      </c>
      <c r="AQ30" s="120"/>
      <c r="AR30" s="59" t="str">
        <f t="shared" si="14"/>
        <v/>
      </c>
      <c r="AS30" s="59" t="str">
        <f t="shared" si="14"/>
        <v/>
      </c>
      <c r="AT30" s="59" t="str">
        <f t="shared" si="14"/>
        <v/>
      </c>
      <c r="AU30" s="59" t="str">
        <f t="shared" si="14"/>
        <v/>
      </c>
      <c r="AV30" s="59" t="str">
        <f t="shared" si="14"/>
        <v/>
      </c>
      <c r="AW30" s="59" t="str">
        <f t="shared" si="14"/>
        <v/>
      </c>
      <c r="AX30" s="59" t="str">
        <f t="shared" si="14"/>
        <v/>
      </c>
      <c r="AY30" s="59" t="str">
        <f t="shared" si="14"/>
        <v/>
      </c>
      <c r="AZ30" s="59" t="str">
        <f t="shared" si="14"/>
        <v/>
      </c>
      <c r="BA30" s="59" t="str">
        <f t="shared" si="14"/>
        <v/>
      </c>
      <c r="BB30" s="59" t="str">
        <f t="shared" si="14"/>
        <v/>
      </c>
      <c r="BC30" s="59" t="str">
        <f t="shared" si="14"/>
        <v/>
      </c>
      <c r="BD30" s="59">
        <f t="shared" si="13"/>
        <v>0</v>
      </c>
      <c r="BE30" s="59" t="str">
        <f t="shared" si="15"/>
        <v/>
      </c>
      <c r="BF30" s="59" t="str">
        <f t="shared" si="15"/>
        <v/>
      </c>
      <c r="BG30" s="59" t="str">
        <f t="shared" si="15"/>
        <v/>
      </c>
      <c r="BH30" s="59" t="str">
        <f t="shared" si="15"/>
        <v/>
      </c>
      <c r="BI30" s="59">
        <f t="shared" si="6"/>
        <v>0</v>
      </c>
      <c r="BJ30" s="60">
        <f t="shared" si="7"/>
        <v>0</v>
      </c>
      <c r="BK30" s="59" t="str">
        <f t="shared" si="8"/>
        <v/>
      </c>
      <c r="BL30" s="59" t="str">
        <f t="shared" si="9"/>
        <v/>
      </c>
      <c r="BM30" s="59" t="str">
        <f t="shared" si="10"/>
        <v/>
      </c>
      <c r="BN30" s="1"/>
      <c r="BO30" s="1"/>
    </row>
    <row r="31" spans="5:67" ht="27" customHeight="1" x14ac:dyDescent="0.2">
      <c r="E31" s="212"/>
      <c r="F31" s="212"/>
      <c r="G31" s="213"/>
      <c r="H31" s="222"/>
      <c r="I31" s="222"/>
      <c r="J31" s="222"/>
      <c r="K31" s="222"/>
      <c r="L31" s="222"/>
      <c r="M31" s="222"/>
      <c r="N31" s="222"/>
      <c r="O31" s="222"/>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15" t="str">
        <f t="shared" si="11"/>
        <v/>
      </c>
      <c r="AN31" s="216" t="str">
        <f t="shared" si="12"/>
        <v/>
      </c>
      <c r="AO31" s="216">
        <f t="shared" si="1"/>
        <v>0</v>
      </c>
      <c r="AP31" s="218" t="str">
        <f t="shared" si="2"/>
        <v/>
      </c>
      <c r="AQ31" s="120"/>
      <c r="AR31" s="59" t="str">
        <f t="shared" si="14"/>
        <v/>
      </c>
      <c r="AS31" s="59" t="str">
        <f t="shared" si="14"/>
        <v/>
      </c>
      <c r="AT31" s="59" t="str">
        <f t="shared" si="14"/>
        <v/>
      </c>
      <c r="AU31" s="59" t="str">
        <f t="shared" si="14"/>
        <v/>
      </c>
      <c r="AV31" s="59" t="str">
        <f t="shared" si="14"/>
        <v/>
      </c>
      <c r="AW31" s="59" t="str">
        <f t="shared" si="14"/>
        <v/>
      </c>
      <c r="AX31" s="59" t="str">
        <f t="shared" si="14"/>
        <v/>
      </c>
      <c r="AY31" s="59" t="str">
        <f t="shared" si="14"/>
        <v/>
      </c>
      <c r="AZ31" s="59" t="str">
        <f t="shared" si="14"/>
        <v/>
      </c>
      <c r="BA31" s="59" t="str">
        <f t="shared" si="14"/>
        <v/>
      </c>
      <c r="BB31" s="59" t="str">
        <f t="shared" si="14"/>
        <v/>
      </c>
      <c r="BC31" s="59" t="str">
        <f t="shared" si="14"/>
        <v/>
      </c>
      <c r="BD31" s="59">
        <f t="shared" si="13"/>
        <v>0</v>
      </c>
      <c r="BE31" s="59" t="str">
        <f t="shared" si="15"/>
        <v/>
      </c>
      <c r="BF31" s="59" t="str">
        <f t="shared" si="15"/>
        <v/>
      </c>
      <c r="BG31" s="59" t="str">
        <f t="shared" si="15"/>
        <v/>
      </c>
      <c r="BH31" s="59" t="str">
        <f t="shared" si="15"/>
        <v/>
      </c>
      <c r="BI31" s="59">
        <f t="shared" si="6"/>
        <v>0</v>
      </c>
      <c r="BJ31" s="60">
        <f t="shared" si="7"/>
        <v>0</v>
      </c>
      <c r="BK31" s="59" t="str">
        <f t="shared" si="8"/>
        <v/>
      </c>
      <c r="BL31" s="59" t="str">
        <f t="shared" si="9"/>
        <v/>
      </c>
      <c r="BM31" s="59" t="str">
        <f t="shared" si="10"/>
        <v/>
      </c>
      <c r="BN31" s="1"/>
      <c r="BO31" s="1"/>
    </row>
    <row r="32" spans="5:67" ht="26.25" customHeight="1" x14ac:dyDescent="0.2">
      <c r="E32" s="212"/>
      <c r="F32" s="212"/>
      <c r="G32" s="213"/>
      <c r="H32" s="222"/>
      <c r="I32" s="222"/>
      <c r="J32" s="222"/>
      <c r="K32" s="222"/>
      <c r="L32" s="222"/>
      <c r="M32" s="222"/>
      <c r="N32" s="222"/>
      <c r="O32" s="222"/>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15" t="str">
        <f t="shared" si="11"/>
        <v/>
      </c>
      <c r="AN32" s="216" t="str">
        <f t="shared" si="12"/>
        <v/>
      </c>
      <c r="AO32" s="216">
        <f t="shared" si="1"/>
        <v>0</v>
      </c>
      <c r="AP32" s="218" t="str">
        <f t="shared" si="2"/>
        <v/>
      </c>
      <c r="AQ32" s="120"/>
      <c r="AR32" s="59" t="str">
        <f t="shared" si="14"/>
        <v/>
      </c>
      <c r="AS32" s="59" t="str">
        <f t="shared" si="14"/>
        <v/>
      </c>
      <c r="AT32" s="59" t="str">
        <f t="shared" si="14"/>
        <v/>
      </c>
      <c r="AU32" s="59" t="str">
        <f t="shared" si="14"/>
        <v/>
      </c>
      <c r="AV32" s="59" t="str">
        <f t="shared" si="14"/>
        <v/>
      </c>
      <c r="AW32" s="59" t="str">
        <f t="shared" si="14"/>
        <v/>
      </c>
      <c r="AX32" s="59" t="str">
        <f t="shared" si="14"/>
        <v/>
      </c>
      <c r="AY32" s="59" t="str">
        <f t="shared" si="14"/>
        <v/>
      </c>
      <c r="AZ32" s="59" t="str">
        <f t="shared" si="14"/>
        <v/>
      </c>
      <c r="BA32" s="59" t="str">
        <f t="shared" si="14"/>
        <v/>
      </c>
      <c r="BB32" s="59" t="str">
        <f t="shared" si="14"/>
        <v/>
      </c>
      <c r="BC32" s="59" t="str">
        <f t="shared" si="14"/>
        <v/>
      </c>
      <c r="BD32" s="59">
        <f t="shared" si="13"/>
        <v>0</v>
      </c>
      <c r="BE32" s="59" t="str">
        <f t="shared" si="15"/>
        <v/>
      </c>
      <c r="BF32" s="59" t="str">
        <f t="shared" si="15"/>
        <v/>
      </c>
      <c r="BG32" s="59" t="str">
        <f t="shared" si="15"/>
        <v/>
      </c>
      <c r="BH32" s="59" t="str">
        <f t="shared" si="15"/>
        <v/>
      </c>
      <c r="BI32" s="59">
        <f t="shared" si="6"/>
        <v>0</v>
      </c>
      <c r="BJ32" s="60">
        <f t="shared" si="7"/>
        <v>0</v>
      </c>
      <c r="BK32" s="59" t="str">
        <f t="shared" si="8"/>
        <v/>
      </c>
      <c r="BL32" s="59" t="str">
        <f t="shared" si="9"/>
        <v/>
      </c>
      <c r="BM32" s="59" t="str">
        <f t="shared" si="10"/>
        <v/>
      </c>
      <c r="BN32" s="1"/>
      <c r="BO32" s="1"/>
    </row>
    <row r="33" spans="1:260" ht="26.25" customHeight="1" x14ac:dyDescent="0.2">
      <c r="E33" s="212"/>
      <c r="F33" s="212"/>
      <c r="G33" s="213"/>
      <c r="H33" s="222"/>
      <c r="I33" s="222"/>
      <c r="J33" s="222"/>
      <c r="K33" s="222"/>
      <c r="L33" s="222"/>
      <c r="M33" s="222"/>
      <c r="N33" s="222"/>
      <c r="O33" s="222"/>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15" t="str">
        <f t="shared" si="11"/>
        <v/>
      </c>
      <c r="AN33" s="216" t="str">
        <f t="shared" si="12"/>
        <v/>
      </c>
      <c r="AO33" s="216">
        <f t="shared" si="1"/>
        <v>0</v>
      </c>
      <c r="AP33" s="218" t="str">
        <f t="shared" si="2"/>
        <v/>
      </c>
      <c r="AQ33" s="120"/>
      <c r="AR33" s="59" t="str">
        <f t="shared" si="14"/>
        <v/>
      </c>
      <c r="AS33" s="59" t="str">
        <f t="shared" si="14"/>
        <v/>
      </c>
      <c r="AT33" s="59" t="str">
        <f t="shared" si="14"/>
        <v/>
      </c>
      <c r="AU33" s="59" t="str">
        <f t="shared" si="14"/>
        <v/>
      </c>
      <c r="AV33" s="59" t="str">
        <f t="shared" si="14"/>
        <v/>
      </c>
      <c r="AW33" s="59" t="str">
        <f t="shared" si="14"/>
        <v/>
      </c>
      <c r="AX33" s="59" t="str">
        <f t="shared" si="14"/>
        <v/>
      </c>
      <c r="AY33" s="59" t="str">
        <f t="shared" si="14"/>
        <v/>
      </c>
      <c r="AZ33" s="59" t="str">
        <f t="shared" si="14"/>
        <v/>
      </c>
      <c r="BA33" s="59" t="str">
        <f t="shared" si="14"/>
        <v/>
      </c>
      <c r="BB33" s="59" t="str">
        <f t="shared" si="14"/>
        <v/>
      </c>
      <c r="BC33" s="59" t="str">
        <f t="shared" si="14"/>
        <v/>
      </c>
      <c r="BD33" s="59">
        <f t="shared" si="13"/>
        <v>0</v>
      </c>
      <c r="BE33" s="59" t="str">
        <f t="shared" si="15"/>
        <v/>
      </c>
      <c r="BF33" s="59" t="str">
        <f t="shared" si="15"/>
        <v/>
      </c>
      <c r="BG33" s="59" t="str">
        <f t="shared" si="15"/>
        <v/>
      </c>
      <c r="BH33" s="59" t="str">
        <f t="shared" si="15"/>
        <v/>
      </c>
      <c r="BI33" s="59">
        <f t="shared" si="6"/>
        <v>0</v>
      </c>
      <c r="BJ33" s="60">
        <f t="shared" si="7"/>
        <v>0</v>
      </c>
      <c r="BK33" s="59" t="str">
        <f t="shared" si="8"/>
        <v/>
      </c>
      <c r="BL33" s="59" t="str">
        <f t="shared" si="9"/>
        <v/>
      </c>
      <c r="BM33" s="59" t="str">
        <f t="shared" si="10"/>
        <v/>
      </c>
      <c r="BN33" s="1"/>
      <c r="BO33" s="1"/>
    </row>
    <row r="34" spans="1:260" ht="26.25" customHeight="1" x14ac:dyDescent="0.2">
      <c r="E34" s="212"/>
      <c r="F34" s="212"/>
      <c r="G34" s="213"/>
      <c r="H34" s="222"/>
      <c r="I34" s="222"/>
      <c r="J34" s="222"/>
      <c r="K34" s="222"/>
      <c r="L34" s="222"/>
      <c r="M34" s="222"/>
      <c r="N34" s="222"/>
      <c r="O34" s="222"/>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15" t="str">
        <f t="shared" si="11"/>
        <v/>
      </c>
      <c r="AN34" s="216" t="str">
        <f t="shared" si="12"/>
        <v/>
      </c>
      <c r="AO34" s="216">
        <f t="shared" si="1"/>
        <v>0</v>
      </c>
      <c r="AP34" s="218" t="str">
        <f t="shared" si="2"/>
        <v/>
      </c>
      <c r="AQ34" s="120"/>
      <c r="AR34" s="59" t="str">
        <f t="shared" si="14"/>
        <v/>
      </c>
      <c r="AS34" s="59" t="str">
        <f t="shared" si="14"/>
        <v/>
      </c>
      <c r="AT34" s="59" t="str">
        <f t="shared" si="14"/>
        <v/>
      </c>
      <c r="AU34" s="59" t="str">
        <f t="shared" si="14"/>
        <v/>
      </c>
      <c r="AV34" s="59" t="str">
        <f t="shared" si="14"/>
        <v/>
      </c>
      <c r="AW34" s="59" t="str">
        <f t="shared" si="14"/>
        <v/>
      </c>
      <c r="AX34" s="59" t="str">
        <f t="shared" si="14"/>
        <v/>
      </c>
      <c r="AY34" s="59" t="str">
        <f t="shared" si="14"/>
        <v/>
      </c>
      <c r="AZ34" s="59" t="str">
        <f t="shared" si="14"/>
        <v/>
      </c>
      <c r="BA34" s="59" t="str">
        <f t="shared" si="14"/>
        <v/>
      </c>
      <c r="BB34" s="59" t="str">
        <f t="shared" si="14"/>
        <v/>
      </c>
      <c r="BC34" s="59" t="str">
        <f t="shared" si="14"/>
        <v/>
      </c>
      <c r="BD34" s="59">
        <f t="shared" si="13"/>
        <v>0</v>
      </c>
      <c r="BE34" s="59" t="str">
        <f t="shared" si="15"/>
        <v/>
      </c>
      <c r="BF34" s="59" t="str">
        <f t="shared" si="15"/>
        <v/>
      </c>
      <c r="BG34" s="59" t="str">
        <f t="shared" si="15"/>
        <v/>
      </c>
      <c r="BH34" s="59" t="str">
        <f t="shared" si="15"/>
        <v/>
      </c>
      <c r="BI34" s="59">
        <f t="shared" si="6"/>
        <v>0</v>
      </c>
      <c r="BJ34" s="60">
        <f t="shared" si="7"/>
        <v>0</v>
      </c>
      <c r="BK34" s="59" t="str">
        <f t="shared" si="8"/>
        <v/>
      </c>
      <c r="BL34" s="59" t="str">
        <f t="shared" si="9"/>
        <v/>
      </c>
      <c r="BM34" s="59" t="str">
        <f t="shared" si="10"/>
        <v/>
      </c>
      <c r="BN34" s="1"/>
      <c r="BO34" s="1"/>
    </row>
    <row r="35" spans="1:260" s="45" customFormat="1" ht="26.25" customHeight="1" x14ac:dyDescent="0.2">
      <c r="A35" s="1"/>
      <c r="B35" s="1"/>
      <c r="C35" s="1"/>
      <c r="D35" s="1"/>
      <c r="E35" s="212"/>
      <c r="F35" s="212"/>
      <c r="G35" s="213"/>
      <c r="H35" s="223"/>
      <c r="I35" s="223"/>
      <c r="J35" s="223"/>
      <c r="K35" s="223"/>
      <c r="L35" s="223"/>
      <c r="M35" s="223"/>
      <c r="N35" s="223"/>
      <c r="O35" s="223"/>
      <c r="P35" s="223"/>
      <c r="Q35" s="223"/>
      <c r="R35" s="223"/>
      <c r="S35" s="223"/>
      <c r="T35" s="223"/>
      <c r="U35" s="223"/>
      <c r="V35" s="223"/>
      <c r="W35" s="223"/>
      <c r="X35" s="223"/>
      <c r="Y35" s="223"/>
      <c r="Z35" s="223"/>
      <c r="AA35" s="223"/>
      <c r="AB35" s="223"/>
      <c r="AC35" s="223"/>
      <c r="AD35" s="223"/>
      <c r="AE35" s="223"/>
      <c r="AF35" s="223"/>
      <c r="AG35" s="223"/>
      <c r="AH35" s="223"/>
      <c r="AI35" s="223"/>
      <c r="AJ35" s="223"/>
      <c r="AK35" s="223"/>
      <c r="AL35" s="223"/>
      <c r="AM35" s="215" t="str">
        <f t="shared" si="11"/>
        <v/>
      </c>
      <c r="AN35" s="216" t="str">
        <f t="shared" si="12"/>
        <v/>
      </c>
      <c r="AO35" s="216">
        <f t="shared" si="1"/>
        <v>0</v>
      </c>
      <c r="AP35" s="218" t="str">
        <f t="shared" si="2"/>
        <v/>
      </c>
      <c r="AQ35" s="120"/>
      <c r="AR35" s="59" t="str">
        <f t="shared" si="14"/>
        <v/>
      </c>
      <c r="AS35" s="59" t="str">
        <f t="shared" si="14"/>
        <v/>
      </c>
      <c r="AT35" s="59" t="str">
        <f t="shared" si="14"/>
        <v/>
      </c>
      <c r="AU35" s="59" t="str">
        <f t="shared" si="14"/>
        <v/>
      </c>
      <c r="AV35" s="59" t="str">
        <f t="shared" si="14"/>
        <v/>
      </c>
      <c r="AW35" s="59" t="str">
        <f t="shared" si="14"/>
        <v/>
      </c>
      <c r="AX35" s="59" t="str">
        <f t="shared" si="14"/>
        <v/>
      </c>
      <c r="AY35" s="59" t="str">
        <f t="shared" si="14"/>
        <v/>
      </c>
      <c r="AZ35" s="59" t="str">
        <f t="shared" si="14"/>
        <v/>
      </c>
      <c r="BA35" s="59" t="str">
        <f t="shared" si="14"/>
        <v/>
      </c>
      <c r="BB35" s="59" t="str">
        <f t="shared" si="14"/>
        <v/>
      </c>
      <c r="BC35" s="59" t="str">
        <f t="shared" si="14"/>
        <v/>
      </c>
      <c r="BD35" s="59">
        <f t="shared" si="13"/>
        <v>0</v>
      </c>
      <c r="BE35" s="59" t="str">
        <f t="shared" si="15"/>
        <v/>
      </c>
      <c r="BF35" s="59" t="str">
        <f t="shared" si="15"/>
        <v/>
      </c>
      <c r="BG35" s="59" t="str">
        <f t="shared" si="15"/>
        <v/>
      </c>
      <c r="BH35" s="59" t="str">
        <f t="shared" si="15"/>
        <v/>
      </c>
      <c r="BI35" s="59">
        <f t="shared" si="6"/>
        <v>0</v>
      </c>
      <c r="BJ35" s="60">
        <f t="shared" si="7"/>
        <v>0</v>
      </c>
      <c r="BK35" s="59" t="str">
        <f t="shared" si="8"/>
        <v/>
      </c>
      <c r="BL35" s="59" t="str">
        <f t="shared" si="9"/>
        <v/>
      </c>
      <c r="BM35" s="59" t="str">
        <f t="shared" si="10"/>
        <v/>
      </c>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c r="HY35" s="1"/>
      <c r="HZ35" s="1"/>
      <c r="IA35" s="1"/>
      <c r="IB35" s="1"/>
      <c r="IC35" s="1"/>
      <c r="ID35" s="1"/>
      <c r="IE35" s="1"/>
      <c r="IF35" s="1"/>
      <c r="IG35" s="1"/>
      <c r="IH35" s="1"/>
      <c r="II35" s="1"/>
      <c r="IJ35" s="1"/>
      <c r="IK35" s="1"/>
      <c r="IL35" s="1"/>
      <c r="IM35" s="1"/>
      <c r="IN35" s="1"/>
      <c r="IO35" s="1"/>
      <c r="IP35" s="1"/>
      <c r="IQ35" s="1"/>
      <c r="IR35" s="1"/>
      <c r="IS35" s="1"/>
      <c r="IT35" s="1"/>
      <c r="IU35" s="1"/>
      <c r="IV35" s="1"/>
    </row>
    <row r="36" spans="1:260" s="45" customFormat="1" ht="26.25" customHeight="1" x14ac:dyDescent="0.2">
      <c r="A36" s="1"/>
      <c r="B36" s="1"/>
      <c r="C36" s="1"/>
      <c r="D36" s="1"/>
      <c r="E36" s="212"/>
      <c r="F36" s="212"/>
      <c r="G36" s="213"/>
      <c r="H36" s="223"/>
      <c r="I36" s="223"/>
      <c r="J36" s="223"/>
      <c r="K36" s="223"/>
      <c r="L36" s="223"/>
      <c r="M36" s="223"/>
      <c r="N36" s="223"/>
      <c r="O36" s="223"/>
      <c r="P36" s="223"/>
      <c r="Q36" s="223"/>
      <c r="R36" s="223"/>
      <c r="S36" s="223"/>
      <c r="T36" s="223"/>
      <c r="U36" s="223"/>
      <c r="V36" s="223"/>
      <c r="W36" s="223"/>
      <c r="X36" s="223"/>
      <c r="Y36" s="223"/>
      <c r="Z36" s="223"/>
      <c r="AA36" s="223"/>
      <c r="AB36" s="223"/>
      <c r="AC36" s="223"/>
      <c r="AD36" s="223"/>
      <c r="AE36" s="223"/>
      <c r="AF36" s="223"/>
      <c r="AG36" s="223"/>
      <c r="AH36" s="223"/>
      <c r="AI36" s="223"/>
      <c r="AJ36" s="223"/>
      <c r="AK36" s="223"/>
      <c r="AL36" s="223"/>
      <c r="AM36" s="215" t="str">
        <f t="shared" si="11"/>
        <v/>
      </c>
      <c r="AN36" s="216" t="str">
        <f t="shared" si="12"/>
        <v/>
      </c>
      <c r="AO36" s="216">
        <f t="shared" si="1"/>
        <v>0</v>
      </c>
      <c r="AP36" s="218" t="str">
        <f t="shared" si="2"/>
        <v/>
      </c>
      <c r="AQ36" s="120"/>
      <c r="AR36" s="59" t="str">
        <f t="shared" si="14"/>
        <v/>
      </c>
      <c r="AS36" s="59" t="str">
        <f t="shared" si="14"/>
        <v/>
      </c>
      <c r="AT36" s="59" t="str">
        <f t="shared" si="14"/>
        <v/>
      </c>
      <c r="AU36" s="59" t="str">
        <f t="shared" si="14"/>
        <v/>
      </c>
      <c r="AV36" s="59" t="str">
        <f t="shared" si="14"/>
        <v/>
      </c>
      <c r="AW36" s="59" t="str">
        <f t="shared" si="14"/>
        <v/>
      </c>
      <c r="AX36" s="59" t="str">
        <f t="shared" si="14"/>
        <v/>
      </c>
      <c r="AY36" s="59" t="str">
        <f t="shared" si="14"/>
        <v/>
      </c>
      <c r="AZ36" s="59" t="str">
        <f t="shared" si="14"/>
        <v/>
      </c>
      <c r="BA36" s="59" t="str">
        <f t="shared" si="14"/>
        <v/>
      </c>
      <c r="BB36" s="59" t="str">
        <f t="shared" si="14"/>
        <v/>
      </c>
      <c r="BC36" s="59" t="str">
        <f t="shared" si="14"/>
        <v/>
      </c>
      <c r="BD36" s="59">
        <f t="shared" si="13"/>
        <v>0</v>
      </c>
      <c r="BE36" s="59" t="str">
        <f t="shared" si="15"/>
        <v/>
      </c>
      <c r="BF36" s="59" t="str">
        <f t="shared" si="15"/>
        <v/>
      </c>
      <c r="BG36" s="59" t="str">
        <f t="shared" si="15"/>
        <v/>
      </c>
      <c r="BH36" s="59" t="str">
        <f t="shared" si="15"/>
        <v/>
      </c>
      <c r="BI36" s="59">
        <f t="shared" si="6"/>
        <v>0</v>
      </c>
      <c r="BJ36" s="60">
        <f t="shared" si="7"/>
        <v>0</v>
      </c>
      <c r="BK36" s="59" t="str">
        <f t="shared" si="8"/>
        <v/>
      </c>
      <c r="BL36" s="59" t="str">
        <f t="shared" si="9"/>
        <v/>
      </c>
      <c r="BM36" s="59" t="str">
        <f t="shared" si="10"/>
        <v/>
      </c>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c r="HY36" s="1"/>
      <c r="HZ36" s="1"/>
      <c r="IA36" s="1"/>
      <c r="IB36" s="1"/>
      <c r="IC36" s="1"/>
      <c r="ID36" s="1"/>
      <c r="IE36" s="1"/>
      <c r="IF36" s="1"/>
      <c r="IG36" s="1"/>
      <c r="IH36" s="1"/>
      <c r="II36" s="1"/>
      <c r="IJ36" s="1"/>
      <c r="IK36" s="1"/>
      <c r="IL36" s="1"/>
      <c r="IM36" s="1"/>
      <c r="IN36" s="1"/>
      <c r="IO36" s="1"/>
      <c r="IP36" s="1"/>
      <c r="IQ36" s="1"/>
      <c r="IR36" s="1"/>
      <c r="IS36" s="1"/>
      <c r="IT36" s="1"/>
      <c r="IU36" s="1"/>
      <c r="IV36" s="1"/>
    </row>
    <row r="37" spans="1:260" s="45" customFormat="1" ht="26.25" customHeight="1" x14ac:dyDescent="0.2">
      <c r="A37" s="1"/>
      <c r="B37" s="1"/>
      <c r="C37" s="1"/>
      <c r="D37" s="1"/>
      <c r="E37" s="212"/>
      <c r="F37" s="212"/>
      <c r="G37" s="213"/>
      <c r="H37" s="223"/>
      <c r="I37" s="223"/>
      <c r="J37" s="223"/>
      <c r="K37" s="223"/>
      <c r="L37" s="223"/>
      <c r="M37" s="223"/>
      <c r="N37" s="223"/>
      <c r="O37" s="223"/>
      <c r="P37" s="223"/>
      <c r="Q37" s="223"/>
      <c r="R37" s="223"/>
      <c r="S37" s="223"/>
      <c r="T37" s="223"/>
      <c r="U37" s="223"/>
      <c r="V37" s="223"/>
      <c r="W37" s="223"/>
      <c r="X37" s="223"/>
      <c r="Y37" s="223"/>
      <c r="Z37" s="223"/>
      <c r="AA37" s="223"/>
      <c r="AB37" s="223"/>
      <c r="AC37" s="223"/>
      <c r="AD37" s="223"/>
      <c r="AE37" s="223"/>
      <c r="AF37" s="223"/>
      <c r="AG37" s="223"/>
      <c r="AH37" s="223"/>
      <c r="AI37" s="223"/>
      <c r="AJ37" s="223"/>
      <c r="AK37" s="223"/>
      <c r="AL37" s="223"/>
      <c r="AM37" s="215" t="str">
        <f t="shared" si="11"/>
        <v/>
      </c>
      <c r="AN37" s="216" t="str">
        <f t="shared" si="12"/>
        <v/>
      </c>
      <c r="AO37" s="216">
        <f t="shared" si="1"/>
        <v>0</v>
      </c>
      <c r="AP37" s="218" t="str">
        <f t="shared" si="2"/>
        <v/>
      </c>
      <c r="AQ37" s="120"/>
      <c r="AR37" s="59" t="str">
        <f t="shared" si="14"/>
        <v/>
      </c>
      <c r="AS37" s="59" t="str">
        <f t="shared" si="14"/>
        <v/>
      </c>
      <c r="AT37" s="59" t="str">
        <f t="shared" si="14"/>
        <v/>
      </c>
      <c r="AU37" s="59" t="str">
        <f t="shared" si="14"/>
        <v/>
      </c>
      <c r="AV37" s="59" t="str">
        <f t="shared" si="14"/>
        <v/>
      </c>
      <c r="AW37" s="59" t="str">
        <f t="shared" si="14"/>
        <v/>
      </c>
      <c r="AX37" s="59" t="str">
        <f t="shared" si="14"/>
        <v/>
      </c>
      <c r="AY37" s="59" t="str">
        <f t="shared" si="14"/>
        <v/>
      </c>
      <c r="AZ37" s="59" t="str">
        <f t="shared" si="14"/>
        <v/>
      </c>
      <c r="BA37" s="59" t="str">
        <f t="shared" si="14"/>
        <v/>
      </c>
      <c r="BB37" s="59" t="str">
        <f t="shared" si="14"/>
        <v/>
      </c>
      <c r="BC37" s="59" t="str">
        <f t="shared" si="14"/>
        <v/>
      </c>
      <c r="BD37" s="59">
        <f t="shared" si="13"/>
        <v>0</v>
      </c>
      <c r="BE37" s="59" t="str">
        <f t="shared" si="15"/>
        <v/>
      </c>
      <c r="BF37" s="59" t="str">
        <f t="shared" si="15"/>
        <v/>
      </c>
      <c r="BG37" s="59" t="str">
        <f t="shared" si="15"/>
        <v/>
      </c>
      <c r="BH37" s="59" t="str">
        <f t="shared" si="15"/>
        <v/>
      </c>
      <c r="BI37" s="59">
        <f t="shared" si="6"/>
        <v>0</v>
      </c>
      <c r="BJ37" s="60">
        <f t="shared" si="7"/>
        <v>0</v>
      </c>
      <c r="BK37" s="59" t="str">
        <f t="shared" si="8"/>
        <v/>
      </c>
      <c r="BL37" s="59" t="str">
        <f t="shared" si="9"/>
        <v/>
      </c>
      <c r="BM37" s="59" t="str">
        <f t="shared" si="10"/>
        <v/>
      </c>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c r="HY37" s="1"/>
      <c r="HZ37" s="1"/>
      <c r="IA37" s="1"/>
      <c r="IB37" s="1"/>
      <c r="IC37" s="1"/>
      <c r="ID37" s="1"/>
      <c r="IE37" s="1"/>
      <c r="IF37" s="1"/>
      <c r="IG37" s="1"/>
      <c r="IH37" s="1"/>
      <c r="II37" s="1"/>
      <c r="IJ37" s="1"/>
      <c r="IK37" s="1"/>
      <c r="IL37" s="1"/>
      <c r="IM37" s="1"/>
      <c r="IN37" s="1"/>
      <c r="IO37" s="1"/>
      <c r="IP37" s="1"/>
      <c r="IQ37" s="1"/>
      <c r="IR37" s="1"/>
      <c r="IS37" s="1"/>
      <c r="IT37" s="1"/>
      <c r="IU37" s="1"/>
      <c r="IV37" s="1"/>
    </row>
    <row r="38" spans="1:260" s="45" customFormat="1" ht="26.25" customHeight="1" x14ac:dyDescent="0.2">
      <c r="A38" s="1"/>
      <c r="B38" s="1"/>
      <c r="C38" s="1"/>
      <c r="D38" s="1"/>
      <c r="E38" s="212"/>
      <c r="F38" s="212"/>
      <c r="G38" s="213"/>
      <c r="H38" s="223"/>
      <c r="I38" s="223"/>
      <c r="J38" s="223"/>
      <c r="K38" s="223"/>
      <c r="L38" s="223"/>
      <c r="M38" s="223"/>
      <c r="N38" s="223"/>
      <c r="O38" s="223"/>
      <c r="P38" s="223"/>
      <c r="Q38" s="223"/>
      <c r="R38" s="223"/>
      <c r="S38" s="223"/>
      <c r="T38" s="223"/>
      <c r="U38" s="223"/>
      <c r="V38" s="223"/>
      <c r="W38" s="223"/>
      <c r="X38" s="223"/>
      <c r="Y38" s="223"/>
      <c r="Z38" s="223"/>
      <c r="AA38" s="223"/>
      <c r="AB38" s="223"/>
      <c r="AC38" s="223"/>
      <c r="AD38" s="223"/>
      <c r="AE38" s="223"/>
      <c r="AF38" s="223"/>
      <c r="AG38" s="223"/>
      <c r="AH38" s="223"/>
      <c r="AI38" s="223"/>
      <c r="AJ38" s="223"/>
      <c r="AK38" s="223"/>
      <c r="AL38" s="223"/>
      <c r="AM38" s="215" t="str">
        <f t="shared" si="11"/>
        <v/>
      </c>
      <c r="AN38" s="216" t="str">
        <f t="shared" si="12"/>
        <v/>
      </c>
      <c r="AO38" s="216">
        <f t="shared" si="1"/>
        <v>0</v>
      </c>
      <c r="AP38" s="218" t="str">
        <f t="shared" si="2"/>
        <v/>
      </c>
      <c r="AQ38" s="120"/>
      <c r="AR38" s="59" t="str">
        <f t="shared" si="14"/>
        <v/>
      </c>
      <c r="AS38" s="59" t="str">
        <f t="shared" si="14"/>
        <v/>
      </c>
      <c r="AT38" s="59" t="str">
        <f t="shared" si="14"/>
        <v/>
      </c>
      <c r="AU38" s="59" t="str">
        <f t="shared" si="14"/>
        <v/>
      </c>
      <c r="AV38" s="59" t="str">
        <f t="shared" si="14"/>
        <v/>
      </c>
      <c r="AW38" s="59" t="str">
        <f t="shared" si="14"/>
        <v/>
      </c>
      <c r="AX38" s="59" t="str">
        <f t="shared" si="14"/>
        <v/>
      </c>
      <c r="AY38" s="59" t="str">
        <f t="shared" si="14"/>
        <v/>
      </c>
      <c r="AZ38" s="59" t="str">
        <f t="shared" si="14"/>
        <v/>
      </c>
      <c r="BA38" s="59" t="str">
        <f t="shared" si="14"/>
        <v/>
      </c>
      <c r="BB38" s="59" t="str">
        <f t="shared" si="14"/>
        <v/>
      </c>
      <c r="BC38" s="59" t="str">
        <f t="shared" si="14"/>
        <v/>
      </c>
      <c r="BD38" s="59">
        <f t="shared" si="13"/>
        <v>0</v>
      </c>
      <c r="BE38" s="59" t="str">
        <f t="shared" si="15"/>
        <v/>
      </c>
      <c r="BF38" s="59" t="str">
        <f t="shared" si="15"/>
        <v/>
      </c>
      <c r="BG38" s="59" t="str">
        <f t="shared" si="15"/>
        <v/>
      </c>
      <c r="BH38" s="59" t="str">
        <f t="shared" si="15"/>
        <v/>
      </c>
      <c r="BI38" s="59">
        <f t="shared" si="6"/>
        <v>0</v>
      </c>
      <c r="BJ38" s="60">
        <f t="shared" si="7"/>
        <v>0</v>
      </c>
      <c r="BK38" s="59" t="str">
        <f t="shared" si="8"/>
        <v/>
      </c>
      <c r="BL38" s="59" t="str">
        <f t="shared" si="9"/>
        <v/>
      </c>
      <c r="BM38" s="59" t="str">
        <f t="shared" si="10"/>
        <v/>
      </c>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c r="HY38" s="1"/>
      <c r="HZ38" s="1"/>
      <c r="IA38" s="1"/>
      <c r="IB38" s="1"/>
      <c r="IC38" s="1"/>
      <c r="ID38" s="1"/>
      <c r="IE38" s="1"/>
      <c r="IF38" s="1"/>
      <c r="IG38" s="1"/>
      <c r="IH38" s="1"/>
      <c r="II38" s="1"/>
      <c r="IJ38" s="1"/>
      <c r="IK38" s="1"/>
      <c r="IL38" s="1"/>
      <c r="IM38" s="1"/>
      <c r="IN38" s="1"/>
      <c r="IO38" s="1"/>
      <c r="IP38" s="1"/>
      <c r="IQ38" s="1"/>
      <c r="IR38" s="1"/>
      <c r="IS38" s="1"/>
      <c r="IT38" s="1"/>
      <c r="IU38" s="1"/>
      <c r="IV38" s="1"/>
    </row>
    <row r="39" spans="1:260" s="45" customFormat="1" ht="26.25" customHeight="1" x14ac:dyDescent="0.2">
      <c r="A39" s="1"/>
      <c r="B39" s="1"/>
      <c r="C39" s="1"/>
      <c r="D39" s="1"/>
      <c r="E39" s="212"/>
      <c r="F39" s="212"/>
      <c r="G39" s="213"/>
      <c r="H39" s="223"/>
      <c r="I39" s="223"/>
      <c r="J39" s="223"/>
      <c r="K39" s="223"/>
      <c r="L39" s="223"/>
      <c r="M39" s="223"/>
      <c r="N39" s="223"/>
      <c r="O39" s="223"/>
      <c r="P39" s="223"/>
      <c r="Q39" s="223"/>
      <c r="R39" s="223"/>
      <c r="S39" s="223"/>
      <c r="T39" s="223"/>
      <c r="U39" s="223"/>
      <c r="V39" s="223"/>
      <c r="W39" s="223"/>
      <c r="X39" s="223"/>
      <c r="Y39" s="223"/>
      <c r="Z39" s="223"/>
      <c r="AA39" s="223"/>
      <c r="AB39" s="223"/>
      <c r="AC39" s="223"/>
      <c r="AD39" s="223"/>
      <c r="AE39" s="223"/>
      <c r="AF39" s="223"/>
      <c r="AG39" s="223"/>
      <c r="AH39" s="223"/>
      <c r="AI39" s="223"/>
      <c r="AJ39" s="223"/>
      <c r="AK39" s="223"/>
      <c r="AL39" s="223"/>
      <c r="AM39" s="215" t="str">
        <f t="shared" si="11"/>
        <v/>
      </c>
      <c r="AN39" s="216" t="str">
        <f t="shared" si="12"/>
        <v/>
      </c>
      <c r="AO39" s="216">
        <f t="shared" si="1"/>
        <v>0</v>
      </c>
      <c r="AP39" s="218" t="str">
        <f t="shared" si="2"/>
        <v/>
      </c>
      <c r="AQ39" s="120"/>
      <c r="AR39" s="121" t="str">
        <f t="shared" si="14"/>
        <v/>
      </c>
      <c r="AS39" s="59" t="str">
        <f t="shared" si="14"/>
        <v/>
      </c>
      <c r="AT39" s="59" t="str">
        <f t="shared" si="14"/>
        <v/>
      </c>
      <c r="AU39" s="59" t="str">
        <f t="shared" si="14"/>
        <v/>
      </c>
      <c r="AV39" s="59" t="str">
        <f t="shared" si="14"/>
        <v/>
      </c>
      <c r="AW39" s="59" t="str">
        <f t="shared" si="14"/>
        <v/>
      </c>
      <c r="AX39" s="59" t="str">
        <f t="shared" si="14"/>
        <v/>
      </c>
      <c r="AY39" s="59" t="str">
        <f t="shared" si="14"/>
        <v/>
      </c>
      <c r="AZ39" s="59" t="str">
        <f t="shared" si="14"/>
        <v/>
      </c>
      <c r="BA39" s="59" t="str">
        <f t="shared" si="14"/>
        <v/>
      </c>
      <c r="BB39" s="59" t="str">
        <f t="shared" si="14"/>
        <v/>
      </c>
      <c r="BC39" s="59" t="str">
        <f t="shared" si="14"/>
        <v/>
      </c>
      <c r="BD39" s="59">
        <f t="shared" si="13"/>
        <v>0</v>
      </c>
      <c r="BE39" s="59" t="str">
        <f t="shared" si="15"/>
        <v/>
      </c>
      <c r="BF39" s="59" t="str">
        <f t="shared" si="15"/>
        <v/>
      </c>
      <c r="BG39" s="59" t="str">
        <f t="shared" si="15"/>
        <v/>
      </c>
      <c r="BH39" s="59" t="str">
        <f t="shared" si="15"/>
        <v/>
      </c>
      <c r="BI39" s="59">
        <f t="shared" si="6"/>
        <v>0</v>
      </c>
      <c r="BJ39" s="60">
        <f t="shared" si="7"/>
        <v>0</v>
      </c>
      <c r="BK39" s="59" t="str">
        <f t="shared" si="8"/>
        <v/>
      </c>
      <c r="BL39" s="59" t="str">
        <f t="shared" si="9"/>
        <v/>
      </c>
      <c r="BM39" s="59" t="str">
        <f t="shared" si="10"/>
        <v/>
      </c>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c r="HY39" s="1"/>
      <c r="HZ39" s="1"/>
      <c r="IA39" s="1"/>
      <c r="IB39" s="1"/>
      <c r="IC39" s="1"/>
      <c r="ID39" s="1"/>
      <c r="IE39" s="1"/>
      <c r="IF39" s="1"/>
      <c r="IG39" s="1"/>
      <c r="IH39" s="1"/>
      <c r="II39" s="1"/>
      <c r="IJ39" s="1"/>
      <c r="IK39" s="1"/>
      <c r="IL39" s="1"/>
      <c r="IM39" s="1"/>
      <c r="IN39" s="1"/>
      <c r="IO39" s="1"/>
      <c r="IP39" s="1"/>
      <c r="IQ39" s="1"/>
      <c r="IR39" s="1"/>
      <c r="IS39" s="1"/>
      <c r="IT39" s="1"/>
      <c r="IU39" s="1"/>
      <c r="IV39" s="1"/>
    </row>
    <row r="40" spans="1:260" s="45" customFormat="1" ht="5.25" hidden="1" customHeight="1" x14ac:dyDescent="0.2">
      <c r="A40" s="1"/>
      <c r="B40" s="1"/>
      <c r="C40" s="1"/>
      <c r="D40" s="1"/>
      <c r="E40" s="2"/>
      <c r="F40" s="2"/>
      <c r="G40" s="108"/>
      <c r="H40" s="46"/>
      <c r="I40" s="46"/>
      <c r="J40" s="46"/>
      <c r="K40" s="46"/>
      <c r="L40" s="46"/>
      <c r="M40" s="46"/>
      <c r="N40" s="46"/>
      <c r="O40" s="46"/>
      <c r="P40" s="46"/>
      <c r="Q40" s="66"/>
      <c r="R40" s="46"/>
      <c r="S40" s="46"/>
      <c r="T40" s="46"/>
      <c r="U40" s="46"/>
      <c r="V40" s="46"/>
      <c r="W40" s="46"/>
      <c r="X40" s="46"/>
      <c r="Y40" s="46"/>
      <c r="Z40" s="46"/>
      <c r="AA40" s="46"/>
      <c r="AB40" s="46"/>
      <c r="AC40" s="46"/>
      <c r="AD40" s="46"/>
      <c r="AE40" s="46"/>
      <c r="AF40" s="46"/>
      <c r="AG40" s="46"/>
      <c r="AH40" s="46"/>
      <c r="AI40" s="46"/>
      <c r="AJ40" s="46"/>
      <c r="AK40" s="46"/>
      <c r="AL40" s="46"/>
      <c r="AM40" s="87"/>
      <c r="AN40" s="87"/>
      <c r="AO40" s="1"/>
      <c r="AP40" s="87"/>
      <c r="AQ40" s="1"/>
      <c r="AU40" s="117"/>
      <c r="AX40" s="46"/>
      <c r="AY40" s="46"/>
      <c r="AZ40" s="5"/>
      <c r="BA40" s="1"/>
      <c r="BB40" s="1"/>
      <c r="BC40" s="1"/>
      <c r="BD40" s="1"/>
      <c r="BE40" s="1"/>
      <c r="BF40" s="1"/>
      <c r="BG40" s="1"/>
      <c r="BH40" s="1"/>
      <c r="BI40" s="1"/>
      <c r="BJ40" s="1"/>
      <c r="BK40" s="1"/>
      <c r="BL40" s="1"/>
      <c r="BM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c r="IC40" s="1"/>
      <c r="ID40" s="1"/>
      <c r="IE40" s="1"/>
      <c r="IF40" s="1"/>
      <c r="IG40" s="1"/>
      <c r="IH40" s="1"/>
      <c r="II40" s="1"/>
      <c r="IJ40" s="1"/>
      <c r="IK40" s="1"/>
      <c r="IL40" s="1"/>
      <c r="IM40" s="1"/>
      <c r="IN40" s="1"/>
      <c r="IO40" s="1"/>
      <c r="IP40" s="1"/>
      <c r="IQ40" s="1"/>
      <c r="IR40" s="1"/>
      <c r="IS40" s="1"/>
      <c r="IT40" s="1"/>
      <c r="IU40" s="1"/>
      <c r="IV40" s="1"/>
      <c r="IW40" s="1"/>
      <c r="IX40" s="1"/>
      <c r="IY40" s="1"/>
      <c r="IZ40" s="1"/>
    </row>
    <row r="41" spans="1:260" s="55" customFormat="1" ht="10.8" x14ac:dyDescent="0.2">
      <c r="E41" s="56"/>
      <c r="F41" s="56"/>
      <c r="G41" s="109" t="str">
        <f>社員データ!T19</f>
        <v>夜2</v>
      </c>
      <c r="H41" s="140" t="str">
        <f>IF(COUNTIF(H$12:H$39,$G41)*11=11,"OK",IF(H10="","",COUNTIF(H$12:H$39,$G41)*11-11))</f>
        <v/>
      </c>
      <c r="I41" s="140" t="str">
        <f t="shared" ref="I41:AL41" si="16">IF(COUNTIF(I$12:I$39,$G41)*11=11,"OK",IF(I10="","",COUNTIF(I$12:I$39,$G41)*11-11))</f>
        <v/>
      </c>
      <c r="J41" s="140" t="str">
        <f t="shared" si="16"/>
        <v/>
      </c>
      <c r="K41" s="140" t="str">
        <f t="shared" si="16"/>
        <v/>
      </c>
      <c r="L41" s="140" t="str">
        <f t="shared" si="16"/>
        <v/>
      </c>
      <c r="M41" s="140" t="str">
        <f t="shared" si="16"/>
        <v/>
      </c>
      <c r="N41" s="140" t="str">
        <f t="shared" si="16"/>
        <v/>
      </c>
      <c r="O41" s="140" t="str">
        <f t="shared" si="16"/>
        <v/>
      </c>
      <c r="P41" s="140" t="str">
        <f t="shared" si="16"/>
        <v/>
      </c>
      <c r="Q41" s="140" t="str">
        <f t="shared" si="16"/>
        <v/>
      </c>
      <c r="R41" s="140" t="str">
        <f t="shared" si="16"/>
        <v/>
      </c>
      <c r="S41" s="140" t="str">
        <f t="shared" si="16"/>
        <v/>
      </c>
      <c r="T41" s="140" t="str">
        <f t="shared" si="16"/>
        <v/>
      </c>
      <c r="U41" s="140" t="str">
        <f t="shared" si="16"/>
        <v/>
      </c>
      <c r="V41" s="140" t="str">
        <f t="shared" si="16"/>
        <v/>
      </c>
      <c r="W41" s="140" t="str">
        <f t="shared" si="16"/>
        <v/>
      </c>
      <c r="X41" s="140" t="str">
        <f t="shared" si="16"/>
        <v/>
      </c>
      <c r="Y41" s="140" t="str">
        <f t="shared" si="16"/>
        <v/>
      </c>
      <c r="Z41" s="140" t="str">
        <f t="shared" si="16"/>
        <v/>
      </c>
      <c r="AA41" s="140" t="str">
        <f t="shared" si="16"/>
        <v/>
      </c>
      <c r="AB41" s="140" t="str">
        <f t="shared" si="16"/>
        <v/>
      </c>
      <c r="AC41" s="140" t="str">
        <f t="shared" si="16"/>
        <v/>
      </c>
      <c r="AD41" s="140" t="str">
        <f t="shared" si="16"/>
        <v/>
      </c>
      <c r="AE41" s="140" t="str">
        <f t="shared" si="16"/>
        <v/>
      </c>
      <c r="AF41" s="140" t="str">
        <f t="shared" si="16"/>
        <v/>
      </c>
      <c r="AG41" s="140" t="str">
        <f t="shared" si="16"/>
        <v/>
      </c>
      <c r="AH41" s="140" t="str">
        <f t="shared" si="16"/>
        <v/>
      </c>
      <c r="AI41" s="140" t="str">
        <f t="shared" si="16"/>
        <v/>
      </c>
      <c r="AJ41" s="140" t="str">
        <f t="shared" si="16"/>
        <v/>
      </c>
      <c r="AK41" s="140" t="str">
        <f t="shared" si="16"/>
        <v/>
      </c>
      <c r="AL41" s="140" t="str">
        <f t="shared" si="16"/>
        <v/>
      </c>
      <c r="AM41" s="88"/>
      <c r="AN41" s="88"/>
      <c r="AP41" s="88"/>
    </row>
    <row r="42" spans="1:260" s="55" customFormat="1" ht="10.8" x14ac:dyDescent="0.2">
      <c r="E42" s="56"/>
      <c r="F42" s="56"/>
      <c r="G42" s="67" t="str">
        <f>社員データ!T18</f>
        <v>夜1</v>
      </c>
      <c r="H42" s="140" t="str">
        <f t="shared" ref="H42:AL42" si="17">IF(COUNTIF(H$12:H$39,$G42)*11=11,"OK",IF(H11="","",COUNTIF(H$12:H$39,$G42)*11-11))</f>
        <v/>
      </c>
      <c r="I42" s="140" t="str">
        <f t="shared" si="17"/>
        <v/>
      </c>
      <c r="J42" s="140" t="str">
        <f t="shared" si="17"/>
        <v/>
      </c>
      <c r="K42" s="140" t="str">
        <f t="shared" si="17"/>
        <v/>
      </c>
      <c r="L42" s="140" t="str">
        <f t="shared" si="17"/>
        <v/>
      </c>
      <c r="M42" s="140" t="str">
        <f t="shared" si="17"/>
        <v/>
      </c>
      <c r="N42" s="140" t="str">
        <f t="shared" si="17"/>
        <v/>
      </c>
      <c r="O42" s="140" t="str">
        <f t="shared" si="17"/>
        <v/>
      </c>
      <c r="P42" s="140" t="str">
        <f t="shared" si="17"/>
        <v/>
      </c>
      <c r="Q42" s="140" t="str">
        <f t="shared" si="17"/>
        <v/>
      </c>
      <c r="R42" s="140" t="str">
        <f t="shared" si="17"/>
        <v/>
      </c>
      <c r="S42" s="140" t="str">
        <f t="shared" si="17"/>
        <v/>
      </c>
      <c r="T42" s="140" t="str">
        <f t="shared" si="17"/>
        <v/>
      </c>
      <c r="U42" s="140" t="str">
        <f t="shared" si="17"/>
        <v/>
      </c>
      <c r="V42" s="140" t="str">
        <f t="shared" si="17"/>
        <v/>
      </c>
      <c r="W42" s="140" t="str">
        <f t="shared" si="17"/>
        <v/>
      </c>
      <c r="X42" s="140" t="str">
        <f t="shared" si="17"/>
        <v/>
      </c>
      <c r="Y42" s="140" t="str">
        <f t="shared" si="17"/>
        <v/>
      </c>
      <c r="Z42" s="140" t="str">
        <f t="shared" si="17"/>
        <v/>
      </c>
      <c r="AA42" s="140" t="str">
        <f t="shared" si="17"/>
        <v/>
      </c>
      <c r="AB42" s="140" t="str">
        <f t="shared" si="17"/>
        <v/>
      </c>
      <c r="AC42" s="140" t="str">
        <f t="shared" si="17"/>
        <v/>
      </c>
      <c r="AD42" s="140" t="str">
        <f t="shared" si="17"/>
        <v/>
      </c>
      <c r="AE42" s="140" t="str">
        <f t="shared" si="17"/>
        <v/>
      </c>
      <c r="AF42" s="140" t="str">
        <f t="shared" si="17"/>
        <v/>
      </c>
      <c r="AG42" s="140" t="str">
        <f t="shared" si="17"/>
        <v/>
      </c>
      <c r="AH42" s="140" t="str">
        <f t="shared" si="17"/>
        <v/>
      </c>
      <c r="AI42" s="140" t="str">
        <f t="shared" si="17"/>
        <v/>
      </c>
      <c r="AJ42" s="140" t="str">
        <f t="shared" si="17"/>
        <v/>
      </c>
      <c r="AK42" s="140" t="str">
        <f t="shared" si="17"/>
        <v/>
      </c>
      <c r="AL42" s="140" t="str">
        <f t="shared" si="17"/>
        <v/>
      </c>
    </row>
    <row r="43" spans="1:260" s="55" customFormat="1" ht="10.8" x14ac:dyDescent="0.2">
      <c r="E43" s="56"/>
      <c r="F43" s="56"/>
      <c r="G43" s="68" t="s">
        <v>7</v>
      </c>
      <c r="H43" s="69" t="str">
        <f t="shared" ref="H43:AL43" si="18">IF(H$10="","",IF(H59=11,"OK",H59-11))</f>
        <v/>
      </c>
      <c r="I43" s="69" t="str">
        <f t="shared" si="18"/>
        <v/>
      </c>
      <c r="J43" s="69" t="str">
        <f t="shared" si="18"/>
        <v/>
      </c>
      <c r="K43" s="69" t="str">
        <f t="shared" si="18"/>
        <v/>
      </c>
      <c r="L43" s="69" t="str">
        <f t="shared" si="18"/>
        <v/>
      </c>
      <c r="M43" s="69" t="str">
        <f t="shared" si="18"/>
        <v/>
      </c>
      <c r="N43" s="69" t="str">
        <f t="shared" si="18"/>
        <v/>
      </c>
      <c r="O43" s="69" t="str">
        <f t="shared" si="18"/>
        <v/>
      </c>
      <c r="P43" s="69" t="str">
        <f t="shared" si="18"/>
        <v/>
      </c>
      <c r="Q43" s="69" t="str">
        <f t="shared" si="18"/>
        <v/>
      </c>
      <c r="R43" s="69" t="str">
        <f t="shared" si="18"/>
        <v/>
      </c>
      <c r="S43" s="69" t="str">
        <f t="shared" si="18"/>
        <v/>
      </c>
      <c r="T43" s="69" t="str">
        <f t="shared" si="18"/>
        <v/>
      </c>
      <c r="U43" s="69" t="str">
        <f t="shared" si="18"/>
        <v/>
      </c>
      <c r="V43" s="69" t="str">
        <f t="shared" si="18"/>
        <v/>
      </c>
      <c r="W43" s="69" t="str">
        <f t="shared" si="18"/>
        <v/>
      </c>
      <c r="X43" s="69" t="str">
        <f t="shared" si="18"/>
        <v/>
      </c>
      <c r="Y43" s="69" t="str">
        <f t="shared" si="18"/>
        <v/>
      </c>
      <c r="Z43" s="69" t="str">
        <f t="shared" si="18"/>
        <v/>
      </c>
      <c r="AA43" s="69" t="str">
        <f t="shared" si="18"/>
        <v/>
      </c>
      <c r="AB43" s="69" t="str">
        <f t="shared" si="18"/>
        <v/>
      </c>
      <c r="AC43" s="69" t="str">
        <f t="shared" si="18"/>
        <v/>
      </c>
      <c r="AD43" s="69" t="str">
        <f t="shared" si="18"/>
        <v/>
      </c>
      <c r="AE43" s="69" t="str">
        <f t="shared" si="18"/>
        <v/>
      </c>
      <c r="AF43" s="69" t="str">
        <f t="shared" si="18"/>
        <v/>
      </c>
      <c r="AG43" s="69" t="str">
        <f t="shared" si="18"/>
        <v/>
      </c>
      <c r="AH43" s="69" t="str">
        <f t="shared" si="18"/>
        <v/>
      </c>
      <c r="AI43" s="69" t="str">
        <f t="shared" si="18"/>
        <v/>
      </c>
      <c r="AJ43" s="69" t="str">
        <f t="shared" si="18"/>
        <v/>
      </c>
      <c r="AK43" s="69" t="str">
        <f t="shared" si="18"/>
        <v/>
      </c>
      <c r="AL43" s="69" t="str">
        <f t="shared" si="18"/>
        <v/>
      </c>
    </row>
    <row r="44" spans="1:260" s="55" customFormat="1" ht="10.8" x14ac:dyDescent="0.2">
      <c r="E44" s="56"/>
      <c r="F44" s="56"/>
      <c r="G44" s="135" t="s">
        <v>8</v>
      </c>
      <c r="H44" s="69" t="str">
        <f>IF(H$10="","",IF(H60=11,"OK",H60-11))</f>
        <v/>
      </c>
      <c r="I44" s="69" t="str">
        <f t="shared" ref="I44:AL44" si="19">IF(I10="","",IF(I60=11,"OK",I60-11))</f>
        <v/>
      </c>
      <c r="J44" s="69" t="str">
        <f t="shared" si="19"/>
        <v/>
      </c>
      <c r="K44" s="69" t="str">
        <f t="shared" si="19"/>
        <v/>
      </c>
      <c r="L44" s="69" t="str">
        <f t="shared" si="19"/>
        <v/>
      </c>
      <c r="M44" s="69" t="str">
        <f t="shared" si="19"/>
        <v/>
      </c>
      <c r="N44" s="69" t="str">
        <f t="shared" si="19"/>
        <v/>
      </c>
      <c r="O44" s="69" t="str">
        <f t="shared" si="19"/>
        <v/>
      </c>
      <c r="P44" s="69" t="str">
        <f t="shared" si="19"/>
        <v/>
      </c>
      <c r="Q44" s="69" t="str">
        <f t="shared" si="19"/>
        <v/>
      </c>
      <c r="R44" s="69" t="str">
        <f>IF(R10="","",IF(R60=11,"OK",R60-11))</f>
        <v/>
      </c>
      <c r="S44" s="69" t="str">
        <f t="shared" si="19"/>
        <v/>
      </c>
      <c r="T44" s="69" t="str">
        <f t="shared" si="19"/>
        <v/>
      </c>
      <c r="U44" s="69" t="str">
        <f t="shared" si="19"/>
        <v/>
      </c>
      <c r="V44" s="69" t="str">
        <f t="shared" si="19"/>
        <v/>
      </c>
      <c r="W44" s="69" t="str">
        <f t="shared" si="19"/>
        <v/>
      </c>
      <c r="X44" s="69" t="str">
        <f t="shared" si="19"/>
        <v/>
      </c>
      <c r="Y44" s="69" t="str">
        <f t="shared" si="19"/>
        <v/>
      </c>
      <c r="Z44" s="69" t="str">
        <f t="shared" si="19"/>
        <v/>
      </c>
      <c r="AA44" s="69" t="str">
        <f t="shared" si="19"/>
        <v/>
      </c>
      <c r="AB44" s="69" t="str">
        <f t="shared" si="19"/>
        <v/>
      </c>
      <c r="AC44" s="69" t="str">
        <f t="shared" si="19"/>
        <v/>
      </c>
      <c r="AD44" s="69" t="str">
        <f t="shared" si="19"/>
        <v/>
      </c>
      <c r="AE44" s="69" t="str">
        <f t="shared" si="19"/>
        <v/>
      </c>
      <c r="AF44" s="69" t="str">
        <f t="shared" si="19"/>
        <v/>
      </c>
      <c r="AG44" s="69" t="str">
        <f t="shared" si="19"/>
        <v/>
      </c>
      <c r="AH44" s="69" t="str">
        <f t="shared" si="19"/>
        <v/>
      </c>
      <c r="AI44" s="69" t="str">
        <f t="shared" si="19"/>
        <v/>
      </c>
      <c r="AJ44" s="69" t="str">
        <f t="shared" si="19"/>
        <v/>
      </c>
      <c r="AK44" s="69" t="str">
        <f t="shared" si="19"/>
        <v/>
      </c>
      <c r="AL44" s="69" t="str">
        <f t="shared" si="19"/>
        <v/>
      </c>
    </row>
    <row r="45" spans="1:260" s="55" customFormat="1" ht="10.8" x14ac:dyDescent="0.2">
      <c r="E45" s="56"/>
      <c r="F45" s="56"/>
      <c r="G45" s="136" t="s">
        <v>9</v>
      </c>
      <c r="H45" s="69" t="str">
        <f t="shared" ref="H45:AL45" si="20">IF(H$10="","",IF(H61=11,"OK",H61-11))</f>
        <v/>
      </c>
      <c r="I45" s="69" t="str">
        <f t="shared" si="20"/>
        <v/>
      </c>
      <c r="J45" s="69" t="str">
        <f t="shared" si="20"/>
        <v/>
      </c>
      <c r="K45" s="69" t="str">
        <f t="shared" si="20"/>
        <v/>
      </c>
      <c r="L45" s="69" t="str">
        <f t="shared" si="20"/>
        <v/>
      </c>
      <c r="M45" s="69" t="str">
        <f t="shared" si="20"/>
        <v/>
      </c>
      <c r="N45" s="69" t="str">
        <f t="shared" si="20"/>
        <v/>
      </c>
      <c r="O45" s="69" t="str">
        <f t="shared" si="20"/>
        <v/>
      </c>
      <c r="P45" s="69" t="str">
        <f t="shared" si="20"/>
        <v/>
      </c>
      <c r="Q45" s="69" t="str">
        <f t="shared" si="20"/>
        <v/>
      </c>
      <c r="R45" s="69" t="str">
        <f t="shared" si="20"/>
        <v/>
      </c>
      <c r="S45" s="69" t="str">
        <f t="shared" si="20"/>
        <v/>
      </c>
      <c r="T45" s="69" t="str">
        <f t="shared" si="20"/>
        <v/>
      </c>
      <c r="U45" s="69" t="str">
        <f t="shared" si="20"/>
        <v/>
      </c>
      <c r="V45" s="69" t="str">
        <f t="shared" si="20"/>
        <v/>
      </c>
      <c r="W45" s="69" t="str">
        <f t="shared" si="20"/>
        <v/>
      </c>
      <c r="X45" s="69" t="str">
        <f t="shared" si="20"/>
        <v/>
      </c>
      <c r="Y45" s="69" t="str">
        <f t="shared" si="20"/>
        <v/>
      </c>
      <c r="Z45" s="69" t="str">
        <f t="shared" si="20"/>
        <v/>
      </c>
      <c r="AA45" s="69" t="str">
        <f t="shared" si="20"/>
        <v/>
      </c>
      <c r="AB45" s="69" t="str">
        <f t="shared" si="20"/>
        <v/>
      </c>
      <c r="AC45" s="69" t="str">
        <f t="shared" si="20"/>
        <v/>
      </c>
      <c r="AD45" s="69" t="str">
        <f t="shared" si="20"/>
        <v/>
      </c>
      <c r="AE45" s="69" t="str">
        <f t="shared" si="20"/>
        <v/>
      </c>
      <c r="AF45" s="69" t="str">
        <f t="shared" si="20"/>
        <v/>
      </c>
      <c r="AG45" s="69" t="str">
        <f t="shared" si="20"/>
        <v/>
      </c>
      <c r="AH45" s="69" t="str">
        <f t="shared" si="20"/>
        <v/>
      </c>
      <c r="AI45" s="69" t="str">
        <f t="shared" si="20"/>
        <v/>
      </c>
      <c r="AJ45" s="69" t="str">
        <f t="shared" si="20"/>
        <v/>
      </c>
      <c r="AK45" s="69" t="str">
        <f t="shared" si="20"/>
        <v/>
      </c>
      <c r="AL45" s="69" t="str">
        <f t="shared" si="20"/>
        <v/>
      </c>
    </row>
    <row r="46" spans="1:260" ht="15.75" hidden="1" customHeight="1" x14ac:dyDescent="0.2">
      <c r="D46" s="54" t="s">
        <v>40</v>
      </c>
      <c r="E46" s="54" t="s">
        <v>41</v>
      </c>
      <c r="F46" s="54" t="s">
        <v>42</v>
      </c>
      <c r="G46" s="71" t="s">
        <v>30</v>
      </c>
      <c r="H46" s="176" t="s">
        <v>31</v>
      </c>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6"/>
      <c r="AJ46" s="176"/>
      <c r="AK46" s="176"/>
      <c r="AL46" s="176"/>
      <c r="BM46" s="1"/>
      <c r="BN46" s="1"/>
      <c r="BO46" s="1"/>
    </row>
    <row r="47" spans="1:260" ht="18" hidden="1" customHeight="1" x14ac:dyDescent="0.2">
      <c r="D47" s="41">
        <f>社員データ!U7</f>
        <v>8</v>
      </c>
      <c r="E47" s="41">
        <f>社員データ!V7</f>
        <v>0</v>
      </c>
      <c r="F47" s="41">
        <f>社員データ!W7</f>
        <v>0</v>
      </c>
      <c r="G47" s="72" t="str">
        <f>社員データ!T7</f>
        <v>1</v>
      </c>
      <c r="H47" s="41">
        <f t="shared" ref="H47:W58" si="21">COUNTIF(H$12:H$39,$G47)</f>
        <v>0</v>
      </c>
      <c r="I47" s="41">
        <f t="shared" si="21"/>
        <v>0</v>
      </c>
      <c r="J47" s="41">
        <f t="shared" si="21"/>
        <v>0</v>
      </c>
      <c r="K47" s="41">
        <f t="shared" si="21"/>
        <v>0</v>
      </c>
      <c r="L47" s="41">
        <f t="shared" si="21"/>
        <v>0</v>
      </c>
      <c r="M47" s="41">
        <f t="shared" si="21"/>
        <v>0</v>
      </c>
      <c r="N47" s="41">
        <f t="shared" si="21"/>
        <v>0</v>
      </c>
      <c r="O47" s="41">
        <f t="shared" si="21"/>
        <v>0</v>
      </c>
      <c r="P47" s="41">
        <f t="shared" si="21"/>
        <v>0</v>
      </c>
      <c r="Q47" s="41">
        <f t="shared" si="21"/>
        <v>0</v>
      </c>
      <c r="R47" s="41">
        <f t="shared" si="21"/>
        <v>0</v>
      </c>
      <c r="S47" s="41">
        <f t="shared" si="21"/>
        <v>0</v>
      </c>
      <c r="T47" s="41">
        <f t="shared" si="21"/>
        <v>0</v>
      </c>
      <c r="U47" s="41">
        <f t="shared" si="21"/>
        <v>0</v>
      </c>
      <c r="V47" s="41">
        <f t="shared" si="21"/>
        <v>0</v>
      </c>
      <c r="W47" s="41">
        <f t="shared" si="21"/>
        <v>0</v>
      </c>
      <c r="X47" s="41">
        <f t="shared" ref="X47:AL47" si="22">COUNTIF(X$12:X$39,$G47)</f>
        <v>0</v>
      </c>
      <c r="Y47" s="41">
        <f t="shared" si="22"/>
        <v>0</v>
      </c>
      <c r="Z47" s="41">
        <f t="shared" si="22"/>
        <v>0</v>
      </c>
      <c r="AA47" s="41">
        <f t="shared" si="22"/>
        <v>0</v>
      </c>
      <c r="AB47" s="41">
        <f t="shared" si="22"/>
        <v>0</v>
      </c>
      <c r="AC47" s="41">
        <f t="shared" si="22"/>
        <v>0</v>
      </c>
      <c r="AD47" s="41">
        <f t="shared" si="22"/>
        <v>0</v>
      </c>
      <c r="AE47" s="41">
        <f t="shared" si="22"/>
        <v>0</v>
      </c>
      <c r="AF47" s="41">
        <f t="shared" si="22"/>
        <v>0</v>
      </c>
      <c r="AG47" s="41">
        <f t="shared" si="22"/>
        <v>0</v>
      </c>
      <c r="AH47" s="41">
        <f t="shared" si="22"/>
        <v>0</v>
      </c>
      <c r="AI47" s="41">
        <f t="shared" si="22"/>
        <v>0</v>
      </c>
      <c r="AJ47" s="41">
        <f t="shared" si="22"/>
        <v>0</v>
      </c>
      <c r="AK47" s="41">
        <f t="shared" si="22"/>
        <v>0</v>
      </c>
      <c r="AL47" s="41">
        <f t="shared" si="22"/>
        <v>0</v>
      </c>
      <c r="AX47" s="47"/>
      <c r="AZ47" s="41"/>
      <c r="BM47" s="1"/>
      <c r="BN47" s="1"/>
      <c r="BO47" s="1"/>
    </row>
    <row r="48" spans="1:260" ht="18" hidden="1" customHeight="1" x14ac:dyDescent="0.2">
      <c r="D48" s="41">
        <f>社員データ!U8</f>
        <v>0</v>
      </c>
      <c r="E48" s="41">
        <f>社員データ!V8</f>
        <v>8</v>
      </c>
      <c r="F48" s="41">
        <f>社員データ!W8</f>
        <v>0</v>
      </c>
      <c r="G48" s="72" t="str">
        <f>社員データ!T8</f>
        <v>2</v>
      </c>
      <c r="H48" s="41">
        <f t="shared" si="21"/>
        <v>0</v>
      </c>
      <c r="I48" s="41">
        <f t="shared" ref="I48:AL55" si="23">COUNTIF(I$12:I$39,$G48)</f>
        <v>0</v>
      </c>
      <c r="J48" s="41">
        <f t="shared" si="23"/>
        <v>0</v>
      </c>
      <c r="K48" s="41">
        <f t="shared" si="23"/>
        <v>0</v>
      </c>
      <c r="L48" s="41">
        <f t="shared" si="23"/>
        <v>0</v>
      </c>
      <c r="M48" s="41">
        <f t="shared" si="23"/>
        <v>0</v>
      </c>
      <c r="N48" s="41">
        <f t="shared" si="23"/>
        <v>0</v>
      </c>
      <c r="O48" s="41">
        <f t="shared" si="23"/>
        <v>0</v>
      </c>
      <c r="P48" s="41">
        <f t="shared" si="23"/>
        <v>0</v>
      </c>
      <c r="Q48" s="41">
        <f t="shared" si="23"/>
        <v>0</v>
      </c>
      <c r="R48" s="41">
        <f t="shared" si="23"/>
        <v>0</v>
      </c>
      <c r="S48" s="41">
        <f t="shared" si="23"/>
        <v>0</v>
      </c>
      <c r="T48" s="41">
        <f t="shared" si="23"/>
        <v>0</v>
      </c>
      <c r="U48" s="41">
        <f t="shared" si="23"/>
        <v>0</v>
      </c>
      <c r="V48" s="41">
        <f t="shared" si="23"/>
        <v>0</v>
      </c>
      <c r="W48" s="41">
        <f t="shared" si="23"/>
        <v>0</v>
      </c>
      <c r="X48" s="41">
        <f t="shared" si="23"/>
        <v>0</v>
      </c>
      <c r="Y48" s="41">
        <f t="shared" si="23"/>
        <v>0</v>
      </c>
      <c r="Z48" s="41">
        <f t="shared" si="23"/>
        <v>0</v>
      </c>
      <c r="AA48" s="41">
        <f t="shared" si="23"/>
        <v>0</v>
      </c>
      <c r="AB48" s="41">
        <f t="shared" si="23"/>
        <v>0</v>
      </c>
      <c r="AC48" s="41">
        <f t="shared" si="23"/>
        <v>0</v>
      </c>
      <c r="AD48" s="41">
        <f t="shared" si="23"/>
        <v>0</v>
      </c>
      <c r="AE48" s="41">
        <f t="shared" si="23"/>
        <v>0</v>
      </c>
      <c r="AF48" s="41">
        <f t="shared" si="23"/>
        <v>0</v>
      </c>
      <c r="AG48" s="41">
        <f t="shared" si="23"/>
        <v>0</v>
      </c>
      <c r="AH48" s="41">
        <f t="shared" si="23"/>
        <v>0</v>
      </c>
      <c r="AI48" s="41">
        <f t="shared" si="23"/>
        <v>0</v>
      </c>
      <c r="AJ48" s="41">
        <f t="shared" si="23"/>
        <v>0</v>
      </c>
      <c r="AK48" s="41">
        <f t="shared" si="23"/>
        <v>0</v>
      </c>
      <c r="AL48" s="41">
        <f t="shared" si="23"/>
        <v>0</v>
      </c>
      <c r="AM48" s="48"/>
      <c r="AN48" s="48"/>
      <c r="AP48" s="48"/>
      <c r="AQ48" s="48"/>
      <c r="AR48" s="48"/>
      <c r="AS48" s="48"/>
      <c r="AT48" s="48"/>
      <c r="AU48" s="48"/>
      <c r="AV48" s="48"/>
      <c r="AW48" s="48"/>
      <c r="AX48" s="48"/>
      <c r="AY48" s="48"/>
      <c r="AZ48" s="48"/>
      <c r="BM48" s="1"/>
      <c r="BN48" s="1"/>
      <c r="BO48" s="1"/>
    </row>
    <row r="49" spans="4:67" ht="18" hidden="1" customHeight="1" x14ac:dyDescent="0.2">
      <c r="D49" s="41">
        <f>社員データ!U9</f>
        <v>0</v>
      </c>
      <c r="E49" s="41">
        <f>社員データ!V9</f>
        <v>0</v>
      </c>
      <c r="F49" s="41">
        <f>社員データ!W9</f>
        <v>8</v>
      </c>
      <c r="G49" s="72" t="str">
        <f>社員データ!T9</f>
        <v>3</v>
      </c>
      <c r="H49" s="41">
        <f t="shared" si="21"/>
        <v>0</v>
      </c>
      <c r="I49" s="41">
        <f t="shared" si="21"/>
        <v>0</v>
      </c>
      <c r="J49" s="41">
        <f t="shared" si="21"/>
        <v>0</v>
      </c>
      <c r="K49" s="41">
        <f t="shared" si="21"/>
        <v>0</v>
      </c>
      <c r="L49" s="41">
        <f t="shared" si="21"/>
        <v>0</v>
      </c>
      <c r="M49" s="41">
        <f t="shared" si="21"/>
        <v>0</v>
      </c>
      <c r="N49" s="41">
        <f t="shared" si="21"/>
        <v>0</v>
      </c>
      <c r="O49" s="41">
        <f t="shared" si="21"/>
        <v>0</v>
      </c>
      <c r="P49" s="41">
        <f t="shared" si="21"/>
        <v>0</v>
      </c>
      <c r="Q49" s="41">
        <f t="shared" si="21"/>
        <v>0</v>
      </c>
      <c r="R49" s="41">
        <f t="shared" si="21"/>
        <v>0</v>
      </c>
      <c r="S49" s="41">
        <f t="shared" si="21"/>
        <v>0</v>
      </c>
      <c r="T49" s="41">
        <f t="shared" si="21"/>
        <v>0</v>
      </c>
      <c r="U49" s="41">
        <f t="shared" si="21"/>
        <v>0</v>
      </c>
      <c r="V49" s="41">
        <f t="shared" si="21"/>
        <v>0</v>
      </c>
      <c r="W49" s="41">
        <f t="shared" si="21"/>
        <v>0</v>
      </c>
      <c r="X49" s="41">
        <f t="shared" si="23"/>
        <v>0</v>
      </c>
      <c r="Y49" s="41">
        <f t="shared" si="23"/>
        <v>0</v>
      </c>
      <c r="Z49" s="41">
        <f t="shared" si="23"/>
        <v>0</v>
      </c>
      <c r="AA49" s="41">
        <f t="shared" si="23"/>
        <v>0</v>
      </c>
      <c r="AB49" s="41">
        <f t="shared" si="23"/>
        <v>0</v>
      </c>
      <c r="AC49" s="41">
        <f t="shared" si="23"/>
        <v>0</v>
      </c>
      <c r="AD49" s="41">
        <f t="shared" si="23"/>
        <v>0</v>
      </c>
      <c r="AE49" s="41">
        <f t="shared" si="23"/>
        <v>0</v>
      </c>
      <c r="AF49" s="41">
        <f t="shared" si="23"/>
        <v>0</v>
      </c>
      <c r="AG49" s="41">
        <f t="shared" si="23"/>
        <v>0</v>
      </c>
      <c r="AH49" s="41">
        <f t="shared" si="23"/>
        <v>0</v>
      </c>
      <c r="AI49" s="41">
        <f t="shared" si="23"/>
        <v>0</v>
      </c>
      <c r="AJ49" s="41">
        <f t="shared" si="23"/>
        <v>0</v>
      </c>
      <c r="AK49" s="41">
        <f t="shared" si="23"/>
        <v>0</v>
      </c>
      <c r="AL49" s="41">
        <f t="shared" si="23"/>
        <v>0</v>
      </c>
      <c r="AM49" s="49"/>
      <c r="AN49" s="49"/>
      <c r="AP49" s="49"/>
      <c r="AQ49" s="49"/>
      <c r="AR49" s="49"/>
      <c r="AS49" s="49"/>
      <c r="AT49" s="49"/>
      <c r="AU49" s="49"/>
      <c r="AV49" s="49"/>
      <c r="AW49" s="49"/>
      <c r="AX49" s="49"/>
      <c r="AY49" s="49"/>
      <c r="AZ49" s="49"/>
      <c r="BM49" s="1"/>
      <c r="BN49" s="1"/>
      <c r="BO49" s="1"/>
    </row>
    <row r="50" spans="4:67" ht="18" hidden="1" customHeight="1" x14ac:dyDescent="0.2">
      <c r="D50" s="41">
        <f>社員データ!U10</f>
        <v>11</v>
      </c>
      <c r="E50" s="41">
        <f>社員データ!V10</f>
        <v>0</v>
      </c>
      <c r="F50" s="41">
        <f>社員データ!W10</f>
        <v>0</v>
      </c>
      <c r="G50" s="72" t="str">
        <f>社員データ!T10</f>
        <v>①</v>
      </c>
      <c r="H50" s="41">
        <f t="shared" si="21"/>
        <v>0</v>
      </c>
      <c r="I50" s="41">
        <f t="shared" si="23"/>
        <v>0</v>
      </c>
      <c r="J50" s="41">
        <f t="shared" si="23"/>
        <v>0</v>
      </c>
      <c r="K50" s="41">
        <f t="shared" si="23"/>
        <v>0</v>
      </c>
      <c r="L50" s="41">
        <f t="shared" si="23"/>
        <v>0</v>
      </c>
      <c r="M50" s="41">
        <f t="shared" si="23"/>
        <v>0</v>
      </c>
      <c r="N50" s="41">
        <f t="shared" si="23"/>
        <v>0</v>
      </c>
      <c r="O50" s="41">
        <f t="shared" si="23"/>
        <v>0</v>
      </c>
      <c r="P50" s="41">
        <f t="shared" si="23"/>
        <v>0</v>
      </c>
      <c r="Q50" s="41">
        <f t="shared" si="23"/>
        <v>0</v>
      </c>
      <c r="R50" s="41">
        <f t="shared" si="23"/>
        <v>0</v>
      </c>
      <c r="S50" s="41">
        <f t="shared" si="23"/>
        <v>0</v>
      </c>
      <c r="T50" s="41">
        <f t="shared" si="23"/>
        <v>0</v>
      </c>
      <c r="U50" s="41">
        <f t="shared" si="23"/>
        <v>0</v>
      </c>
      <c r="V50" s="41">
        <f t="shared" si="23"/>
        <v>0</v>
      </c>
      <c r="W50" s="41">
        <f t="shared" si="23"/>
        <v>0</v>
      </c>
      <c r="X50" s="41">
        <f t="shared" si="23"/>
        <v>0</v>
      </c>
      <c r="Y50" s="41">
        <f t="shared" si="23"/>
        <v>0</v>
      </c>
      <c r="Z50" s="41">
        <f t="shared" si="23"/>
        <v>0</v>
      </c>
      <c r="AA50" s="41">
        <f t="shared" si="23"/>
        <v>0</v>
      </c>
      <c r="AB50" s="41">
        <f t="shared" si="23"/>
        <v>0</v>
      </c>
      <c r="AC50" s="41">
        <f t="shared" si="23"/>
        <v>0</v>
      </c>
      <c r="AD50" s="41">
        <f t="shared" si="23"/>
        <v>0</v>
      </c>
      <c r="AE50" s="41">
        <f t="shared" si="23"/>
        <v>0</v>
      </c>
      <c r="AF50" s="41">
        <f t="shared" si="23"/>
        <v>0</v>
      </c>
      <c r="AG50" s="41">
        <f t="shared" si="23"/>
        <v>0</v>
      </c>
      <c r="AH50" s="41">
        <f t="shared" si="23"/>
        <v>0</v>
      </c>
      <c r="AI50" s="41">
        <f t="shared" si="23"/>
        <v>0</v>
      </c>
      <c r="AJ50" s="41">
        <f t="shared" si="23"/>
        <v>0</v>
      </c>
      <c r="AK50" s="41">
        <f t="shared" si="23"/>
        <v>0</v>
      </c>
      <c r="AL50" s="41">
        <f t="shared" si="23"/>
        <v>0</v>
      </c>
      <c r="AM50" s="49"/>
      <c r="AN50" s="49"/>
      <c r="AP50" s="49"/>
      <c r="AQ50" s="49"/>
      <c r="AR50" s="49"/>
      <c r="AS50" s="49"/>
      <c r="AT50" s="49"/>
      <c r="AU50" s="49"/>
      <c r="AV50" s="49"/>
      <c r="AW50" s="49"/>
      <c r="AX50" s="49"/>
      <c r="AY50" s="49"/>
      <c r="AZ50" s="49"/>
      <c r="BM50" s="1"/>
      <c r="BN50" s="1"/>
      <c r="BO50" s="1"/>
    </row>
    <row r="51" spans="4:67" ht="18" hidden="1" customHeight="1" x14ac:dyDescent="0.2">
      <c r="D51" s="41">
        <f>社員データ!U11</f>
        <v>0</v>
      </c>
      <c r="E51" s="41">
        <f>社員データ!V11</f>
        <v>11</v>
      </c>
      <c r="F51" s="41">
        <f>社員データ!W11</f>
        <v>3</v>
      </c>
      <c r="G51" s="72" t="str">
        <f>社員データ!T11</f>
        <v>②</v>
      </c>
      <c r="H51" s="41">
        <f t="shared" si="21"/>
        <v>0</v>
      </c>
      <c r="I51" s="41">
        <f t="shared" si="21"/>
        <v>0</v>
      </c>
      <c r="J51" s="41">
        <f t="shared" si="21"/>
        <v>0</v>
      </c>
      <c r="K51" s="41">
        <f t="shared" si="21"/>
        <v>0</v>
      </c>
      <c r="L51" s="41">
        <f t="shared" si="21"/>
        <v>0</v>
      </c>
      <c r="M51" s="41">
        <f t="shared" si="21"/>
        <v>0</v>
      </c>
      <c r="N51" s="41">
        <f t="shared" si="21"/>
        <v>0</v>
      </c>
      <c r="O51" s="41">
        <f t="shared" si="21"/>
        <v>0</v>
      </c>
      <c r="P51" s="41">
        <f t="shared" si="21"/>
        <v>0</v>
      </c>
      <c r="Q51" s="41">
        <f t="shared" si="21"/>
        <v>0</v>
      </c>
      <c r="R51" s="41">
        <f t="shared" si="21"/>
        <v>0</v>
      </c>
      <c r="S51" s="41">
        <f t="shared" si="21"/>
        <v>0</v>
      </c>
      <c r="T51" s="41">
        <f t="shared" si="21"/>
        <v>0</v>
      </c>
      <c r="U51" s="41">
        <f t="shared" si="21"/>
        <v>0</v>
      </c>
      <c r="V51" s="41">
        <f t="shared" si="21"/>
        <v>0</v>
      </c>
      <c r="W51" s="41">
        <f t="shared" si="21"/>
        <v>0</v>
      </c>
      <c r="X51" s="41">
        <f t="shared" si="23"/>
        <v>0</v>
      </c>
      <c r="Y51" s="41">
        <f t="shared" si="23"/>
        <v>0</v>
      </c>
      <c r="Z51" s="41">
        <f t="shared" si="23"/>
        <v>0</v>
      </c>
      <c r="AA51" s="41">
        <f t="shared" si="23"/>
        <v>0</v>
      </c>
      <c r="AB51" s="41">
        <f t="shared" si="23"/>
        <v>0</v>
      </c>
      <c r="AC51" s="41">
        <f t="shared" si="23"/>
        <v>0</v>
      </c>
      <c r="AD51" s="41">
        <f t="shared" si="23"/>
        <v>0</v>
      </c>
      <c r="AE51" s="41">
        <f t="shared" si="23"/>
        <v>0</v>
      </c>
      <c r="AF51" s="41">
        <f t="shared" si="23"/>
        <v>0</v>
      </c>
      <c r="AG51" s="41">
        <f t="shared" si="23"/>
        <v>0</v>
      </c>
      <c r="AH51" s="41">
        <f t="shared" si="23"/>
        <v>0</v>
      </c>
      <c r="AI51" s="41">
        <f t="shared" si="23"/>
        <v>0</v>
      </c>
      <c r="AJ51" s="41">
        <f t="shared" si="23"/>
        <v>0</v>
      </c>
      <c r="AK51" s="41">
        <f t="shared" si="23"/>
        <v>0</v>
      </c>
      <c r="AL51" s="41">
        <f t="shared" si="23"/>
        <v>0</v>
      </c>
      <c r="AM51" s="49"/>
      <c r="AN51" s="49"/>
      <c r="AP51" s="49"/>
      <c r="AQ51" s="49"/>
      <c r="AR51" s="49"/>
      <c r="AS51" s="49"/>
      <c r="AT51" s="49"/>
      <c r="AU51" s="49"/>
      <c r="AV51" s="49"/>
      <c r="AW51" s="49"/>
      <c r="AX51" s="49"/>
      <c r="AY51" s="49"/>
      <c r="AZ51" s="49"/>
      <c r="BM51" s="1"/>
      <c r="BN51" s="1"/>
      <c r="BO51" s="1"/>
    </row>
    <row r="52" spans="4:67" ht="18" hidden="1" customHeight="1" x14ac:dyDescent="0.2">
      <c r="D52" s="41">
        <f>社員データ!U12</f>
        <v>3</v>
      </c>
      <c r="E52" s="41">
        <f>社員データ!V12</f>
        <v>0</v>
      </c>
      <c r="F52" s="41">
        <f>社員データ!W12</f>
        <v>0</v>
      </c>
      <c r="G52" s="72" t="str">
        <f>社員データ!T12</f>
        <v>残1</v>
      </c>
      <c r="H52" s="41">
        <f t="shared" si="21"/>
        <v>0</v>
      </c>
      <c r="I52" s="41">
        <f t="shared" si="23"/>
        <v>0</v>
      </c>
      <c r="J52" s="41">
        <f t="shared" si="23"/>
        <v>0</v>
      </c>
      <c r="K52" s="41">
        <f t="shared" si="23"/>
        <v>0</v>
      </c>
      <c r="L52" s="41">
        <f t="shared" si="23"/>
        <v>0</v>
      </c>
      <c r="M52" s="41">
        <f t="shared" si="23"/>
        <v>0</v>
      </c>
      <c r="N52" s="41">
        <f t="shared" si="23"/>
        <v>0</v>
      </c>
      <c r="O52" s="41">
        <f t="shared" si="23"/>
        <v>0</v>
      </c>
      <c r="P52" s="41">
        <f t="shared" si="23"/>
        <v>0</v>
      </c>
      <c r="Q52" s="41">
        <f t="shared" si="23"/>
        <v>0</v>
      </c>
      <c r="R52" s="41">
        <f t="shared" si="23"/>
        <v>0</v>
      </c>
      <c r="S52" s="41">
        <f t="shared" si="23"/>
        <v>0</v>
      </c>
      <c r="T52" s="41">
        <f t="shared" si="23"/>
        <v>0</v>
      </c>
      <c r="U52" s="41">
        <f t="shared" si="23"/>
        <v>0</v>
      </c>
      <c r="V52" s="41">
        <f t="shared" si="23"/>
        <v>0</v>
      </c>
      <c r="W52" s="41">
        <f t="shared" si="23"/>
        <v>0</v>
      </c>
      <c r="X52" s="41">
        <f t="shared" si="23"/>
        <v>0</v>
      </c>
      <c r="Y52" s="41">
        <f t="shared" si="23"/>
        <v>0</v>
      </c>
      <c r="Z52" s="41">
        <f t="shared" si="23"/>
        <v>0</v>
      </c>
      <c r="AA52" s="41">
        <f t="shared" si="23"/>
        <v>0</v>
      </c>
      <c r="AB52" s="41">
        <f t="shared" si="23"/>
        <v>0</v>
      </c>
      <c r="AC52" s="41">
        <f t="shared" si="23"/>
        <v>0</v>
      </c>
      <c r="AD52" s="41">
        <f t="shared" si="23"/>
        <v>0</v>
      </c>
      <c r="AE52" s="41">
        <f t="shared" si="23"/>
        <v>0</v>
      </c>
      <c r="AF52" s="41">
        <f t="shared" si="23"/>
        <v>0</v>
      </c>
      <c r="AG52" s="41">
        <f t="shared" si="23"/>
        <v>0</v>
      </c>
      <c r="AH52" s="41">
        <f t="shared" si="23"/>
        <v>0</v>
      </c>
      <c r="AI52" s="41">
        <f t="shared" si="23"/>
        <v>0</v>
      </c>
      <c r="AJ52" s="41">
        <f t="shared" si="23"/>
        <v>0</v>
      </c>
      <c r="AK52" s="41">
        <f t="shared" si="23"/>
        <v>0</v>
      </c>
      <c r="AL52" s="41">
        <f t="shared" si="23"/>
        <v>0</v>
      </c>
      <c r="AM52" s="49"/>
      <c r="AN52" s="49"/>
      <c r="AP52" s="49"/>
      <c r="AQ52" s="49"/>
      <c r="AR52" s="49"/>
      <c r="AS52" s="49"/>
      <c r="AT52" s="49"/>
      <c r="AU52" s="49"/>
      <c r="AV52" s="49"/>
      <c r="AW52" s="49"/>
      <c r="AX52" s="49"/>
      <c r="AY52" s="49"/>
      <c r="AZ52" s="49"/>
      <c r="BM52" s="1"/>
      <c r="BN52" s="1"/>
      <c r="BO52" s="1"/>
    </row>
    <row r="53" spans="4:67" ht="18" hidden="1" customHeight="1" x14ac:dyDescent="0.2">
      <c r="D53" s="41">
        <f>社員データ!U13</f>
        <v>0</v>
      </c>
      <c r="E53" s="41">
        <f>社員データ!V13</f>
        <v>3</v>
      </c>
      <c r="F53" s="41">
        <f>社員データ!W13</f>
        <v>3</v>
      </c>
      <c r="G53" s="72" t="str">
        <f>社員データ!T13</f>
        <v>残2</v>
      </c>
      <c r="H53" s="41">
        <f t="shared" si="21"/>
        <v>0</v>
      </c>
      <c r="I53" s="41">
        <f t="shared" si="21"/>
        <v>0</v>
      </c>
      <c r="J53" s="41">
        <f t="shared" si="21"/>
        <v>0</v>
      </c>
      <c r="K53" s="41">
        <f t="shared" si="21"/>
        <v>0</v>
      </c>
      <c r="L53" s="41">
        <f t="shared" si="21"/>
        <v>0</v>
      </c>
      <c r="M53" s="41">
        <f t="shared" si="21"/>
        <v>0</v>
      </c>
      <c r="N53" s="41">
        <f t="shared" si="21"/>
        <v>0</v>
      </c>
      <c r="O53" s="41">
        <f t="shared" si="21"/>
        <v>0</v>
      </c>
      <c r="P53" s="41">
        <f t="shared" si="21"/>
        <v>0</v>
      </c>
      <c r="Q53" s="41">
        <f t="shared" si="21"/>
        <v>0</v>
      </c>
      <c r="R53" s="41">
        <f t="shared" si="21"/>
        <v>0</v>
      </c>
      <c r="S53" s="41">
        <f t="shared" si="21"/>
        <v>0</v>
      </c>
      <c r="T53" s="41">
        <f t="shared" si="21"/>
        <v>0</v>
      </c>
      <c r="U53" s="41">
        <f t="shared" si="21"/>
        <v>0</v>
      </c>
      <c r="V53" s="41">
        <f t="shared" si="21"/>
        <v>0</v>
      </c>
      <c r="W53" s="41">
        <f t="shared" si="21"/>
        <v>0</v>
      </c>
      <c r="X53" s="41">
        <f t="shared" si="23"/>
        <v>0</v>
      </c>
      <c r="Y53" s="41">
        <f t="shared" si="23"/>
        <v>0</v>
      </c>
      <c r="Z53" s="41">
        <f t="shared" si="23"/>
        <v>0</v>
      </c>
      <c r="AA53" s="41">
        <f t="shared" si="23"/>
        <v>0</v>
      </c>
      <c r="AB53" s="41">
        <f t="shared" si="23"/>
        <v>0</v>
      </c>
      <c r="AC53" s="41">
        <f t="shared" si="23"/>
        <v>0</v>
      </c>
      <c r="AD53" s="41">
        <f t="shared" si="23"/>
        <v>0</v>
      </c>
      <c r="AE53" s="41">
        <f t="shared" si="23"/>
        <v>0</v>
      </c>
      <c r="AF53" s="41">
        <f t="shared" si="23"/>
        <v>0</v>
      </c>
      <c r="AG53" s="41">
        <f t="shared" si="23"/>
        <v>0</v>
      </c>
      <c r="AH53" s="41">
        <f t="shared" si="23"/>
        <v>0</v>
      </c>
      <c r="AI53" s="41">
        <f t="shared" si="23"/>
        <v>0</v>
      </c>
      <c r="AJ53" s="41">
        <f t="shared" si="23"/>
        <v>0</v>
      </c>
      <c r="AK53" s="41">
        <f t="shared" si="23"/>
        <v>0</v>
      </c>
      <c r="AL53" s="41">
        <f t="shared" si="23"/>
        <v>0</v>
      </c>
      <c r="AM53" s="49"/>
      <c r="AN53" s="49"/>
      <c r="AP53" s="49"/>
      <c r="AQ53" s="49"/>
      <c r="AR53" s="49"/>
      <c r="AS53" s="49"/>
      <c r="AT53" s="49"/>
      <c r="AU53" s="49"/>
      <c r="AV53" s="49"/>
      <c r="AW53" s="49"/>
      <c r="AX53" s="49"/>
      <c r="AY53" s="49"/>
      <c r="AZ53" s="49"/>
      <c r="BM53" s="1"/>
      <c r="BN53" s="1"/>
      <c r="BO53" s="1"/>
    </row>
    <row r="54" spans="4:67" ht="18" hidden="1" customHeight="1" x14ac:dyDescent="0.2">
      <c r="D54" s="41">
        <f>社員データ!U14</f>
        <v>3</v>
      </c>
      <c r="E54" s="41">
        <f>社員データ!V14</f>
        <v>0</v>
      </c>
      <c r="F54" s="41">
        <f>社員データ!W14</f>
        <v>8</v>
      </c>
      <c r="G54" s="72" t="str">
        <f>社員データ!T14</f>
        <v>3残1</v>
      </c>
      <c r="H54" s="41">
        <f t="shared" si="21"/>
        <v>0</v>
      </c>
      <c r="I54" s="41">
        <f t="shared" si="23"/>
        <v>0</v>
      </c>
      <c r="J54" s="41">
        <f t="shared" si="23"/>
        <v>0</v>
      </c>
      <c r="K54" s="41">
        <f t="shared" si="23"/>
        <v>0</v>
      </c>
      <c r="L54" s="41">
        <f t="shared" si="23"/>
        <v>0</v>
      </c>
      <c r="M54" s="41">
        <f t="shared" si="23"/>
        <v>0</v>
      </c>
      <c r="N54" s="41">
        <f t="shared" si="23"/>
        <v>0</v>
      </c>
      <c r="O54" s="41">
        <f t="shared" si="23"/>
        <v>0</v>
      </c>
      <c r="P54" s="41">
        <f t="shared" si="23"/>
        <v>0</v>
      </c>
      <c r="Q54" s="41">
        <f t="shared" si="23"/>
        <v>0</v>
      </c>
      <c r="R54" s="41">
        <f t="shared" si="23"/>
        <v>0</v>
      </c>
      <c r="S54" s="41">
        <f t="shared" si="23"/>
        <v>0</v>
      </c>
      <c r="T54" s="41">
        <f t="shared" si="23"/>
        <v>0</v>
      </c>
      <c r="U54" s="41">
        <f t="shared" si="23"/>
        <v>0</v>
      </c>
      <c r="V54" s="41">
        <f t="shared" si="23"/>
        <v>0</v>
      </c>
      <c r="W54" s="41">
        <f t="shared" si="23"/>
        <v>0</v>
      </c>
      <c r="X54" s="41">
        <f t="shared" si="23"/>
        <v>0</v>
      </c>
      <c r="Y54" s="41">
        <f t="shared" si="23"/>
        <v>0</v>
      </c>
      <c r="Z54" s="41">
        <f t="shared" si="23"/>
        <v>0</v>
      </c>
      <c r="AA54" s="41">
        <f t="shared" si="23"/>
        <v>0</v>
      </c>
      <c r="AB54" s="41">
        <f t="shared" si="23"/>
        <v>0</v>
      </c>
      <c r="AC54" s="41">
        <f t="shared" si="23"/>
        <v>0</v>
      </c>
      <c r="AD54" s="41">
        <f t="shared" si="23"/>
        <v>0</v>
      </c>
      <c r="AE54" s="41">
        <f t="shared" si="23"/>
        <v>0</v>
      </c>
      <c r="AF54" s="41">
        <f t="shared" si="23"/>
        <v>0</v>
      </c>
      <c r="AG54" s="41">
        <f t="shared" si="23"/>
        <v>0</v>
      </c>
      <c r="AH54" s="41">
        <f t="shared" si="23"/>
        <v>0</v>
      </c>
      <c r="AI54" s="41">
        <f t="shared" si="23"/>
        <v>0</v>
      </c>
      <c r="AJ54" s="41">
        <f t="shared" si="23"/>
        <v>0</v>
      </c>
      <c r="AK54" s="41">
        <f t="shared" si="23"/>
        <v>0</v>
      </c>
      <c r="AL54" s="41">
        <f t="shared" si="23"/>
        <v>0</v>
      </c>
      <c r="AM54" s="49"/>
      <c r="AN54" s="49"/>
      <c r="AP54" s="49"/>
      <c r="AQ54" s="49"/>
      <c r="AR54" s="49"/>
      <c r="AS54" s="49"/>
      <c r="AT54" s="49"/>
      <c r="AU54" s="49"/>
      <c r="AV54" s="49"/>
      <c r="AW54" s="49"/>
      <c r="AX54" s="49"/>
      <c r="AY54" s="49"/>
      <c r="AZ54" s="49"/>
      <c r="BM54" s="1"/>
      <c r="BN54" s="1"/>
      <c r="BO54" s="1"/>
    </row>
    <row r="55" spans="4:67" ht="18" hidden="1" customHeight="1" x14ac:dyDescent="0.2">
      <c r="D55" s="41">
        <f>社員データ!U15</f>
        <v>0</v>
      </c>
      <c r="E55" s="41">
        <f>社員データ!V15</f>
        <v>3</v>
      </c>
      <c r="F55" s="41">
        <f>社員データ!W15</f>
        <v>8</v>
      </c>
      <c r="G55" s="72" t="str">
        <f>社員データ!T15</f>
        <v>3残2</v>
      </c>
      <c r="H55" s="41">
        <f t="shared" si="21"/>
        <v>0</v>
      </c>
      <c r="I55" s="41">
        <f t="shared" si="21"/>
        <v>0</v>
      </c>
      <c r="J55" s="41">
        <f t="shared" si="21"/>
        <v>0</v>
      </c>
      <c r="K55" s="41">
        <f t="shared" si="21"/>
        <v>0</v>
      </c>
      <c r="L55" s="41">
        <f t="shared" si="21"/>
        <v>0</v>
      </c>
      <c r="M55" s="41">
        <f t="shared" si="21"/>
        <v>0</v>
      </c>
      <c r="N55" s="41">
        <f t="shared" si="21"/>
        <v>0</v>
      </c>
      <c r="O55" s="41">
        <f t="shared" si="21"/>
        <v>0</v>
      </c>
      <c r="P55" s="41">
        <f t="shared" si="21"/>
        <v>0</v>
      </c>
      <c r="Q55" s="41">
        <f t="shared" si="21"/>
        <v>0</v>
      </c>
      <c r="R55" s="41">
        <f t="shared" si="21"/>
        <v>0</v>
      </c>
      <c r="S55" s="41">
        <f t="shared" si="21"/>
        <v>0</v>
      </c>
      <c r="T55" s="41">
        <f t="shared" si="21"/>
        <v>0</v>
      </c>
      <c r="U55" s="41">
        <f t="shared" si="21"/>
        <v>0</v>
      </c>
      <c r="V55" s="41">
        <f t="shared" si="21"/>
        <v>0</v>
      </c>
      <c r="W55" s="41">
        <f t="shared" si="21"/>
        <v>0</v>
      </c>
      <c r="X55" s="41">
        <f t="shared" si="23"/>
        <v>0</v>
      </c>
      <c r="Y55" s="41">
        <f t="shared" si="23"/>
        <v>0</v>
      </c>
      <c r="Z55" s="41">
        <f t="shared" si="23"/>
        <v>0</v>
      </c>
      <c r="AA55" s="41">
        <f t="shared" si="23"/>
        <v>0</v>
      </c>
      <c r="AB55" s="41">
        <f t="shared" si="23"/>
        <v>0</v>
      </c>
      <c r="AC55" s="41">
        <f t="shared" si="23"/>
        <v>0</v>
      </c>
      <c r="AD55" s="41">
        <f t="shared" si="23"/>
        <v>0</v>
      </c>
      <c r="AE55" s="41">
        <f t="shared" si="23"/>
        <v>0</v>
      </c>
      <c r="AF55" s="41">
        <f t="shared" si="23"/>
        <v>0</v>
      </c>
      <c r="AG55" s="41">
        <f t="shared" si="23"/>
        <v>0</v>
      </c>
      <c r="AH55" s="41">
        <f t="shared" si="23"/>
        <v>0</v>
      </c>
      <c r="AI55" s="41">
        <f t="shared" si="23"/>
        <v>0</v>
      </c>
      <c r="AJ55" s="41">
        <f t="shared" si="23"/>
        <v>0</v>
      </c>
      <c r="AK55" s="41">
        <f t="shared" si="23"/>
        <v>0</v>
      </c>
      <c r="AL55" s="41">
        <f t="shared" si="23"/>
        <v>0</v>
      </c>
      <c r="AM55" s="49"/>
      <c r="AN55" s="49"/>
      <c r="AP55" s="49"/>
      <c r="AQ55" s="49"/>
      <c r="AR55" s="49"/>
      <c r="AS55" s="49"/>
      <c r="AT55" s="49"/>
      <c r="AU55" s="49"/>
      <c r="AV55" s="49"/>
      <c r="AW55" s="49"/>
      <c r="AX55" s="49"/>
      <c r="AY55" s="49"/>
      <c r="AZ55" s="49"/>
      <c r="BM55" s="1"/>
      <c r="BN55" s="1"/>
      <c r="BO55" s="1"/>
    </row>
    <row r="56" spans="4:67" ht="18" hidden="1" customHeight="1" x14ac:dyDescent="0.2">
      <c r="D56" s="41">
        <f>社員データ!U16</f>
        <v>3</v>
      </c>
      <c r="E56" s="41">
        <f>社員データ!V16</f>
        <v>0</v>
      </c>
      <c r="F56" s="41">
        <f>社員データ!W16</f>
        <v>0</v>
      </c>
      <c r="G56" s="72" t="str">
        <f>社員データ!T16</f>
        <v>S残1</v>
      </c>
      <c r="H56" s="41">
        <f t="shared" si="21"/>
        <v>0</v>
      </c>
      <c r="I56" s="41">
        <f t="shared" si="21"/>
        <v>0</v>
      </c>
      <c r="J56" s="41">
        <f t="shared" si="21"/>
        <v>0</v>
      </c>
      <c r="K56" s="41">
        <f t="shared" si="21"/>
        <v>0</v>
      </c>
      <c r="L56" s="41">
        <f t="shared" si="21"/>
        <v>0</v>
      </c>
      <c r="M56" s="41">
        <f t="shared" si="21"/>
        <v>0</v>
      </c>
      <c r="N56" s="41">
        <f t="shared" si="21"/>
        <v>0</v>
      </c>
      <c r="O56" s="41">
        <f t="shared" si="21"/>
        <v>0</v>
      </c>
      <c r="P56" s="41">
        <f t="shared" si="21"/>
        <v>0</v>
      </c>
      <c r="Q56" s="41">
        <f t="shared" si="21"/>
        <v>0</v>
      </c>
      <c r="R56" s="41">
        <f t="shared" si="21"/>
        <v>0</v>
      </c>
      <c r="S56" s="41">
        <f t="shared" si="21"/>
        <v>0</v>
      </c>
      <c r="T56" s="41">
        <f t="shared" si="21"/>
        <v>0</v>
      </c>
      <c r="U56" s="41">
        <f t="shared" si="21"/>
        <v>0</v>
      </c>
      <c r="V56" s="41">
        <f t="shared" si="21"/>
        <v>0</v>
      </c>
      <c r="W56" s="41">
        <f t="shared" si="21"/>
        <v>0</v>
      </c>
      <c r="X56" s="41">
        <f t="shared" ref="X56:AL58" si="24">COUNTIF(X$12:X$39,$G56)</f>
        <v>0</v>
      </c>
      <c r="Y56" s="41">
        <f t="shared" si="24"/>
        <v>0</v>
      </c>
      <c r="Z56" s="41">
        <f t="shared" si="24"/>
        <v>0</v>
      </c>
      <c r="AA56" s="41">
        <f t="shared" si="24"/>
        <v>0</v>
      </c>
      <c r="AB56" s="41">
        <f t="shared" si="24"/>
        <v>0</v>
      </c>
      <c r="AC56" s="41">
        <f t="shared" si="24"/>
        <v>0</v>
      </c>
      <c r="AD56" s="41">
        <f t="shared" si="24"/>
        <v>0</v>
      </c>
      <c r="AE56" s="41">
        <f t="shared" si="24"/>
        <v>0</v>
      </c>
      <c r="AF56" s="41">
        <f t="shared" si="24"/>
        <v>0</v>
      </c>
      <c r="AG56" s="41">
        <f t="shared" si="24"/>
        <v>0</v>
      </c>
      <c r="AH56" s="41">
        <f t="shared" si="24"/>
        <v>0</v>
      </c>
      <c r="AI56" s="41">
        <f t="shared" si="24"/>
        <v>0</v>
      </c>
      <c r="AJ56" s="41">
        <f t="shared" si="24"/>
        <v>0</v>
      </c>
      <c r="AK56" s="41">
        <f t="shared" si="24"/>
        <v>0</v>
      </c>
      <c r="AL56" s="41">
        <f t="shared" si="24"/>
        <v>0</v>
      </c>
      <c r="BM56" s="1"/>
      <c r="BN56" s="1"/>
      <c r="BO56" s="1"/>
    </row>
    <row r="57" spans="4:67" ht="15.75" hidden="1" customHeight="1" x14ac:dyDescent="0.2">
      <c r="D57" s="41">
        <f>社員データ!U17</f>
        <v>0</v>
      </c>
      <c r="E57" s="41">
        <f>社員データ!V17</f>
        <v>3</v>
      </c>
      <c r="F57" s="41">
        <f>社員データ!W17</f>
        <v>0</v>
      </c>
      <c r="G57" s="72" t="str">
        <f>社員データ!T17</f>
        <v>S残2</v>
      </c>
      <c r="H57" s="41">
        <f t="shared" si="21"/>
        <v>0</v>
      </c>
      <c r="I57" s="41">
        <f t="shared" si="21"/>
        <v>0</v>
      </c>
      <c r="J57" s="41">
        <f t="shared" si="21"/>
        <v>0</v>
      </c>
      <c r="K57" s="41">
        <f t="shared" si="21"/>
        <v>0</v>
      </c>
      <c r="L57" s="41">
        <f t="shared" si="21"/>
        <v>0</v>
      </c>
      <c r="M57" s="41">
        <f t="shared" si="21"/>
        <v>0</v>
      </c>
      <c r="N57" s="41">
        <f t="shared" si="21"/>
        <v>0</v>
      </c>
      <c r="O57" s="41">
        <f t="shared" si="21"/>
        <v>0</v>
      </c>
      <c r="P57" s="41">
        <f t="shared" si="21"/>
        <v>0</v>
      </c>
      <c r="Q57" s="41">
        <f t="shared" si="21"/>
        <v>0</v>
      </c>
      <c r="R57" s="41">
        <f t="shared" si="21"/>
        <v>0</v>
      </c>
      <c r="S57" s="41">
        <f t="shared" si="21"/>
        <v>0</v>
      </c>
      <c r="T57" s="41">
        <f t="shared" si="21"/>
        <v>0</v>
      </c>
      <c r="U57" s="41">
        <f t="shared" si="21"/>
        <v>0</v>
      </c>
      <c r="V57" s="41">
        <f t="shared" si="21"/>
        <v>0</v>
      </c>
      <c r="W57" s="41">
        <f t="shared" si="21"/>
        <v>0</v>
      </c>
      <c r="X57" s="41">
        <f t="shared" si="24"/>
        <v>0</v>
      </c>
      <c r="Y57" s="41">
        <f t="shared" si="24"/>
        <v>0</v>
      </c>
      <c r="Z57" s="41">
        <f t="shared" si="24"/>
        <v>0</v>
      </c>
      <c r="AA57" s="41">
        <f t="shared" si="24"/>
        <v>0</v>
      </c>
      <c r="AB57" s="41">
        <f t="shared" si="24"/>
        <v>0</v>
      </c>
      <c r="AC57" s="41">
        <f t="shared" si="24"/>
        <v>0</v>
      </c>
      <c r="AD57" s="41">
        <f t="shared" si="24"/>
        <v>0</v>
      </c>
      <c r="AE57" s="41">
        <f t="shared" si="24"/>
        <v>0</v>
      </c>
      <c r="AF57" s="41">
        <f t="shared" si="24"/>
        <v>0</v>
      </c>
      <c r="AG57" s="41">
        <f t="shared" si="24"/>
        <v>0</v>
      </c>
      <c r="AH57" s="41">
        <f t="shared" si="24"/>
        <v>0</v>
      </c>
      <c r="AI57" s="41">
        <f t="shared" si="24"/>
        <v>0</v>
      </c>
      <c r="AJ57" s="41">
        <f t="shared" si="24"/>
        <v>0</v>
      </c>
      <c r="AK57" s="41">
        <f t="shared" si="24"/>
        <v>0</v>
      </c>
      <c r="AL57" s="41">
        <f t="shared" si="24"/>
        <v>0</v>
      </c>
    </row>
    <row r="58" spans="4:67" ht="15.75" hidden="1" customHeight="1" x14ac:dyDescent="0.2">
      <c r="D58" s="2"/>
      <c r="G58" s="72" t="str">
        <f>社員データ!T26</f>
        <v>休希</v>
      </c>
      <c r="H58" s="41">
        <f t="shared" si="21"/>
        <v>0</v>
      </c>
      <c r="I58" s="41">
        <f t="shared" si="21"/>
        <v>0</v>
      </c>
      <c r="J58" s="41">
        <f t="shared" si="21"/>
        <v>0</v>
      </c>
      <c r="K58" s="41">
        <f t="shared" si="21"/>
        <v>0</v>
      </c>
      <c r="L58" s="41">
        <f t="shared" si="21"/>
        <v>0</v>
      </c>
      <c r="M58" s="41">
        <f t="shared" si="21"/>
        <v>0</v>
      </c>
      <c r="N58" s="41">
        <f t="shared" si="21"/>
        <v>0</v>
      </c>
      <c r="O58" s="41">
        <f t="shared" si="21"/>
        <v>0</v>
      </c>
      <c r="P58" s="41">
        <f t="shared" si="21"/>
        <v>0</v>
      </c>
      <c r="Q58" s="41">
        <f t="shared" si="21"/>
        <v>0</v>
      </c>
      <c r="R58" s="41">
        <f t="shared" si="21"/>
        <v>0</v>
      </c>
      <c r="S58" s="41">
        <f t="shared" si="21"/>
        <v>0</v>
      </c>
      <c r="T58" s="41">
        <f t="shared" si="21"/>
        <v>0</v>
      </c>
      <c r="U58" s="41">
        <f t="shared" si="21"/>
        <v>0</v>
      </c>
      <c r="V58" s="41">
        <f t="shared" si="21"/>
        <v>0</v>
      </c>
      <c r="W58" s="41">
        <f t="shared" si="21"/>
        <v>0</v>
      </c>
      <c r="X58" s="41">
        <f t="shared" si="24"/>
        <v>0</v>
      </c>
      <c r="Y58" s="41">
        <f t="shared" si="24"/>
        <v>0</v>
      </c>
      <c r="Z58" s="41">
        <f t="shared" si="24"/>
        <v>0</v>
      </c>
      <c r="AA58" s="41">
        <f t="shared" si="24"/>
        <v>0</v>
      </c>
      <c r="AB58" s="41">
        <f t="shared" si="24"/>
        <v>0</v>
      </c>
      <c r="AC58" s="41">
        <f t="shared" si="24"/>
        <v>0</v>
      </c>
      <c r="AD58" s="41">
        <f t="shared" si="24"/>
        <v>0</v>
      </c>
      <c r="AE58" s="41">
        <f t="shared" si="24"/>
        <v>0</v>
      </c>
      <c r="AF58" s="41">
        <f t="shared" si="24"/>
        <v>0</v>
      </c>
      <c r="AG58" s="41">
        <f t="shared" si="24"/>
        <v>0</v>
      </c>
      <c r="AH58" s="41">
        <f t="shared" si="24"/>
        <v>0</v>
      </c>
      <c r="AI58" s="41">
        <f t="shared" si="24"/>
        <v>0</v>
      </c>
      <c r="AJ58" s="41">
        <f t="shared" si="24"/>
        <v>0</v>
      </c>
      <c r="AK58" s="41">
        <f t="shared" si="24"/>
        <v>0</v>
      </c>
      <c r="AL58" s="41">
        <f t="shared" si="24"/>
        <v>0</v>
      </c>
    </row>
    <row r="59" spans="4:67" ht="15.75" hidden="1" customHeight="1" x14ac:dyDescent="0.2">
      <c r="G59" s="79" t="s">
        <v>53</v>
      </c>
      <c r="H59" s="78">
        <f>H$47*$D$47+H$48*$D$48+H$49*$D$49+H$50*$D$50+H$51*$D$51+H$52*$D$52+H$53*$D$53+H$54*$D$54+H$55*$D$55+H$56*$D$56+H$57*$D$57</f>
        <v>0</v>
      </c>
      <c r="I59" s="78">
        <f>I$47*$D$47+I$48*$D$48+I$49*$D$49+I$50*$D$50+I$51*$D$51+I$52*$D$52+I$53*$D$53+I$54*$D$54+I$55*$D$55+I$56*$D$56+I$57*$D$57</f>
        <v>0</v>
      </c>
      <c r="J59" s="78">
        <f>J$47*$D$47+J$48*$D$48+J$49*$D$49+J$50*$D$50+J$51*$D$51+J$52*$D$52+J$53*$D$53+J$54*$D$54+J$55*$D$55+J$56*$D$56+J$57*$D$57</f>
        <v>0</v>
      </c>
      <c r="K59" s="78">
        <f>K$47*$D$47+K$48*$D$48+K$49*$D$49+K$50*$D$50+K$51*$D$51+K$52*$D$52+K$53*$D$53+K$54*$D$54+K$55*$D$55+K$56*$D$56+K$57*$D$57</f>
        <v>0</v>
      </c>
      <c r="L59" s="78">
        <f t="shared" ref="L59:AL59" si="25">L$47*$D$47+L$48*$D$48+L$49*$D$49+L$50*$D$50+L$51*$D$51+L$52*$D$52+L$53*$D$53+L$54*$D$54+L$55*$D$55+L$56*$D$56+L$57*$D$57</f>
        <v>0</v>
      </c>
      <c r="M59" s="78">
        <f t="shared" si="25"/>
        <v>0</v>
      </c>
      <c r="N59" s="78">
        <f t="shared" si="25"/>
        <v>0</v>
      </c>
      <c r="O59" s="78">
        <f t="shared" si="25"/>
        <v>0</v>
      </c>
      <c r="P59" s="78">
        <f t="shared" si="25"/>
        <v>0</v>
      </c>
      <c r="Q59" s="78">
        <f t="shared" si="25"/>
        <v>0</v>
      </c>
      <c r="R59" s="78">
        <f t="shared" si="25"/>
        <v>0</v>
      </c>
      <c r="S59" s="78">
        <f t="shared" si="25"/>
        <v>0</v>
      </c>
      <c r="T59" s="78">
        <f t="shared" si="25"/>
        <v>0</v>
      </c>
      <c r="U59" s="78">
        <f t="shared" si="25"/>
        <v>0</v>
      </c>
      <c r="V59" s="78">
        <f t="shared" si="25"/>
        <v>0</v>
      </c>
      <c r="W59" s="78">
        <f t="shared" si="25"/>
        <v>0</v>
      </c>
      <c r="X59" s="78">
        <f t="shared" si="25"/>
        <v>0</v>
      </c>
      <c r="Y59" s="78">
        <f t="shared" si="25"/>
        <v>0</v>
      </c>
      <c r="Z59" s="78">
        <f t="shared" si="25"/>
        <v>0</v>
      </c>
      <c r="AA59" s="78">
        <f t="shared" si="25"/>
        <v>0</v>
      </c>
      <c r="AB59" s="78">
        <f t="shared" si="25"/>
        <v>0</v>
      </c>
      <c r="AC59" s="78">
        <f t="shared" si="25"/>
        <v>0</v>
      </c>
      <c r="AD59" s="78">
        <f t="shared" si="25"/>
        <v>0</v>
      </c>
      <c r="AE59" s="78">
        <f t="shared" si="25"/>
        <v>0</v>
      </c>
      <c r="AF59" s="78">
        <f t="shared" si="25"/>
        <v>0</v>
      </c>
      <c r="AG59" s="78">
        <f t="shared" si="25"/>
        <v>0</v>
      </c>
      <c r="AH59" s="78">
        <f t="shared" si="25"/>
        <v>0</v>
      </c>
      <c r="AI59" s="78">
        <f t="shared" si="25"/>
        <v>0</v>
      </c>
      <c r="AJ59" s="78">
        <f t="shared" si="25"/>
        <v>0</v>
      </c>
      <c r="AK59" s="78">
        <f t="shared" si="25"/>
        <v>0</v>
      </c>
      <c r="AL59" s="78">
        <f t="shared" si="25"/>
        <v>0</v>
      </c>
    </row>
    <row r="60" spans="4:67" hidden="1" x14ac:dyDescent="0.2">
      <c r="G60" s="79" t="s">
        <v>54</v>
      </c>
      <c r="H60" s="78">
        <f>H47*$E$47+H48*$E$48+H49*$E$49+H50*$E$50+H51*$E$51+H52*$E$52+H53*$E$53+H54*$E$54+H55*$E$55+H56*$E$56+H57*$E$57</f>
        <v>0</v>
      </c>
      <c r="I60" s="78">
        <f t="shared" ref="I60:AL60" si="26">I47*$E$47+I48*$E$48+I49*$E$49+I50*$E$50+I51*$E$51+I52*$E$52+I53*$E$53+I54*$E$54+I55*$E$55+I56*$E$56+I57*$E$57</f>
        <v>0</v>
      </c>
      <c r="J60" s="78">
        <f t="shared" si="26"/>
        <v>0</v>
      </c>
      <c r="K60" s="78">
        <f t="shared" si="26"/>
        <v>0</v>
      </c>
      <c r="L60" s="78">
        <f t="shared" si="26"/>
        <v>0</v>
      </c>
      <c r="M60" s="78">
        <f t="shared" si="26"/>
        <v>0</v>
      </c>
      <c r="N60" s="78">
        <f t="shared" si="26"/>
        <v>0</v>
      </c>
      <c r="O60" s="78">
        <f t="shared" si="26"/>
        <v>0</v>
      </c>
      <c r="P60" s="78">
        <f t="shared" si="26"/>
        <v>0</v>
      </c>
      <c r="Q60" s="78">
        <f t="shared" si="26"/>
        <v>0</v>
      </c>
      <c r="R60" s="78">
        <f t="shared" si="26"/>
        <v>0</v>
      </c>
      <c r="S60" s="78">
        <f t="shared" si="26"/>
        <v>0</v>
      </c>
      <c r="T60" s="78">
        <f t="shared" si="26"/>
        <v>0</v>
      </c>
      <c r="U60" s="78">
        <f t="shared" si="26"/>
        <v>0</v>
      </c>
      <c r="V60" s="78">
        <f t="shared" si="26"/>
        <v>0</v>
      </c>
      <c r="W60" s="78">
        <f t="shared" si="26"/>
        <v>0</v>
      </c>
      <c r="X60" s="78">
        <f t="shared" si="26"/>
        <v>0</v>
      </c>
      <c r="Y60" s="78">
        <f t="shared" si="26"/>
        <v>0</v>
      </c>
      <c r="Z60" s="78">
        <f t="shared" si="26"/>
        <v>0</v>
      </c>
      <c r="AA60" s="78">
        <f t="shared" si="26"/>
        <v>0</v>
      </c>
      <c r="AB60" s="78">
        <f t="shared" si="26"/>
        <v>0</v>
      </c>
      <c r="AC60" s="78">
        <f t="shared" si="26"/>
        <v>0</v>
      </c>
      <c r="AD60" s="78">
        <f t="shared" si="26"/>
        <v>0</v>
      </c>
      <c r="AE60" s="78">
        <f t="shared" si="26"/>
        <v>0</v>
      </c>
      <c r="AF60" s="78">
        <f t="shared" si="26"/>
        <v>0</v>
      </c>
      <c r="AG60" s="78">
        <f t="shared" si="26"/>
        <v>0</v>
      </c>
      <c r="AH60" s="78">
        <f t="shared" si="26"/>
        <v>0</v>
      </c>
      <c r="AI60" s="78">
        <f t="shared" si="26"/>
        <v>0</v>
      </c>
      <c r="AJ60" s="78">
        <f t="shared" si="26"/>
        <v>0</v>
      </c>
      <c r="AK60" s="78">
        <f t="shared" si="26"/>
        <v>0</v>
      </c>
      <c r="AL60" s="78">
        <f t="shared" si="26"/>
        <v>0</v>
      </c>
    </row>
    <row r="61" spans="4:67" hidden="1" x14ac:dyDescent="0.2">
      <c r="G61" s="79" t="s">
        <v>55</v>
      </c>
      <c r="H61" s="78">
        <f>H$47*$F$47+H$48*$F$48+H$49*$F$49+H$50*$F$50+H$51*$F$51+H$52*$F$52+H$53*$F$53+H$54*$F$54+H$55*$F$55+H$56*$F$56+H$57*$F$57</f>
        <v>0</v>
      </c>
      <c r="I61" s="78">
        <f t="shared" ref="I61:AL61" si="27">I47*$F$47+I48*$F$48+I49*$F$49+I50*$F$50+I51*$F$51+I52*$F$52+I53*$F$53+I54*$F$54+I55*$F$55+I56*$F$56+I57*$F$57</f>
        <v>0</v>
      </c>
      <c r="J61" s="78">
        <f t="shared" si="27"/>
        <v>0</v>
      </c>
      <c r="K61" s="78">
        <f t="shared" si="27"/>
        <v>0</v>
      </c>
      <c r="L61" s="78">
        <f t="shared" si="27"/>
        <v>0</v>
      </c>
      <c r="M61" s="78">
        <f t="shared" si="27"/>
        <v>0</v>
      </c>
      <c r="N61" s="78">
        <f t="shared" si="27"/>
        <v>0</v>
      </c>
      <c r="O61" s="78">
        <f t="shared" si="27"/>
        <v>0</v>
      </c>
      <c r="P61" s="78">
        <f t="shared" si="27"/>
        <v>0</v>
      </c>
      <c r="Q61" s="78">
        <f t="shared" si="27"/>
        <v>0</v>
      </c>
      <c r="R61" s="78">
        <f t="shared" si="27"/>
        <v>0</v>
      </c>
      <c r="S61" s="78">
        <f t="shared" si="27"/>
        <v>0</v>
      </c>
      <c r="T61" s="78">
        <f t="shared" si="27"/>
        <v>0</v>
      </c>
      <c r="U61" s="78">
        <f t="shared" si="27"/>
        <v>0</v>
      </c>
      <c r="V61" s="78">
        <f t="shared" si="27"/>
        <v>0</v>
      </c>
      <c r="W61" s="78">
        <f t="shared" si="27"/>
        <v>0</v>
      </c>
      <c r="X61" s="78">
        <f t="shared" si="27"/>
        <v>0</v>
      </c>
      <c r="Y61" s="78">
        <f t="shared" si="27"/>
        <v>0</v>
      </c>
      <c r="Z61" s="78">
        <f t="shared" si="27"/>
        <v>0</v>
      </c>
      <c r="AA61" s="78">
        <f t="shared" si="27"/>
        <v>0</v>
      </c>
      <c r="AB61" s="78">
        <f t="shared" si="27"/>
        <v>0</v>
      </c>
      <c r="AC61" s="78">
        <f t="shared" si="27"/>
        <v>0</v>
      </c>
      <c r="AD61" s="78">
        <f t="shared" si="27"/>
        <v>0</v>
      </c>
      <c r="AE61" s="78">
        <f t="shared" si="27"/>
        <v>0</v>
      </c>
      <c r="AF61" s="78">
        <f t="shared" si="27"/>
        <v>0</v>
      </c>
      <c r="AG61" s="78">
        <f t="shared" si="27"/>
        <v>0</v>
      </c>
      <c r="AH61" s="78">
        <f t="shared" si="27"/>
        <v>0</v>
      </c>
      <c r="AI61" s="78">
        <f t="shared" si="27"/>
        <v>0</v>
      </c>
      <c r="AJ61" s="78">
        <f t="shared" si="27"/>
        <v>0</v>
      </c>
      <c r="AK61" s="78">
        <f t="shared" si="27"/>
        <v>0</v>
      </c>
      <c r="AL61" s="78">
        <f t="shared" si="27"/>
        <v>0</v>
      </c>
    </row>
    <row r="64" spans="4:67" x14ac:dyDescent="0.2">
      <c r="AM64" s="2"/>
      <c r="AN64" s="162"/>
      <c r="AO64" s="162"/>
    </row>
    <row r="65" spans="7:41" ht="14.4" x14ac:dyDescent="0.2">
      <c r="L65" s="189" t="s">
        <v>142</v>
      </c>
      <c r="M65" s="189"/>
      <c r="N65" s="189"/>
      <c r="O65" s="189"/>
      <c r="P65" s="189"/>
      <c r="Q65" s="189"/>
      <c r="R65" s="189"/>
      <c r="S65" s="189"/>
      <c r="T65" s="189"/>
      <c r="U65" s="189"/>
      <c r="V65" s="189"/>
      <c r="W65" s="189"/>
      <c r="X65" s="189"/>
      <c r="Y65" s="189"/>
      <c r="Z65" s="189"/>
      <c r="AA65" s="189"/>
      <c r="AB65" s="189"/>
      <c r="AC65" s="189"/>
      <c r="AD65" s="189"/>
      <c r="AE65" s="189"/>
      <c r="AG65" s="190" t="s">
        <v>143</v>
      </c>
      <c r="AH65" s="190"/>
      <c r="AI65" s="190"/>
      <c r="AJ65" s="190"/>
      <c r="AK65" s="190"/>
      <c r="AL65" s="190"/>
      <c r="AM65" s="2"/>
      <c r="AN65" s="162"/>
      <c r="AO65" s="162"/>
    </row>
    <row r="66" spans="7:41" x14ac:dyDescent="0.2">
      <c r="G66" s="188" t="str">
        <f>S_Day</f>
        <v>年月日入力</v>
      </c>
      <c r="H66" s="188"/>
      <c r="I66" s="188"/>
      <c r="AM66" s="2"/>
      <c r="AN66" s="162"/>
      <c r="AO66" s="163"/>
    </row>
    <row r="67" spans="7:41" x14ac:dyDescent="0.2">
      <c r="G67" s="2"/>
      <c r="AD67" s="187" t="s">
        <v>144</v>
      </c>
      <c r="AE67" s="187"/>
      <c r="AF67" s="187"/>
      <c r="AG67" s="187"/>
      <c r="AH67" s="187"/>
      <c r="AI67" s="187"/>
      <c r="AJ67" s="187"/>
      <c r="AK67" s="187"/>
      <c r="AL67" s="187"/>
      <c r="AM67" s="2"/>
      <c r="AN67" s="162"/>
      <c r="AO67" s="163"/>
    </row>
    <row r="68" spans="7:41" x14ac:dyDescent="0.2">
      <c r="G68" s="171" t="str">
        <f>G10</f>
        <v>日付</v>
      </c>
      <c r="H68" s="169">
        <f>H10</f>
        <v>0</v>
      </c>
      <c r="I68" s="169">
        <f t="shared" ref="I68:AK68" si="28">I10</f>
        <v>0</v>
      </c>
      <c r="J68" s="169">
        <f t="shared" si="28"/>
        <v>0</v>
      </c>
      <c r="K68" s="169">
        <f t="shared" si="28"/>
        <v>0</v>
      </c>
      <c r="L68" s="169">
        <f t="shared" si="28"/>
        <v>0</v>
      </c>
      <c r="M68" s="169">
        <f t="shared" si="28"/>
        <v>0</v>
      </c>
      <c r="N68" s="169">
        <f t="shared" si="28"/>
        <v>0</v>
      </c>
      <c r="O68" s="169">
        <f t="shared" si="28"/>
        <v>0</v>
      </c>
      <c r="P68" s="169">
        <f t="shared" si="28"/>
        <v>0</v>
      </c>
      <c r="Q68" s="169">
        <f t="shared" si="28"/>
        <v>0</v>
      </c>
      <c r="R68" s="169">
        <f t="shared" si="28"/>
        <v>0</v>
      </c>
      <c r="S68" s="169">
        <f t="shared" si="28"/>
        <v>0</v>
      </c>
      <c r="T68" s="169">
        <f t="shared" si="28"/>
        <v>0</v>
      </c>
      <c r="U68" s="169">
        <f t="shared" si="28"/>
        <v>0</v>
      </c>
      <c r="V68" s="169">
        <f t="shared" si="28"/>
        <v>0</v>
      </c>
      <c r="W68" s="169">
        <f t="shared" si="28"/>
        <v>0</v>
      </c>
      <c r="X68" s="169">
        <f t="shared" si="28"/>
        <v>0</v>
      </c>
      <c r="Y68" s="169">
        <f t="shared" si="28"/>
        <v>0</v>
      </c>
      <c r="Z68" s="169">
        <f t="shared" si="28"/>
        <v>0</v>
      </c>
      <c r="AA68" s="169">
        <f t="shared" si="28"/>
        <v>0</v>
      </c>
      <c r="AB68" s="169">
        <f t="shared" si="28"/>
        <v>0</v>
      </c>
      <c r="AC68" s="169">
        <f t="shared" si="28"/>
        <v>0</v>
      </c>
      <c r="AD68" s="169">
        <f t="shared" si="28"/>
        <v>0</v>
      </c>
      <c r="AE68" s="169">
        <f t="shared" si="28"/>
        <v>0</v>
      </c>
      <c r="AF68" s="169">
        <f t="shared" si="28"/>
        <v>0</v>
      </c>
      <c r="AG68" s="169">
        <f t="shared" si="28"/>
        <v>0</v>
      </c>
      <c r="AH68" s="169">
        <f t="shared" si="28"/>
        <v>0</v>
      </c>
      <c r="AI68" s="169">
        <f t="shared" si="28"/>
        <v>0</v>
      </c>
      <c r="AJ68" s="169">
        <f t="shared" si="28"/>
        <v>0</v>
      </c>
      <c r="AK68" s="169">
        <f t="shared" si="28"/>
        <v>0</v>
      </c>
      <c r="AL68" s="170" t="str">
        <f>IF(AL10="","",AL10)</f>
        <v/>
      </c>
      <c r="AM68" s="2"/>
      <c r="AN68" s="162"/>
      <c r="AO68" s="163"/>
    </row>
    <row r="69" spans="7:41" x14ac:dyDescent="0.2">
      <c r="G69" s="168"/>
      <c r="H69" s="169"/>
      <c r="I69" s="169"/>
      <c r="J69" s="169"/>
      <c r="K69" s="169"/>
      <c r="L69" s="169"/>
      <c r="M69" s="169"/>
      <c r="N69" s="169"/>
      <c r="O69" s="169"/>
      <c r="P69" s="169"/>
      <c r="Q69" s="169"/>
      <c r="R69" s="169"/>
      <c r="S69" s="169"/>
      <c r="T69" s="169"/>
      <c r="U69" s="169"/>
      <c r="V69" s="169"/>
      <c r="W69" s="169"/>
      <c r="X69" s="169"/>
      <c r="Y69" s="169"/>
      <c r="Z69" s="169"/>
      <c r="AA69" s="169"/>
      <c r="AB69" s="169"/>
      <c r="AC69" s="169"/>
      <c r="AD69" s="169"/>
      <c r="AE69" s="169"/>
      <c r="AF69" s="169"/>
      <c r="AG69" s="169"/>
      <c r="AH69" s="169"/>
      <c r="AI69" s="169"/>
      <c r="AJ69" s="169"/>
      <c r="AK69" s="169"/>
      <c r="AL69" s="170"/>
      <c r="AM69" s="2"/>
      <c r="AN69" s="162"/>
      <c r="AO69" s="162"/>
    </row>
    <row r="70" spans="7:41" x14ac:dyDescent="0.2">
      <c r="G70" s="171" t="str">
        <f>G11</f>
        <v>氏名＼曜日</v>
      </c>
      <c r="H70" s="167">
        <f>H11</f>
        <v>0</v>
      </c>
      <c r="I70" s="167">
        <f t="shared" ref="I70:AK70" si="29">I11</f>
        <v>0</v>
      </c>
      <c r="J70" s="167">
        <f t="shared" si="29"/>
        <v>0</v>
      </c>
      <c r="K70" s="167">
        <f t="shared" si="29"/>
        <v>0</v>
      </c>
      <c r="L70" s="167">
        <f t="shared" si="29"/>
        <v>0</v>
      </c>
      <c r="M70" s="167">
        <f t="shared" si="29"/>
        <v>0</v>
      </c>
      <c r="N70" s="167">
        <f t="shared" si="29"/>
        <v>0</v>
      </c>
      <c r="O70" s="167">
        <f t="shared" si="29"/>
        <v>0</v>
      </c>
      <c r="P70" s="167">
        <f t="shared" si="29"/>
        <v>0</v>
      </c>
      <c r="Q70" s="167">
        <f t="shared" si="29"/>
        <v>0</v>
      </c>
      <c r="R70" s="167">
        <f t="shared" si="29"/>
        <v>0</v>
      </c>
      <c r="S70" s="167">
        <f t="shared" si="29"/>
        <v>0</v>
      </c>
      <c r="T70" s="167">
        <f t="shared" si="29"/>
        <v>0</v>
      </c>
      <c r="U70" s="167">
        <f t="shared" si="29"/>
        <v>0</v>
      </c>
      <c r="V70" s="167">
        <f t="shared" si="29"/>
        <v>0</v>
      </c>
      <c r="W70" s="167">
        <f t="shared" si="29"/>
        <v>0</v>
      </c>
      <c r="X70" s="167">
        <f t="shared" si="29"/>
        <v>0</v>
      </c>
      <c r="Y70" s="167">
        <f t="shared" si="29"/>
        <v>0</v>
      </c>
      <c r="Z70" s="167">
        <f t="shared" si="29"/>
        <v>0</v>
      </c>
      <c r="AA70" s="167">
        <f t="shared" si="29"/>
        <v>0</v>
      </c>
      <c r="AB70" s="167">
        <f t="shared" si="29"/>
        <v>0</v>
      </c>
      <c r="AC70" s="167">
        <f t="shared" si="29"/>
        <v>0</v>
      </c>
      <c r="AD70" s="167">
        <f t="shared" si="29"/>
        <v>0</v>
      </c>
      <c r="AE70" s="167">
        <f t="shared" si="29"/>
        <v>0</v>
      </c>
      <c r="AF70" s="167">
        <f t="shared" si="29"/>
        <v>0</v>
      </c>
      <c r="AG70" s="167">
        <f t="shared" si="29"/>
        <v>0</v>
      </c>
      <c r="AH70" s="167">
        <f t="shared" si="29"/>
        <v>0</v>
      </c>
      <c r="AI70" s="167">
        <f t="shared" si="29"/>
        <v>0</v>
      </c>
      <c r="AJ70" s="167">
        <f t="shared" si="29"/>
        <v>0</v>
      </c>
      <c r="AK70" s="167">
        <f t="shared" si="29"/>
        <v>0</v>
      </c>
      <c r="AL70" s="167" t="str">
        <f>IF(AL11="","",AL11)</f>
        <v/>
      </c>
      <c r="AM70" s="2"/>
      <c r="AN70" s="162"/>
      <c r="AO70" s="162"/>
    </row>
    <row r="71" spans="7:41" x14ac:dyDescent="0.2">
      <c r="G71" s="168"/>
      <c r="H71" s="168"/>
      <c r="I71" s="168"/>
      <c r="J71" s="168"/>
      <c r="K71" s="168"/>
      <c r="L71" s="168"/>
      <c r="M71" s="168"/>
      <c r="N71" s="168"/>
      <c r="O71" s="168"/>
      <c r="P71" s="168"/>
      <c r="Q71" s="168"/>
      <c r="R71" s="168"/>
      <c r="S71" s="168"/>
      <c r="T71" s="168"/>
      <c r="U71" s="168"/>
      <c r="V71" s="168"/>
      <c r="W71" s="168"/>
      <c r="X71" s="168"/>
      <c r="Y71" s="168"/>
      <c r="Z71" s="168"/>
      <c r="AA71" s="168"/>
      <c r="AB71" s="168"/>
      <c r="AC71" s="168"/>
      <c r="AD71" s="168"/>
      <c r="AE71" s="168"/>
      <c r="AF71" s="168"/>
      <c r="AG71" s="168"/>
      <c r="AH71" s="168"/>
      <c r="AI71" s="168"/>
      <c r="AJ71" s="168"/>
      <c r="AK71" s="168"/>
      <c r="AL71" s="168"/>
      <c r="AM71" s="2"/>
      <c r="AN71" s="2"/>
      <c r="AO71" s="2"/>
    </row>
    <row r="72" spans="7:41" x14ac:dyDescent="0.2">
      <c r="G72" s="168">
        <f>G12</f>
        <v>0</v>
      </c>
      <c r="H72" s="166" t="str">
        <f>IF(H12="","12:55",VLOOKUP(H12,社員データ!$T$7:$AB$34,6,FALSE))</f>
        <v>12:55</v>
      </c>
      <c r="I72" s="166" t="str">
        <f>IF(I12="","12:55",VLOOKUP(I12,社員データ!$T$7:$AB$34,6,FALSE))</f>
        <v>12:55</v>
      </c>
      <c r="J72" s="166" t="str">
        <f>IF(J12="","12:55",VLOOKUP(J12,社員データ!$T$7:$AB$34,6,FALSE))</f>
        <v>12:55</v>
      </c>
      <c r="K72" s="166" t="str">
        <f>IF(K12="","12:55",VLOOKUP(K12,社員データ!$T$7:$AB$34,6,FALSE))</f>
        <v>12:55</v>
      </c>
      <c r="L72" s="166" t="str">
        <f>IF(L12="","12:55",VLOOKUP(L12,社員データ!$T$7:$AB$34,6,FALSE))</f>
        <v>12:55</v>
      </c>
      <c r="M72" s="166" t="str">
        <f>IF(M12="","12:55",VLOOKUP(M12,社員データ!$T$7:$AB$34,6,FALSE))</f>
        <v>12:55</v>
      </c>
      <c r="N72" s="166" t="str">
        <f>IF(N12="","12:55",VLOOKUP(N12,社員データ!$T$7:$AB$34,6,FALSE))</f>
        <v>12:55</v>
      </c>
      <c r="O72" s="166" t="str">
        <f>IF(O12="","12:55",VLOOKUP(O12,社員データ!$T$7:$AB$34,6,FALSE))</f>
        <v>12:55</v>
      </c>
      <c r="P72" s="166" t="str">
        <f>IF(P12="","12:55",VLOOKUP(P12,社員データ!$T$7:$AB$34,6,FALSE))</f>
        <v>12:55</v>
      </c>
      <c r="Q72" s="166" t="str">
        <f>IF(Q12="","12:55",VLOOKUP(Q12,社員データ!$T$7:$AB$34,6,FALSE))</f>
        <v>12:55</v>
      </c>
      <c r="R72" s="166" t="str">
        <f>IF(R12="","12:55",VLOOKUP(R12,社員データ!$T$7:$AB$34,6,FALSE))</f>
        <v>12:55</v>
      </c>
      <c r="S72" s="166" t="str">
        <f>IF(S12="","12:55",VLOOKUP(S12,社員データ!$T$7:$AB$34,6,FALSE))</f>
        <v>12:55</v>
      </c>
      <c r="T72" s="166" t="str">
        <f>IF(T12="","12:55",VLOOKUP(T12,社員データ!$T$7:$AB$34,6,FALSE))</f>
        <v>12:55</v>
      </c>
      <c r="U72" s="166" t="str">
        <f>IF(U12="","12:55",VLOOKUP(U12,社員データ!$T$7:$AB$34,6,FALSE))</f>
        <v>12:55</v>
      </c>
      <c r="V72" s="166" t="str">
        <f>IF(V12="","12:55",VLOOKUP(V12,社員データ!$T$7:$AB$34,6,FALSE))</f>
        <v>12:55</v>
      </c>
      <c r="W72" s="166" t="str">
        <f>IF(W12="","12:55",VLOOKUP(W12,社員データ!$T$7:$AB$34,6,FALSE))</f>
        <v>12:55</v>
      </c>
      <c r="X72" s="166" t="str">
        <f>IF(X12="","12:55",VLOOKUP(X12,社員データ!$T$7:$AB$34,6,FALSE))</f>
        <v>12:55</v>
      </c>
      <c r="Y72" s="166" t="str">
        <f>IF(Y12="","12:55",VLOOKUP(Y12,社員データ!$T$7:$AB$34,6,FALSE))</f>
        <v>12:55</v>
      </c>
      <c r="Z72" s="166" t="str">
        <f>IF(Z12="","12:55",VLOOKUP(Z12,社員データ!$T$7:$AB$34,6,FALSE))</f>
        <v>12:55</v>
      </c>
      <c r="AA72" s="166" t="str">
        <f>IF(AA12="","12:55",VLOOKUP(AA12,社員データ!$T$7:$AB$34,6,FALSE))</f>
        <v>12:55</v>
      </c>
      <c r="AB72" s="166" t="str">
        <f>IF(AB12="","12:55",VLOOKUP(AB12,社員データ!$T$7:$AB$34,6,FALSE))</f>
        <v>12:55</v>
      </c>
      <c r="AC72" s="166" t="str">
        <f>IF(AC12="","12:55",VLOOKUP(AC12,社員データ!$T$7:$AB$34,6,FALSE))</f>
        <v>12:55</v>
      </c>
      <c r="AD72" s="166" t="str">
        <f>IF(AD12="","12:55",VLOOKUP(AD12,社員データ!$T$7:$AB$34,6,FALSE))</f>
        <v>12:55</v>
      </c>
      <c r="AE72" s="166" t="str">
        <f>IF(AE12="","12:55",VLOOKUP(AE12,社員データ!$T$7:$AB$34,6,FALSE))</f>
        <v>12:55</v>
      </c>
      <c r="AF72" s="166" t="str">
        <f>IF(AF12="","12:55",VLOOKUP(AF12,社員データ!$T$7:$AB$34,6,FALSE))</f>
        <v>12:55</v>
      </c>
      <c r="AG72" s="166" t="str">
        <f>IF(AG12="","12:55",VLOOKUP(AG12,社員データ!$T$7:$AB$34,6,FALSE))</f>
        <v>12:55</v>
      </c>
      <c r="AH72" s="166" t="str">
        <f>IF(AH12="","12:55",VLOOKUP(AH12,社員データ!$T$7:$AB$34,6,FALSE))</f>
        <v>12:55</v>
      </c>
      <c r="AI72" s="166" t="str">
        <f>IF(AI12="","12:55",VLOOKUP(AI12,社員データ!$T$7:$AB$34,6,FALSE))</f>
        <v>12:55</v>
      </c>
      <c r="AJ72" s="166" t="str">
        <f>IF(AJ12="","12:55",VLOOKUP(AJ12,社員データ!$T$7:$AB$34,6,FALSE))</f>
        <v>12:55</v>
      </c>
      <c r="AK72" s="166" t="str">
        <f>IF(AK12="","12:55",VLOOKUP(AK12,社員データ!$T$7:$AB$34,6,FALSE))</f>
        <v>12:55</v>
      </c>
      <c r="AL72" s="166" t="str">
        <f>IF($AL$68="","",IF(AL12="","12:55",VLOOKUP(AL12,社員データ!$T$7:$AB$34,6,FALSE)))</f>
        <v/>
      </c>
      <c r="AM72" s="2"/>
      <c r="AN72" s="162"/>
      <c r="AO72" s="162"/>
    </row>
    <row r="73" spans="7:41" x14ac:dyDescent="0.2">
      <c r="G73" s="168"/>
      <c r="H73" s="166" t="str">
        <f>IF(H12="","-",VLOOKUP(H12,社員データ!$T$7:$AB$34,8,FALSE))</f>
        <v>-</v>
      </c>
      <c r="I73" s="166" t="str">
        <f>IF(I12="","-",VLOOKUP(I12,社員データ!$T$7:$AB$34,8,FALSE))</f>
        <v>-</v>
      </c>
      <c r="J73" s="166" t="str">
        <f>IF(J12="","-",VLOOKUP(J12,社員データ!$T$7:$AB$34,8,FALSE))</f>
        <v>-</v>
      </c>
      <c r="K73" s="166" t="str">
        <f>IF(K12="","-",VLOOKUP(K12,社員データ!$T$7:$AB$34,8,FALSE))</f>
        <v>-</v>
      </c>
      <c r="L73" s="166" t="str">
        <f>IF(L12="","-",VLOOKUP(L12,社員データ!$T$7:$AB$34,8,FALSE))</f>
        <v>-</v>
      </c>
      <c r="M73" s="166" t="str">
        <f>IF(M12="","-",VLOOKUP(M12,社員データ!$T$7:$AB$34,8,FALSE))</f>
        <v>-</v>
      </c>
      <c r="N73" s="166" t="str">
        <f>IF(N12="","-",VLOOKUP(N12,社員データ!$T$7:$AB$34,8,FALSE))</f>
        <v>-</v>
      </c>
      <c r="O73" s="166" t="str">
        <f>IF(O12="","-",VLOOKUP(O12,社員データ!$T$7:$AB$34,8,FALSE))</f>
        <v>-</v>
      </c>
      <c r="P73" s="166" t="str">
        <f>IF(P12="","-",VLOOKUP(P12,社員データ!$T$7:$AB$34,8,FALSE))</f>
        <v>-</v>
      </c>
      <c r="Q73" s="166" t="str">
        <f>IF(Q12="","-",VLOOKUP(Q12,社員データ!$T$7:$AB$34,8,FALSE))</f>
        <v>-</v>
      </c>
      <c r="R73" s="166" t="str">
        <f>IF(R12="","-",VLOOKUP(R12,社員データ!$T$7:$AB$34,8,FALSE))</f>
        <v>-</v>
      </c>
      <c r="S73" s="166" t="str">
        <f>IF(S12="","-",VLOOKUP(S12,社員データ!$T$7:$AB$34,8,FALSE))</f>
        <v>-</v>
      </c>
      <c r="T73" s="166" t="str">
        <f>IF(T12="","-",VLOOKUP(T12,社員データ!$T$7:$AB$34,8,FALSE))</f>
        <v>-</v>
      </c>
      <c r="U73" s="166" t="str">
        <f>IF(U12="","-",VLOOKUP(U12,社員データ!$T$7:$AB$34,8,FALSE))</f>
        <v>-</v>
      </c>
      <c r="V73" s="166" t="str">
        <f>IF(V12="","-",VLOOKUP(V12,社員データ!$T$7:$AB$34,8,FALSE))</f>
        <v>-</v>
      </c>
      <c r="W73" s="166" t="str">
        <f>IF(W12="","-",VLOOKUP(W12,社員データ!$T$7:$AB$34,8,FALSE))</f>
        <v>-</v>
      </c>
      <c r="X73" s="166" t="str">
        <f>IF(X12="","-",VLOOKUP(X12,社員データ!$T$7:$AB$34,8,FALSE))</f>
        <v>-</v>
      </c>
      <c r="Y73" s="166" t="str">
        <f>IF(Y12="","-",VLOOKUP(Y12,社員データ!$T$7:$AB$34,8,FALSE))</f>
        <v>-</v>
      </c>
      <c r="Z73" s="166" t="str">
        <f>IF(Z12="","-",VLOOKUP(Z12,社員データ!$T$7:$AB$34,8,FALSE))</f>
        <v>-</v>
      </c>
      <c r="AA73" s="166" t="str">
        <f>IF(AA12="","-",VLOOKUP(AA12,社員データ!$T$7:$AB$34,8,FALSE))</f>
        <v>-</v>
      </c>
      <c r="AB73" s="166" t="str">
        <f>IF(AB12="","-",VLOOKUP(AB12,社員データ!$T$7:$AB$34,8,FALSE))</f>
        <v>-</v>
      </c>
      <c r="AC73" s="166" t="str">
        <f>IF(AC12="","-",VLOOKUP(AC12,社員データ!$T$7:$AB$34,8,FALSE))</f>
        <v>-</v>
      </c>
      <c r="AD73" s="166" t="str">
        <f>IF(AD12="","-",VLOOKUP(AD12,社員データ!$T$7:$AB$34,8,FALSE))</f>
        <v>-</v>
      </c>
      <c r="AE73" s="166" t="str">
        <f>IF(AE12="","-",VLOOKUP(AE12,社員データ!$T$7:$AB$34,8,FALSE))</f>
        <v>-</v>
      </c>
      <c r="AF73" s="166" t="str">
        <f>IF(AF12="","-",VLOOKUP(AF12,社員データ!$T$7:$AB$34,8,FALSE))</f>
        <v>-</v>
      </c>
      <c r="AG73" s="166" t="str">
        <f>IF(AG12="","-",VLOOKUP(AG12,社員データ!$T$7:$AB$34,8,FALSE))</f>
        <v>-</v>
      </c>
      <c r="AH73" s="166" t="str">
        <f>IF(AH12="","-",VLOOKUP(AH12,社員データ!$T$7:$AB$34,8,FALSE))</f>
        <v>-</v>
      </c>
      <c r="AI73" s="166" t="str">
        <f>IF(AI12="","-",VLOOKUP(AI12,社員データ!$T$7:$AB$34,8,FALSE))</f>
        <v>-</v>
      </c>
      <c r="AJ73" s="166" t="str">
        <f>IF(AJ12="","-",VLOOKUP(AJ12,社員データ!$T$7:$AB$34,8,FALSE))</f>
        <v>-</v>
      </c>
      <c r="AK73" s="166" t="str">
        <f>IF(AK12="","-",VLOOKUP(AK12,社員データ!$T$7:$AB$34,8,FALSE))</f>
        <v>-</v>
      </c>
      <c r="AL73" s="166" t="str">
        <f>IF($AL$68="","",IF(AL12="","-",VLOOKUP(AL12,社員データ!$T$7:$AB$34,8,FALSE)))</f>
        <v/>
      </c>
      <c r="AM73" s="2"/>
      <c r="AN73" s="162"/>
      <c r="AO73" s="162"/>
    </row>
    <row r="74" spans="7:41" x14ac:dyDescent="0.2">
      <c r="G74" s="168">
        <f>G13</f>
        <v>0</v>
      </c>
      <c r="H74" s="166" t="str">
        <f>IF(H13="","12:15",VLOOKUP(H13,社員データ!$T$7:$AB$34,6,FALSE))</f>
        <v>12:15</v>
      </c>
      <c r="I74" s="166" t="str">
        <f>IF(I13="","12:15",VLOOKUP(I13,社員データ!$T$7:$AB$34,6,FALSE))</f>
        <v>12:15</v>
      </c>
      <c r="J74" s="166" t="str">
        <f>IF(J13="","12:15",VLOOKUP(J13,社員データ!$T$7:$AB$34,6,FALSE))</f>
        <v>12:15</v>
      </c>
      <c r="K74" s="166" t="str">
        <f>IF(K13="","12:15",VLOOKUP(K13,社員データ!$T$7:$AB$34,6,FALSE))</f>
        <v>12:15</v>
      </c>
      <c r="L74" s="166" t="str">
        <f>IF(L13="","12:15",VLOOKUP(L13,社員データ!$T$7:$AB$34,6,FALSE))</f>
        <v>12:15</v>
      </c>
      <c r="M74" s="166" t="str">
        <f>IF(M13="","12:15",VLOOKUP(M13,社員データ!$T$7:$AB$34,6,FALSE))</f>
        <v>12:15</v>
      </c>
      <c r="N74" s="166" t="str">
        <f>IF(N13="","12:15",VLOOKUP(N13,社員データ!$T$7:$AB$34,6,FALSE))</f>
        <v>12:15</v>
      </c>
      <c r="O74" s="166" t="str">
        <f>IF(O13="","12:15",VLOOKUP(O13,社員データ!$T$7:$AB$34,6,FALSE))</f>
        <v>12:15</v>
      </c>
      <c r="P74" s="166" t="str">
        <f>IF(P13="","12:15",VLOOKUP(P13,社員データ!$T$7:$AB$34,6,FALSE))</f>
        <v>12:15</v>
      </c>
      <c r="Q74" s="166" t="str">
        <f>IF(Q13="","12:15",VLOOKUP(Q13,社員データ!$T$7:$AB$34,6,FALSE))</f>
        <v>12:15</v>
      </c>
      <c r="R74" s="166" t="str">
        <f>IF(R13="","12:15",VLOOKUP(R13,社員データ!$T$7:$AB$34,6,FALSE))</f>
        <v>12:15</v>
      </c>
      <c r="S74" s="166" t="str">
        <f>IF(S13="","12:15",VLOOKUP(S13,社員データ!$T$7:$AB$34,6,FALSE))</f>
        <v>12:15</v>
      </c>
      <c r="T74" s="166" t="str">
        <f>IF(T13="","12:15",VLOOKUP(T13,社員データ!$T$7:$AB$34,6,FALSE))</f>
        <v>12:15</v>
      </c>
      <c r="U74" s="166" t="str">
        <f>IF(U13="","12:15",VLOOKUP(U13,社員データ!$T$7:$AB$34,6,FALSE))</f>
        <v>12:15</v>
      </c>
      <c r="V74" s="166" t="str">
        <f>IF(V13="","12:15",VLOOKUP(V13,社員データ!$T$7:$AB$34,6,FALSE))</f>
        <v>12:15</v>
      </c>
      <c r="W74" s="166" t="str">
        <f>IF(W13="","12:15",VLOOKUP(W13,社員データ!$T$7:$AB$34,6,FALSE))</f>
        <v>12:15</v>
      </c>
      <c r="X74" s="166" t="str">
        <f>IF(X13="","12:15",VLOOKUP(X13,社員データ!$T$7:$AB$34,6,FALSE))</f>
        <v>12:15</v>
      </c>
      <c r="Y74" s="166" t="str">
        <f>IF(Y13="","12:15",VLOOKUP(Y13,社員データ!$T$7:$AB$34,6,FALSE))</f>
        <v>12:15</v>
      </c>
      <c r="Z74" s="166" t="str">
        <f>IF(Z13="","12:15",VLOOKUP(Z13,社員データ!$T$7:$AB$34,6,FALSE))</f>
        <v>12:15</v>
      </c>
      <c r="AA74" s="166" t="str">
        <f>IF(AA13="","12:15",VLOOKUP(AA13,社員データ!$T$7:$AB$34,6,FALSE))</f>
        <v>12:15</v>
      </c>
      <c r="AB74" s="166" t="str">
        <f>IF(AB13="","12:15",VLOOKUP(AB13,社員データ!$T$7:$AB$34,6,FALSE))</f>
        <v>12:15</v>
      </c>
      <c r="AC74" s="166" t="str">
        <f>IF(AC13="","12:15",VLOOKUP(AC13,社員データ!$T$7:$AB$34,6,FALSE))</f>
        <v>12:15</v>
      </c>
      <c r="AD74" s="166" t="str">
        <f>IF(AD13="","12:15",VLOOKUP(AD13,社員データ!$T$7:$AB$34,6,FALSE))</f>
        <v>12:15</v>
      </c>
      <c r="AE74" s="166" t="str">
        <f>IF(AE13="","12:15",VLOOKUP(AE13,社員データ!$T$7:$AB$34,6,FALSE))</f>
        <v>12:15</v>
      </c>
      <c r="AF74" s="166" t="str">
        <f>IF(AF13="","12:15",VLOOKUP(AF13,社員データ!$T$7:$AB$34,6,FALSE))</f>
        <v>12:15</v>
      </c>
      <c r="AG74" s="166" t="str">
        <f>IF(AG13="","12:15",VLOOKUP(AG13,社員データ!$T$7:$AB$34,6,FALSE))</f>
        <v>12:15</v>
      </c>
      <c r="AH74" s="166" t="str">
        <f>IF(AH13="","12:15",VLOOKUP(AH13,社員データ!$T$7:$AB$34,6,FALSE))</f>
        <v>12:15</v>
      </c>
      <c r="AI74" s="166" t="str">
        <f>IF(AI13="","12:15",VLOOKUP(AI13,社員データ!$T$7:$AB$34,6,FALSE))</f>
        <v>12:15</v>
      </c>
      <c r="AJ74" s="166" t="str">
        <f>IF(AJ13="","12:15",VLOOKUP(AJ13,社員データ!$T$7:$AB$34,6,FALSE))</f>
        <v>12:15</v>
      </c>
      <c r="AK74" s="166" t="str">
        <f>IF(AK13="","12:15",VLOOKUP(AK13,社員データ!$T$7:$AB$34,6,FALSE))</f>
        <v>12:15</v>
      </c>
      <c r="AL74" s="166" t="str">
        <f>IF($AL$68="","",IF(AL13="","12:55",VLOOKUP(AL13,社員データ!$T$7:$AB$34,7,FALSE)))</f>
        <v/>
      </c>
      <c r="AM74" s="2"/>
      <c r="AN74" s="162"/>
      <c r="AO74" s="2"/>
    </row>
    <row r="75" spans="7:41" x14ac:dyDescent="0.2">
      <c r="G75" s="168"/>
      <c r="H75" s="166" t="str">
        <f>IF(H13="","-",VLOOKUP(H13,社員データ!$T$7:$AB$34,8,FALSE))</f>
        <v>-</v>
      </c>
      <c r="I75" s="166" t="str">
        <f>IF(I13="","-",VLOOKUP(I13,社員データ!$T$7:$AB$34,8,FALSE))</f>
        <v>-</v>
      </c>
      <c r="J75" s="166" t="str">
        <f>IF(J13="","-",VLOOKUP(J13,社員データ!$T$7:$AB$34,8,FALSE))</f>
        <v>-</v>
      </c>
      <c r="K75" s="166" t="str">
        <f>IF(K13="","-",VLOOKUP(K13,社員データ!$T$7:$AB$34,8,FALSE))</f>
        <v>-</v>
      </c>
      <c r="L75" s="166" t="str">
        <f>IF(L13="","-",VLOOKUP(L13,社員データ!$T$7:$AB$34,8,FALSE))</f>
        <v>-</v>
      </c>
      <c r="M75" s="166" t="str">
        <f>IF(M13="","-",VLOOKUP(M13,社員データ!$T$7:$AB$34,8,FALSE))</f>
        <v>-</v>
      </c>
      <c r="N75" s="166" t="str">
        <f>IF(N13="","-",VLOOKUP(N13,社員データ!$T$7:$AB$34,8,FALSE))</f>
        <v>-</v>
      </c>
      <c r="O75" s="166" t="str">
        <f>IF(O13="","-",VLOOKUP(O13,社員データ!$T$7:$AB$34,8,FALSE))</f>
        <v>-</v>
      </c>
      <c r="P75" s="166" t="str">
        <f>IF(P13="","-",VLOOKUP(P13,社員データ!$T$7:$AB$34,8,FALSE))</f>
        <v>-</v>
      </c>
      <c r="Q75" s="166" t="str">
        <f>IF(Q13="","-",VLOOKUP(Q13,社員データ!$T$7:$AB$34,8,FALSE))</f>
        <v>-</v>
      </c>
      <c r="R75" s="166" t="str">
        <f>IF(R13="","-",VLOOKUP(R13,社員データ!$T$7:$AB$34,8,FALSE))</f>
        <v>-</v>
      </c>
      <c r="S75" s="166" t="str">
        <f>IF(S13="","-",VLOOKUP(S13,社員データ!$T$7:$AB$34,8,FALSE))</f>
        <v>-</v>
      </c>
      <c r="T75" s="166" t="str">
        <f>IF(T13="","-",VLOOKUP(T13,社員データ!$T$7:$AB$34,8,FALSE))</f>
        <v>-</v>
      </c>
      <c r="U75" s="166" t="str">
        <f>IF(U13="","-",VLOOKUP(U13,社員データ!$T$7:$AB$34,8,FALSE))</f>
        <v>-</v>
      </c>
      <c r="V75" s="166" t="str">
        <f>IF(V13="","-",VLOOKUP(V13,社員データ!$T$7:$AB$34,8,FALSE))</f>
        <v>-</v>
      </c>
      <c r="W75" s="166" t="str">
        <f>IF(W13="","-",VLOOKUP(W13,社員データ!$T$7:$AB$34,8,FALSE))</f>
        <v>-</v>
      </c>
      <c r="X75" s="166" t="str">
        <f>IF(X13="","-",VLOOKUP(X13,社員データ!$T$7:$AB$34,8,FALSE))</f>
        <v>-</v>
      </c>
      <c r="Y75" s="166" t="str">
        <f>IF(Y13="","-",VLOOKUP(Y13,社員データ!$T$7:$AB$34,8,FALSE))</f>
        <v>-</v>
      </c>
      <c r="Z75" s="166" t="str">
        <f>IF(Z13="","-",VLOOKUP(Z13,社員データ!$T$7:$AB$34,8,FALSE))</f>
        <v>-</v>
      </c>
      <c r="AA75" s="166" t="str">
        <f>IF(AA13="","-",VLOOKUP(AA13,社員データ!$T$7:$AB$34,8,FALSE))</f>
        <v>-</v>
      </c>
      <c r="AB75" s="166" t="str">
        <f>IF(AB13="","-",VLOOKUP(AB13,社員データ!$T$7:$AB$34,8,FALSE))</f>
        <v>-</v>
      </c>
      <c r="AC75" s="166" t="str">
        <f>IF(AC13="","-",VLOOKUP(AC13,社員データ!$T$7:$AB$34,8,FALSE))</f>
        <v>-</v>
      </c>
      <c r="AD75" s="166" t="str">
        <f>IF(AD13="","-",VLOOKUP(AD13,社員データ!$T$7:$AB$34,8,FALSE))</f>
        <v>-</v>
      </c>
      <c r="AE75" s="166" t="str">
        <f>IF(AE13="","-",VLOOKUP(AE13,社員データ!$T$7:$AB$34,8,FALSE))</f>
        <v>-</v>
      </c>
      <c r="AF75" s="166" t="str">
        <f>IF(AF13="","-",VLOOKUP(AF13,社員データ!$T$7:$AB$34,8,FALSE))</f>
        <v>-</v>
      </c>
      <c r="AG75" s="166" t="str">
        <f>IF(AG13="","-",VLOOKUP(AG13,社員データ!$T$7:$AB$34,8,FALSE))</f>
        <v>-</v>
      </c>
      <c r="AH75" s="166" t="str">
        <f>IF(AH13="","-",VLOOKUP(AH13,社員データ!$T$7:$AB$34,8,FALSE))</f>
        <v>-</v>
      </c>
      <c r="AI75" s="166" t="str">
        <f>IF(AI13="","-",VLOOKUP(AI13,社員データ!$T$7:$AB$34,8,FALSE))</f>
        <v>-</v>
      </c>
      <c r="AJ75" s="166" t="str">
        <f>IF(AJ13="","-",VLOOKUP(AJ13,社員データ!$T$7:$AB$34,8,FALSE))</f>
        <v>-</v>
      </c>
      <c r="AK75" s="166" t="str">
        <f>IF(AK13="","-",VLOOKUP(AK13,社員データ!$T$7:$AB$34,8,FALSE))</f>
        <v>-</v>
      </c>
      <c r="AL75" s="166" t="str">
        <f>IF($AL$68="","",IF(AL13="","-",VLOOKUP(AL13,社員データ!$T$7:$AB$34,8,FALSE)))</f>
        <v/>
      </c>
      <c r="AM75" s="2"/>
      <c r="AN75" s="162"/>
      <c r="AO75" s="2"/>
    </row>
    <row r="76" spans="7:41" x14ac:dyDescent="0.2">
      <c r="G76" s="168">
        <f>G14</f>
        <v>0</v>
      </c>
      <c r="H76" s="166" t="str">
        <f>IF(H14="","12:15",VLOOKUP(H14,社員データ!$T$7:$AB$34,7,FALSE))</f>
        <v>12:15</v>
      </c>
      <c r="I76" s="166" t="str">
        <f>IF(I14="","12:15",VLOOKUP(I14,社員データ!$T$7:$AB$34,7,FALSE))</f>
        <v>12:15</v>
      </c>
      <c r="J76" s="166" t="str">
        <f>IF(J14="","12:15",VLOOKUP(J14,社員データ!$T$7:$AB$34,7,FALSE))</f>
        <v>12:15</v>
      </c>
      <c r="K76" s="166" t="str">
        <f>IF(K14="","12:15",VLOOKUP(K14,社員データ!$T$7:$AB$34,7,FALSE))</f>
        <v>12:15</v>
      </c>
      <c r="L76" s="166" t="str">
        <f>IF(L14="","12:15",VLOOKUP(L14,社員データ!$T$7:$AB$34,7,FALSE))</f>
        <v>12:15</v>
      </c>
      <c r="M76" s="166" t="str">
        <f>IF(M14="","12:15",VLOOKUP(M14,社員データ!$T$7:$AB$34,7,FALSE))</f>
        <v>12:15</v>
      </c>
      <c r="N76" s="166" t="str">
        <f>IF(N14="","12:15",VLOOKUP(N14,社員データ!$T$7:$AB$34,7,FALSE))</f>
        <v>12:15</v>
      </c>
      <c r="O76" s="166" t="str">
        <f>IF(O14="","12:15",VLOOKUP(O14,社員データ!$T$7:$AB$34,7,FALSE))</f>
        <v>12:15</v>
      </c>
      <c r="P76" s="166" t="str">
        <f>IF(P14="","12:15",VLOOKUP(P14,社員データ!$T$7:$AB$34,7,FALSE))</f>
        <v>12:15</v>
      </c>
      <c r="Q76" s="166" t="str">
        <f>IF(Q14="","12:15",VLOOKUP(Q14,社員データ!$T$7:$AB$34,7,FALSE))</f>
        <v>12:15</v>
      </c>
      <c r="R76" s="166" t="str">
        <f>IF(R14="","12:15",VLOOKUP(R14,社員データ!$T$7:$AB$34,7,FALSE))</f>
        <v>12:15</v>
      </c>
      <c r="S76" s="166" t="str">
        <f>IF(S14="","12:15",VLOOKUP(S14,社員データ!$T$7:$AB$34,7,FALSE))</f>
        <v>12:15</v>
      </c>
      <c r="T76" s="166" t="str">
        <f>IF(T14="","12:15",VLOOKUP(T14,社員データ!$T$7:$AB$34,7,FALSE))</f>
        <v>12:15</v>
      </c>
      <c r="U76" s="166" t="str">
        <f>IF(U14="","12:15",VLOOKUP(U14,社員データ!$T$7:$AB$34,7,FALSE))</f>
        <v>12:15</v>
      </c>
      <c r="V76" s="166" t="str">
        <f>IF(V14="","12:15",VLOOKUP(V14,社員データ!$T$7:$AB$34,7,FALSE))</f>
        <v>12:15</v>
      </c>
      <c r="W76" s="166" t="str">
        <f>IF(W14="","12:15",VLOOKUP(W14,社員データ!$T$7:$AB$34,7,FALSE))</f>
        <v>12:15</v>
      </c>
      <c r="X76" s="166" t="str">
        <f>IF(X14="","12:15",VLOOKUP(X14,社員データ!$T$7:$AB$34,7,FALSE))</f>
        <v>12:15</v>
      </c>
      <c r="Y76" s="166" t="str">
        <f>IF(Y14="","12:15",VLOOKUP(Y14,社員データ!$T$7:$AB$34,7,FALSE))</f>
        <v>12:15</v>
      </c>
      <c r="Z76" s="166" t="str">
        <f>IF(Z14="","12:15",VLOOKUP(Z14,社員データ!$T$7:$AB$34,7,FALSE))</f>
        <v>12:15</v>
      </c>
      <c r="AA76" s="166" t="str">
        <f>IF(AA14="","12:15",VLOOKUP(AA14,社員データ!$T$7:$AB$34,7,FALSE))</f>
        <v>12:15</v>
      </c>
      <c r="AB76" s="166" t="str">
        <f>IF(AB14="","12:15",VLOOKUP(AB14,社員データ!$T$7:$AB$34,7,FALSE))</f>
        <v>12:15</v>
      </c>
      <c r="AC76" s="166" t="str">
        <f>IF(AC14="","12:15",VLOOKUP(AC14,社員データ!$T$7:$AB$34,7,FALSE))</f>
        <v>12:15</v>
      </c>
      <c r="AD76" s="166" t="str">
        <f>IF(AD14="","12:15",VLOOKUP(AD14,社員データ!$T$7:$AB$34,7,FALSE))</f>
        <v>12:15</v>
      </c>
      <c r="AE76" s="166" t="str">
        <f>IF(AE14="","12:15",VLOOKUP(AE14,社員データ!$T$7:$AB$34,7,FALSE))</f>
        <v>12:15</v>
      </c>
      <c r="AF76" s="166" t="str">
        <f>IF(AF14="","12:15",VLOOKUP(AF14,社員データ!$T$7:$AB$34,7,FALSE))</f>
        <v>12:15</v>
      </c>
      <c r="AG76" s="166" t="str">
        <f>IF(AG14="","12:15",VLOOKUP(AG14,社員データ!$T$7:$AB$34,7,FALSE))</f>
        <v>12:15</v>
      </c>
      <c r="AH76" s="166" t="str">
        <f>IF(AH14="","12:15",VLOOKUP(AH14,社員データ!$T$7:$AB$34,7,FALSE))</f>
        <v>12:15</v>
      </c>
      <c r="AI76" s="166" t="str">
        <f>IF(AI14="","12:15",VLOOKUP(AI14,社員データ!$T$7:$AB$34,7,FALSE))</f>
        <v>12:15</v>
      </c>
      <c r="AJ76" s="166" t="str">
        <f>IF(AJ14="","12:15",VLOOKUP(AJ14,社員データ!$T$7:$AB$34,7,FALSE))</f>
        <v>12:15</v>
      </c>
      <c r="AK76" s="166" t="str">
        <f>IF(AK14="","12:15",VLOOKUP(AK14,社員データ!$T$7:$AB$34,7,FALSE))</f>
        <v>12:15</v>
      </c>
      <c r="AL76" s="166" t="str">
        <f>IF($AL$68="","",IF(AL14="","12:55",VLOOKUP(AL14,社員データ!$T$7:$AB$34,7,FALSE)))</f>
        <v/>
      </c>
      <c r="AM76" s="2"/>
      <c r="AN76" s="162"/>
      <c r="AO76" s="2"/>
    </row>
    <row r="77" spans="7:41" x14ac:dyDescent="0.2">
      <c r="G77" s="168"/>
      <c r="H77" s="166" t="str">
        <f>IF(H14="","-",VLOOKUP(H14,社員データ!$T$7:$AB$34,8,FALSE))</f>
        <v>-</v>
      </c>
      <c r="I77" s="166" t="str">
        <f>IF(I14="","-",VLOOKUP(I14,社員データ!$T$7:$AB$34,8,FALSE))</f>
        <v>-</v>
      </c>
      <c r="J77" s="166" t="str">
        <f>IF(J14="","-",VLOOKUP(J14,社員データ!$T$7:$AB$34,8,FALSE))</f>
        <v>-</v>
      </c>
      <c r="K77" s="166" t="str">
        <f>IF(K14="","-",VLOOKUP(K14,社員データ!$T$7:$AB$34,8,FALSE))</f>
        <v>-</v>
      </c>
      <c r="L77" s="166" t="str">
        <f>IF(L14="","-",VLOOKUP(L14,社員データ!$T$7:$AB$34,8,FALSE))</f>
        <v>-</v>
      </c>
      <c r="M77" s="166" t="str">
        <f>IF(M14="","-",VLOOKUP(M14,社員データ!$T$7:$AB$34,8,FALSE))</f>
        <v>-</v>
      </c>
      <c r="N77" s="166" t="str">
        <f>IF(N14="","-",VLOOKUP(N14,社員データ!$T$7:$AB$34,8,FALSE))</f>
        <v>-</v>
      </c>
      <c r="O77" s="166" t="str">
        <f>IF(O14="","-",VLOOKUP(O14,社員データ!$T$7:$AB$34,8,FALSE))</f>
        <v>-</v>
      </c>
      <c r="P77" s="166" t="str">
        <f>IF(P14="","-",VLOOKUP(P14,社員データ!$T$7:$AB$34,8,FALSE))</f>
        <v>-</v>
      </c>
      <c r="Q77" s="166" t="str">
        <f>IF(Q14="","-",VLOOKUP(Q14,社員データ!$T$7:$AB$34,8,FALSE))</f>
        <v>-</v>
      </c>
      <c r="R77" s="166" t="str">
        <f>IF(R14="","-",VLOOKUP(R14,社員データ!$T$7:$AB$34,8,FALSE))</f>
        <v>-</v>
      </c>
      <c r="S77" s="166" t="str">
        <f>IF(S14="","-",VLOOKUP(S14,社員データ!$T$7:$AB$34,8,FALSE))</f>
        <v>-</v>
      </c>
      <c r="T77" s="166" t="str">
        <f>IF(T14="","-",VLOOKUP(T14,社員データ!$T$7:$AB$34,8,FALSE))</f>
        <v>-</v>
      </c>
      <c r="U77" s="166" t="str">
        <f>IF(U14="","-",VLOOKUP(U14,社員データ!$T$7:$AB$34,8,FALSE))</f>
        <v>-</v>
      </c>
      <c r="V77" s="166" t="str">
        <f>IF(V14="","-",VLOOKUP(V14,社員データ!$T$7:$AB$34,8,FALSE))</f>
        <v>-</v>
      </c>
      <c r="W77" s="166" t="str">
        <f>IF(W14="","-",VLOOKUP(W14,社員データ!$T$7:$AB$34,8,FALSE))</f>
        <v>-</v>
      </c>
      <c r="X77" s="166" t="str">
        <f>IF(X14="","-",VLOOKUP(X14,社員データ!$T$7:$AB$34,8,FALSE))</f>
        <v>-</v>
      </c>
      <c r="Y77" s="166" t="str">
        <f>IF(Y14="","-",VLOOKUP(Y14,社員データ!$T$7:$AB$34,8,FALSE))</f>
        <v>-</v>
      </c>
      <c r="Z77" s="166" t="str">
        <f>IF(Z14="","-",VLOOKUP(Z14,社員データ!$T$7:$AB$34,8,FALSE))</f>
        <v>-</v>
      </c>
      <c r="AA77" s="166" t="str">
        <f>IF(AA14="","-",VLOOKUP(AA14,社員データ!$T$7:$AB$34,8,FALSE))</f>
        <v>-</v>
      </c>
      <c r="AB77" s="166" t="str">
        <f>IF(AB14="","-",VLOOKUP(AB14,社員データ!$T$7:$AB$34,8,FALSE))</f>
        <v>-</v>
      </c>
      <c r="AC77" s="166" t="str">
        <f>IF(AC14="","-",VLOOKUP(AC14,社員データ!$T$7:$AB$34,8,FALSE))</f>
        <v>-</v>
      </c>
      <c r="AD77" s="166" t="str">
        <f>IF(AD14="","-",VLOOKUP(AD14,社員データ!$T$7:$AB$34,8,FALSE))</f>
        <v>-</v>
      </c>
      <c r="AE77" s="166" t="str">
        <f>IF(AE14="","-",VLOOKUP(AE14,社員データ!$T$7:$AB$34,8,FALSE))</f>
        <v>-</v>
      </c>
      <c r="AF77" s="166" t="str">
        <f>IF(AF14="","-",VLOOKUP(AF14,社員データ!$T$7:$AB$34,8,FALSE))</f>
        <v>-</v>
      </c>
      <c r="AG77" s="166" t="str">
        <f>IF(AG14="","-",VLOOKUP(AG14,社員データ!$T$7:$AB$34,8,FALSE))</f>
        <v>-</v>
      </c>
      <c r="AH77" s="166" t="str">
        <f>IF(AH14="","-",VLOOKUP(AH14,社員データ!$T$7:$AB$34,8,FALSE))</f>
        <v>-</v>
      </c>
      <c r="AI77" s="166" t="str">
        <f>IF(AI14="","-",VLOOKUP(AI14,社員データ!$T$7:$AB$34,8,FALSE))</f>
        <v>-</v>
      </c>
      <c r="AJ77" s="166" t="str">
        <f>IF(AJ14="","-",VLOOKUP(AJ14,社員データ!$T$7:$AB$34,8,FALSE))</f>
        <v>-</v>
      </c>
      <c r="AK77" s="166" t="str">
        <f>IF(AK14="","-",VLOOKUP(AK14,社員データ!$T$7:$AB$34,8,FALSE))</f>
        <v>-</v>
      </c>
      <c r="AL77" s="166" t="str">
        <f>IF($AL$68="","",IF(AL14="","-",VLOOKUP(AL14,社員データ!$T$7:$AB$34,8,FALSE)))</f>
        <v/>
      </c>
      <c r="AM77" s="2"/>
      <c r="AN77" s="162"/>
      <c r="AO77" s="2"/>
    </row>
    <row r="78" spans="7:41" x14ac:dyDescent="0.2">
      <c r="G78" s="168">
        <f>G15</f>
        <v>0</v>
      </c>
      <c r="H78" s="166" t="str">
        <f>IF(H15="","12:15",VLOOKUP(H15,社員データ!$T$7:$AB$34,7,FALSE))</f>
        <v>12:15</v>
      </c>
      <c r="I78" s="166" t="str">
        <f>IF(I15="","12:15",VLOOKUP(I15,社員データ!$T$7:$AB$34,7,FALSE))</f>
        <v>12:15</v>
      </c>
      <c r="J78" s="166" t="str">
        <f>IF(J15="","12:15",VLOOKUP(J15,社員データ!$T$7:$AB$34,7,FALSE))</f>
        <v>12:15</v>
      </c>
      <c r="K78" s="166" t="str">
        <f>IF(K15="","12:15",VLOOKUP(K15,社員データ!$T$7:$AB$34,7,FALSE))</f>
        <v>12:15</v>
      </c>
      <c r="L78" s="166" t="str">
        <f>IF(L15="","12:15",VLOOKUP(L15,社員データ!$T$7:$AB$34,7,FALSE))</f>
        <v>12:15</v>
      </c>
      <c r="M78" s="166" t="str">
        <f>IF(M15="","12:15",VLOOKUP(M15,社員データ!$T$7:$AB$34,7,FALSE))</f>
        <v>12:15</v>
      </c>
      <c r="N78" s="166" t="str">
        <f>IF(N15="","12:15",VLOOKUP(N15,社員データ!$T$7:$AB$34,7,FALSE))</f>
        <v>12:15</v>
      </c>
      <c r="O78" s="166" t="str">
        <f>IF(O15="","12:15",VLOOKUP(O15,社員データ!$T$7:$AB$34,7,FALSE))</f>
        <v>12:15</v>
      </c>
      <c r="P78" s="166" t="str">
        <f>IF(P15="","12:15",VLOOKUP(P15,社員データ!$T$7:$AB$34,7,FALSE))</f>
        <v>12:15</v>
      </c>
      <c r="Q78" s="166" t="str">
        <f>IF(Q15="","12:15",VLOOKUP(Q15,社員データ!$T$7:$AB$34,7,FALSE))</f>
        <v>12:15</v>
      </c>
      <c r="R78" s="166" t="str">
        <f>IF(R15="","12:15",VLOOKUP(R15,社員データ!$T$7:$AB$34,7,FALSE))</f>
        <v>12:15</v>
      </c>
      <c r="S78" s="166" t="str">
        <f>IF(S15="","12:15",VLOOKUP(S15,社員データ!$T$7:$AB$34,7,FALSE))</f>
        <v>12:15</v>
      </c>
      <c r="T78" s="166" t="str">
        <f>IF(T15="","12:15",VLOOKUP(T15,社員データ!$T$7:$AB$34,7,FALSE))</f>
        <v>12:15</v>
      </c>
      <c r="U78" s="166" t="str">
        <f>IF(U15="","12:15",VLOOKUP(U15,社員データ!$T$7:$AB$34,7,FALSE))</f>
        <v>12:15</v>
      </c>
      <c r="V78" s="166" t="str">
        <f>IF(V15="","12:15",VLOOKUP(V15,社員データ!$T$7:$AB$34,7,FALSE))</f>
        <v>12:15</v>
      </c>
      <c r="W78" s="166" t="str">
        <f>IF(W15="","12:15",VLOOKUP(W15,社員データ!$T$7:$AB$34,7,FALSE))</f>
        <v>12:15</v>
      </c>
      <c r="X78" s="166" t="str">
        <f>IF(X15="","12:15",VLOOKUP(X15,社員データ!$T$7:$AB$34,7,FALSE))</f>
        <v>12:15</v>
      </c>
      <c r="Y78" s="166" t="str">
        <f>IF(Y15="","12:15",VLOOKUP(Y15,社員データ!$T$7:$AB$34,7,FALSE))</f>
        <v>12:15</v>
      </c>
      <c r="Z78" s="166" t="str">
        <f>IF(Z15="","12:15",VLOOKUP(Z15,社員データ!$T$7:$AB$34,7,FALSE))</f>
        <v>12:15</v>
      </c>
      <c r="AA78" s="166" t="str">
        <f>IF(AA15="","12:15",VLOOKUP(AA15,社員データ!$T$7:$AB$34,7,FALSE))</f>
        <v>12:15</v>
      </c>
      <c r="AB78" s="166" t="str">
        <f>IF(AB15="","12:15",VLOOKUP(AB15,社員データ!$T$7:$AB$34,7,FALSE))</f>
        <v>12:15</v>
      </c>
      <c r="AC78" s="166" t="str">
        <f>IF(AC15="","12:15",VLOOKUP(AC15,社員データ!$T$7:$AB$34,7,FALSE))</f>
        <v>12:15</v>
      </c>
      <c r="AD78" s="166" t="str">
        <f>IF(AD15="","12:15",VLOOKUP(AD15,社員データ!$T$7:$AB$34,7,FALSE))</f>
        <v>12:15</v>
      </c>
      <c r="AE78" s="166" t="str">
        <f>IF(AE15="","12:15",VLOOKUP(AE15,社員データ!$T$7:$AB$34,7,FALSE))</f>
        <v>12:15</v>
      </c>
      <c r="AF78" s="166" t="str">
        <f>IF(AF15="","12:15",VLOOKUP(AF15,社員データ!$T$7:$AB$34,7,FALSE))</f>
        <v>12:15</v>
      </c>
      <c r="AG78" s="166" t="str">
        <f>IF(AG15="","12:15",VLOOKUP(AG15,社員データ!$T$7:$AB$34,7,FALSE))</f>
        <v>12:15</v>
      </c>
      <c r="AH78" s="166" t="str">
        <f>IF(AH15="","12:15",VLOOKUP(AH15,社員データ!$T$7:$AB$34,7,FALSE))</f>
        <v>12:15</v>
      </c>
      <c r="AI78" s="166" t="str">
        <f>IF(AI15="","12:15",VLOOKUP(AI15,社員データ!$T$7:$AB$34,7,FALSE))</f>
        <v>12:15</v>
      </c>
      <c r="AJ78" s="166" t="str">
        <f>IF(AJ15="","12:15",VLOOKUP(AJ15,社員データ!$T$7:$AB$34,7,FALSE))</f>
        <v>12:15</v>
      </c>
      <c r="AK78" s="166" t="str">
        <f>IF(AK15="","12:15",VLOOKUP(AK15,社員データ!$T$7:$AB$34,7,FALSE))</f>
        <v>12:15</v>
      </c>
      <c r="AL78" s="166" t="str">
        <f>IF($AL$68="","",IF(AL15="","12:55",VLOOKUP(AL15,社員データ!$T$7:$AB$34,7,FALSE)))</f>
        <v/>
      </c>
      <c r="AM78" s="2"/>
      <c r="AN78" s="2"/>
      <c r="AO78" s="2"/>
    </row>
    <row r="79" spans="7:41" x14ac:dyDescent="0.2">
      <c r="G79" s="168"/>
      <c r="H79" s="166" t="str">
        <f>IF(H15="","-",VLOOKUP(H15,社員データ!$T$7:$AB$34,8,FALSE))</f>
        <v>-</v>
      </c>
      <c r="I79" s="166" t="str">
        <f>IF(I15="","-",VLOOKUP(I15,社員データ!$T$7:$AB$34,8,FALSE))</f>
        <v>-</v>
      </c>
      <c r="J79" s="166" t="str">
        <f>IF(J15="","-",VLOOKUP(J15,社員データ!$T$7:$AB$34,8,FALSE))</f>
        <v>-</v>
      </c>
      <c r="K79" s="166" t="str">
        <f>IF(K15="","-",VLOOKUP(K15,社員データ!$T$7:$AB$34,8,FALSE))</f>
        <v>-</v>
      </c>
      <c r="L79" s="166" t="str">
        <f>IF(L15="","-",VLOOKUP(L15,社員データ!$T$7:$AB$34,8,FALSE))</f>
        <v>-</v>
      </c>
      <c r="M79" s="166" t="str">
        <f>IF(M15="","-",VLOOKUP(M15,社員データ!$T$7:$AB$34,8,FALSE))</f>
        <v>-</v>
      </c>
      <c r="N79" s="166" t="str">
        <f>IF(N15="","-",VLOOKUP(N15,社員データ!$T$7:$AB$34,8,FALSE))</f>
        <v>-</v>
      </c>
      <c r="O79" s="166" t="str">
        <f>IF(O15="","-",VLOOKUP(O15,社員データ!$T$7:$AB$34,8,FALSE))</f>
        <v>-</v>
      </c>
      <c r="P79" s="166" t="str">
        <f>IF(P15="","-",VLOOKUP(P15,社員データ!$T$7:$AB$34,8,FALSE))</f>
        <v>-</v>
      </c>
      <c r="Q79" s="166" t="str">
        <f>IF(Q15="","-",VLOOKUP(Q15,社員データ!$T$7:$AB$34,8,FALSE))</f>
        <v>-</v>
      </c>
      <c r="R79" s="166" t="str">
        <f>IF(R15="","-",VLOOKUP(R15,社員データ!$T$7:$AB$34,8,FALSE))</f>
        <v>-</v>
      </c>
      <c r="S79" s="166" t="str">
        <f>IF(S15="","-",VLOOKUP(S15,社員データ!$T$7:$AB$34,8,FALSE))</f>
        <v>-</v>
      </c>
      <c r="T79" s="166" t="str">
        <f>IF(T15="","-",VLOOKUP(T15,社員データ!$T$7:$AB$34,8,FALSE))</f>
        <v>-</v>
      </c>
      <c r="U79" s="166" t="str">
        <f>IF(U15="","-",VLOOKUP(U15,社員データ!$T$7:$AB$34,8,FALSE))</f>
        <v>-</v>
      </c>
      <c r="V79" s="166" t="str">
        <f>IF(V15="","-",VLOOKUP(V15,社員データ!$T$7:$AB$34,8,FALSE))</f>
        <v>-</v>
      </c>
      <c r="W79" s="166" t="str">
        <f>IF(W15="","-",VLOOKUP(W15,社員データ!$T$7:$AB$34,8,FALSE))</f>
        <v>-</v>
      </c>
      <c r="X79" s="166" t="str">
        <f>IF(X15="","-",VLOOKUP(X15,社員データ!$T$7:$AB$34,8,FALSE))</f>
        <v>-</v>
      </c>
      <c r="Y79" s="166" t="str">
        <f>IF(Y15="","-",VLOOKUP(Y15,社員データ!$T$7:$AB$34,8,FALSE))</f>
        <v>-</v>
      </c>
      <c r="Z79" s="166" t="str">
        <f>IF(Z15="","-",VLOOKUP(Z15,社員データ!$T$7:$AB$34,8,FALSE))</f>
        <v>-</v>
      </c>
      <c r="AA79" s="166" t="str">
        <f>IF(AA15="","-",VLOOKUP(AA15,社員データ!$T$7:$AB$34,8,FALSE))</f>
        <v>-</v>
      </c>
      <c r="AB79" s="166" t="str">
        <f>IF(AB15="","-",VLOOKUP(AB15,社員データ!$T$7:$AB$34,8,FALSE))</f>
        <v>-</v>
      </c>
      <c r="AC79" s="166" t="str">
        <f>IF(AC15="","-",VLOOKUP(AC15,社員データ!$T$7:$AB$34,8,FALSE))</f>
        <v>-</v>
      </c>
      <c r="AD79" s="166" t="str">
        <f>IF(AD15="","-",VLOOKUP(AD15,社員データ!$T$7:$AB$34,8,FALSE))</f>
        <v>-</v>
      </c>
      <c r="AE79" s="166" t="str">
        <f>IF(AE15="","-",VLOOKUP(AE15,社員データ!$T$7:$AB$34,8,FALSE))</f>
        <v>-</v>
      </c>
      <c r="AF79" s="166" t="str">
        <f>IF(AF15="","-",VLOOKUP(AF15,社員データ!$T$7:$AB$34,8,FALSE))</f>
        <v>-</v>
      </c>
      <c r="AG79" s="166" t="str">
        <f>IF(AG15="","-",VLOOKUP(AG15,社員データ!$T$7:$AB$34,8,FALSE))</f>
        <v>-</v>
      </c>
      <c r="AH79" s="166" t="str">
        <f>IF(AH15="","-",VLOOKUP(AH15,社員データ!$T$7:$AB$34,8,FALSE))</f>
        <v>-</v>
      </c>
      <c r="AI79" s="166" t="str">
        <f>IF(AI15="","-",VLOOKUP(AI15,社員データ!$T$7:$AB$34,8,FALSE))</f>
        <v>-</v>
      </c>
      <c r="AJ79" s="166" t="str">
        <f>IF(AJ15="","-",VLOOKUP(AJ15,社員データ!$T$7:$AB$34,8,FALSE))</f>
        <v>-</v>
      </c>
      <c r="AK79" s="166" t="str">
        <f>IF(AK15="","-",VLOOKUP(AK15,社員データ!$T$7:$AB$34,8,FALSE))</f>
        <v>-</v>
      </c>
      <c r="AL79" s="166" t="str">
        <f>IF($AL$68="","",IF(AL15="","-",VLOOKUP(AL15,社員データ!$T$7:$AB$34,8,FALSE)))</f>
        <v/>
      </c>
      <c r="AN79" s="2"/>
      <c r="AO79" s="2"/>
    </row>
    <row r="80" spans="7:41" x14ac:dyDescent="0.2">
      <c r="G80" s="168">
        <f>G16</f>
        <v>0</v>
      </c>
      <c r="H80" s="166" t="str">
        <f>IF(H16="","",VLOOKUP(H16,社員データ!$T$7:$AB$34,7,FALSE))</f>
        <v/>
      </c>
      <c r="I80" s="166" t="str">
        <f>IF(I16="","",VLOOKUP(I16,社員データ!$T$7:$AB$34,7,FALSE))</f>
        <v/>
      </c>
      <c r="J80" s="166" t="str">
        <f>IF(J16="","",VLOOKUP(J16,社員データ!$T$7:$AB$34,7,FALSE))</f>
        <v/>
      </c>
      <c r="K80" s="166" t="str">
        <f>IF(K16="","",VLOOKUP(K16,社員データ!$T$7:$AB$34,7,FALSE))</f>
        <v/>
      </c>
      <c r="L80" s="166" t="str">
        <f>IF(L16="","",VLOOKUP(L16,社員データ!$T$7:$AB$34,7,FALSE))</f>
        <v/>
      </c>
      <c r="M80" s="166" t="str">
        <f>IF(M16="","",VLOOKUP(M16,社員データ!$T$7:$AB$34,7,FALSE))</f>
        <v/>
      </c>
      <c r="N80" s="166" t="str">
        <f>IF(N16="","",VLOOKUP(N16,社員データ!$T$7:$AB$34,7,FALSE))</f>
        <v/>
      </c>
      <c r="O80" s="166" t="str">
        <f>IF(O16="","",VLOOKUP(O16,社員データ!$T$7:$AB$34,7,FALSE))</f>
        <v/>
      </c>
      <c r="P80" s="166" t="str">
        <f>IF(P16="","",VLOOKUP(P16,社員データ!$T$7:$AB$34,7,FALSE))</f>
        <v/>
      </c>
      <c r="Q80" s="166" t="str">
        <f>IF(Q16="","",VLOOKUP(Q16,社員データ!$T$7:$AB$34,7,FALSE))</f>
        <v/>
      </c>
      <c r="R80" s="166" t="str">
        <f>IF(R16="","",VLOOKUP(R16,社員データ!$T$7:$AB$34,7,FALSE))</f>
        <v/>
      </c>
      <c r="S80" s="166" t="str">
        <f>IF(S16="","",VLOOKUP(S16,社員データ!$T$7:$AB$34,7,FALSE))</f>
        <v/>
      </c>
      <c r="T80" s="166" t="str">
        <f>IF(T16="","",VLOOKUP(T16,社員データ!$T$7:$AB$34,7,FALSE))</f>
        <v/>
      </c>
      <c r="U80" s="166" t="str">
        <f>IF(U16="","",VLOOKUP(U16,社員データ!$T$7:$AB$34,7,FALSE))</f>
        <v/>
      </c>
      <c r="V80" s="166" t="str">
        <f>IF(V16="","",VLOOKUP(V16,社員データ!$T$7:$AB$34,7,FALSE))</f>
        <v/>
      </c>
      <c r="W80" s="166" t="str">
        <f>IF(W16="","",VLOOKUP(W16,社員データ!$T$7:$AB$34,7,FALSE))</f>
        <v/>
      </c>
      <c r="X80" s="166" t="str">
        <f>IF(X16="","",VLOOKUP(X16,社員データ!$T$7:$AB$34,7,FALSE))</f>
        <v/>
      </c>
      <c r="Y80" s="166" t="str">
        <f>IF(Y16="","",VLOOKUP(Y16,社員データ!$T$7:$AB$34,7,FALSE))</f>
        <v/>
      </c>
      <c r="Z80" s="166" t="str">
        <f>IF(Z16="","",VLOOKUP(Z16,社員データ!$T$7:$AB$34,7,FALSE))</f>
        <v/>
      </c>
      <c r="AA80" s="166" t="str">
        <f>IF(AA16="","",VLOOKUP(AA16,社員データ!$T$7:$AB$34,7,FALSE))</f>
        <v/>
      </c>
      <c r="AB80" s="166" t="str">
        <f>IF(AB16="","",VLOOKUP(AB16,社員データ!$T$7:$AB$34,7,FALSE))</f>
        <v/>
      </c>
      <c r="AC80" s="166" t="str">
        <f>IF(AC16="","",VLOOKUP(AC16,社員データ!$T$7:$AB$34,7,FALSE))</f>
        <v/>
      </c>
      <c r="AD80" s="166" t="str">
        <f>IF(AD16="","",VLOOKUP(AD16,社員データ!$T$7:$AB$34,7,FALSE))</f>
        <v/>
      </c>
      <c r="AE80" s="166" t="str">
        <f>IF(AE16="","",VLOOKUP(AE16,社員データ!$T$7:$AB$34,7,FALSE))</f>
        <v/>
      </c>
      <c r="AF80" s="166" t="str">
        <f>IF(AF16="","",VLOOKUP(AF16,社員データ!$T$7:$AB$34,7,FALSE))</f>
        <v/>
      </c>
      <c r="AG80" s="166" t="str">
        <f>IF(AG16="","",VLOOKUP(AG16,社員データ!$T$7:$AB$34,7,FALSE))</f>
        <v/>
      </c>
      <c r="AH80" s="166" t="str">
        <f>IF(AH16="","",VLOOKUP(AH16,社員データ!$T$7:$AB$34,7,FALSE))</f>
        <v/>
      </c>
      <c r="AI80" s="166" t="str">
        <f>IF(AI16="","",VLOOKUP(AI16,社員データ!$T$7:$AB$34,7,FALSE))</f>
        <v/>
      </c>
      <c r="AJ80" s="166" t="str">
        <f>IF(AJ16="","",VLOOKUP(AJ16,社員データ!$T$7:$AB$34,7,FALSE))</f>
        <v/>
      </c>
      <c r="AK80" s="166" t="str">
        <f>IF(AK16="","",VLOOKUP(AK16,社員データ!$T$7:$AB$34,7,FALSE))</f>
        <v/>
      </c>
      <c r="AL80" s="166" t="str">
        <f>IF(AL16="","",VLOOKUP(AL16,社員データ!$T$7:$AB$34,7,FALSE))</f>
        <v/>
      </c>
    </row>
    <row r="81" spans="7:38" x14ac:dyDescent="0.2">
      <c r="G81" s="168"/>
      <c r="H81" s="166" t="str">
        <f>IF(H16="","",VLOOKUP(H16,社員データ!$T$7:$AB$34,8,FALSE))</f>
        <v/>
      </c>
      <c r="I81" s="166" t="str">
        <f>IF(I16="","",VLOOKUP(I16,社員データ!$T$7:$AB$34,8,FALSE))</f>
        <v/>
      </c>
      <c r="J81" s="166" t="str">
        <f>IF(J16="","",VLOOKUP(J16,社員データ!$T$7:$AB$34,8,FALSE))</f>
        <v/>
      </c>
      <c r="K81" s="166" t="str">
        <f>IF(K16="","",VLOOKUP(K16,社員データ!$T$7:$AB$34,8,FALSE))</f>
        <v/>
      </c>
      <c r="L81" s="166" t="str">
        <f>IF(L16="","",VLOOKUP(L16,社員データ!$T$7:$AB$34,8,FALSE))</f>
        <v/>
      </c>
      <c r="M81" s="166" t="str">
        <f>IF(M16="","",VLOOKUP(M16,社員データ!$T$7:$AB$34,8,FALSE))</f>
        <v/>
      </c>
      <c r="N81" s="166" t="str">
        <f>IF(N16="","",VLOOKUP(N16,社員データ!$T$7:$AB$34,8,FALSE))</f>
        <v/>
      </c>
      <c r="O81" s="166" t="str">
        <f>IF(O16="","",VLOOKUP(O16,社員データ!$T$7:$AB$34,8,FALSE))</f>
        <v/>
      </c>
      <c r="P81" s="166" t="str">
        <f>IF(P16="","",VLOOKUP(P16,社員データ!$T$7:$AB$34,8,FALSE))</f>
        <v/>
      </c>
      <c r="Q81" s="166" t="str">
        <f>IF(Q16="","",VLOOKUP(Q16,社員データ!$T$7:$AB$34,8,FALSE))</f>
        <v/>
      </c>
      <c r="R81" s="166" t="str">
        <f>IF(R16="","",VLOOKUP(R16,社員データ!$T$7:$AB$34,8,FALSE))</f>
        <v/>
      </c>
      <c r="S81" s="166" t="str">
        <f>IF(S16="","",VLOOKUP(S16,社員データ!$T$7:$AB$34,8,FALSE))</f>
        <v/>
      </c>
      <c r="T81" s="166" t="str">
        <f>IF(T16="","",VLOOKUP(T16,社員データ!$T$7:$AB$34,8,FALSE))</f>
        <v/>
      </c>
      <c r="U81" s="166" t="str">
        <f>IF(U16="","",VLOOKUP(U16,社員データ!$T$7:$AB$34,8,FALSE))</f>
        <v/>
      </c>
      <c r="V81" s="166" t="str">
        <f>IF(V16="","",VLOOKUP(V16,社員データ!$T$7:$AB$34,8,FALSE))</f>
        <v/>
      </c>
      <c r="W81" s="166" t="str">
        <f>IF(W16="","",VLOOKUP(W16,社員データ!$T$7:$AB$34,8,FALSE))</f>
        <v/>
      </c>
      <c r="X81" s="166" t="str">
        <f>IF(X16="","",VLOOKUP(X16,社員データ!$T$7:$AB$34,8,FALSE))</f>
        <v/>
      </c>
      <c r="Y81" s="166" t="str">
        <f>IF(Y16="","",VLOOKUP(Y16,社員データ!$T$7:$AB$34,8,FALSE))</f>
        <v/>
      </c>
      <c r="Z81" s="166" t="str">
        <f>IF(Z16="","",VLOOKUP(Z16,社員データ!$T$7:$AB$34,8,FALSE))</f>
        <v/>
      </c>
      <c r="AA81" s="166" t="str">
        <f>IF(AA16="","",VLOOKUP(AA16,社員データ!$T$7:$AB$34,8,FALSE))</f>
        <v/>
      </c>
      <c r="AB81" s="166" t="str">
        <f>IF(AB16="","",VLOOKUP(AB16,社員データ!$T$7:$AB$34,8,FALSE))</f>
        <v/>
      </c>
      <c r="AC81" s="166" t="str">
        <f>IF(AC16="","",VLOOKUP(AC16,社員データ!$T$7:$AB$34,8,FALSE))</f>
        <v/>
      </c>
      <c r="AD81" s="166" t="str">
        <f>IF(AD16="","",VLOOKUP(AD16,社員データ!$T$7:$AB$34,8,FALSE))</f>
        <v/>
      </c>
      <c r="AE81" s="166" t="str">
        <f>IF(AE16="","",VLOOKUP(AE16,社員データ!$T$7:$AB$34,8,FALSE))</f>
        <v/>
      </c>
      <c r="AF81" s="166" t="str">
        <f>IF(AF16="","",VLOOKUP(AF16,社員データ!$T$7:$AB$34,8,FALSE))</f>
        <v/>
      </c>
      <c r="AG81" s="166" t="str">
        <f>IF(AG16="","",VLOOKUP(AG16,社員データ!$T$7:$AB$34,8,FALSE))</f>
        <v/>
      </c>
      <c r="AH81" s="166" t="str">
        <f>IF(AH16="","",VLOOKUP(AH16,社員データ!$T$7:$AB$34,8,FALSE))</f>
        <v/>
      </c>
      <c r="AI81" s="166" t="str">
        <f>IF(AI16="","",VLOOKUP(AI16,社員データ!$T$7:$AB$34,8,FALSE))</f>
        <v/>
      </c>
      <c r="AJ81" s="166" t="str">
        <f>IF(AJ16="","",VLOOKUP(AJ16,社員データ!$T$7:$AB$34,8,FALSE))</f>
        <v/>
      </c>
      <c r="AK81" s="166" t="str">
        <f>IF(AK16="","",VLOOKUP(AK16,社員データ!$T$7:$AB$34,8,FALSE))</f>
        <v/>
      </c>
      <c r="AL81" s="166" t="str">
        <f>IF(AL16="","",VLOOKUP(AL16,社員データ!$T$7:$AB$34,8,FALSE))</f>
        <v/>
      </c>
    </row>
    <row r="82" spans="7:38" x14ac:dyDescent="0.2">
      <c r="G82" s="168">
        <f>G17</f>
        <v>0</v>
      </c>
      <c r="H82" s="166" t="str">
        <f>IF(H17="","",VLOOKUP(H17,社員データ!$T$7:$AB$34,6,FALSE))</f>
        <v/>
      </c>
      <c r="I82" s="166" t="str">
        <f>IF(I17="","",VLOOKUP(I17,社員データ!$T$7:$AB$34,6,FALSE))</f>
        <v/>
      </c>
      <c r="J82" s="166" t="str">
        <f>IF(J17="","",VLOOKUP(J17,社員データ!$T$7:$AB$34,6,FALSE))</f>
        <v/>
      </c>
      <c r="K82" s="166" t="str">
        <f>IF(K17="","",VLOOKUP(K17,社員データ!$T$7:$AB$34,6,FALSE))</f>
        <v/>
      </c>
      <c r="L82" s="166" t="str">
        <f>IF(L17="","",VLOOKUP(L17,社員データ!$T$7:$AB$34,6,FALSE))</f>
        <v/>
      </c>
      <c r="M82" s="166" t="str">
        <f>IF(M17="","",VLOOKUP(M17,社員データ!$T$7:$AB$34,6,FALSE))</f>
        <v/>
      </c>
      <c r="N82" s="166" t="str">
        <f>IF(N17="","",VLOOKUP(N17,社員データ!$T$7:$AB$34,6,FALSE))</f>
        <v/>
      </c>
      <c r="O82" s="166" t="str">
        <f>IF(O17="","",VLOOKUP(O17,社員データ!$T$7:$AB$34,6,FALSE))</f>
        <v/>
      </c>
      <c r="P82" s="166" t="str">
        <f>IF(P17="","",VLOOKUP(P17,社員データ!$T$7:$AB$34,6,FALSE))</f>
        <v/>
      </c>
      <c r="Q82" s="166" t="str">
        <f>IF(Q17="","",VLOOKUP(Q17,社員データ!$T$7:$AB$34,6,FALSE))</f>
        <v/>
      </c>
      <c r="R82" s="166" t="str">
        <f>IF(R17="","",VLOOKUP(R17,社員データ!$T$7:$AB$34,6,FALSE))</f>
        <v/>
      </c>
      <c r="S82" s="166" t="str">
        <f>IF(S17="","",VLOOKUP(S17,社員データ!$T$7:$AB$34,6,FALSE))</f>
        <v/>
      </c>
      <c r="T82" s="166" t="str">
        <f>IF(T17="","",VLOOKUP(T17,社員データ!$T$7:$AB$34,6,FALSE))</f>
        <v/>
      </c>
      <c r="U82" s="166" t="str">
        <f>IF(U17="","",VLOOKUP(U17,社員データ!$T$7:$AB$34,6,FALSE))</f>
        <v/>
      </c>
      <c r="V82" s="166" t="str">
        <f>IF(V17="","",VLOOKUP(V17,社員データ!$T$7:$AB$34,6,FALSE))</f>
        <v/>
      </c>
      <c r="W82" s="166" t="str">
        <f>IF(W17="","",VLOOKUP(W17,社員データ!$T$7:$AB$34,6,FALSE))</f>
        <v/>
      </c>
      <c r="X82" s="166" t="str">
        <f>IF(X17="","",VLOOKUP(X17,社員データ!$T$7:$AB$34,6,FALSE))</f>
        <v/>
      </c>
      <c r="Y82" s="166" t="str">
        <f>IF(Y17="","",VLOOKUP(Y17,社員データ!$T$7:$AB$34,6,FALSE))</f>
        <v/>
      </c>
      <c r="Z82" s="166" t="str">
        <f>IF(Z17="","",VLOOKUP(Z17,社員データ!$T$7:$AB$34,6,FALSE))</f>
        <v/>
      </c>
      <c r="AA82" s="166" t="str">
        <f>IF(AA17="","",VLOOKUP(AA17,社員データ!$T$7:$AB$34,6,FALSE))</f>
        <v/>
      </c>
      <c r="AB82" s="166" t="str">
        <f>IF(AB17="","",VLOOKUP(AB17,社員データ!$T$7:$AB$34,6,FALSE))</f>
        <v/>
      </c>
      <c r="AC82" s="166" t="str">
        <f>IF(AC17="","",VLOOKUP(AC17,社員データ!$T$7:$AB$34,6,FALSE))</f>
        <v/>
      </c>
      <c r="AD82" s="166" t="str">
        <f>IF(AD17="","",VLOOKUP(AD17,社員データ!$T$7:$AB$34,6,FALSE))</f>
        <v/>
      </c>
      <c r="AE82" s="166" t="str">
        <f>IF(AE17="","",VLOOKUP(AE17,社員データ!$T$7:$AB$34,6,FALSE))</f>
        <v/>
      </c>
      <c r="AF82" s="166" t="str">
        <f>IF(AF17="","",VLOOKUP(AF17,社員データ!$T$7:$AB$34,6,FALSE))</f>
        <v/>
      </c>
      <c r="AG82" s="166" t="str">
        <f>IF(AG17="","",VLOOKUP(AG17,社員データ!$T$7:$AB$34,6,FALSE))</f>
        <v/>
      </c>
      <c r="AH82" s="166" t="str">
        <f>IF(AH17="","",VLOOKUP(AH17,社員データ!$T$7:$AB$34,6,FALSE))</f>
        <v/>
      </c>
      <c r="AI82" s="166" t="str">
        <f>IF(AI17="","",VLOOKUP(AI17,社員データ!$T$7:$AB$34,6,FALSE))</f>
        <v/>
      </c>
      <c r="AJ82" s="166" t="str">
        <f>IF(AJ17="","",VLOOKUP(AJ17,社員データ!$T$7:$AB$34,6,FALSE))</f>
        <v/>
      </c>
      <c r="AK82" s="166" t="str">
        <f>IF(AK17="","",VLOOKUP(AK17,社員データ!$T$7:$AB$34,6,FALSE))</f>
        <v/>
      </c>
      <c r="AL82" s="166" t="str">
        <f>IF(AL17="","",VLOOKUP(AL17,社員データ!$T$7:$AB$34,6,FALSE))</f>
        <v/>
      </c>
    </row>
    <row r="83" spans="7:38" x14ac:dyDescent="0.2">
      <c r="G83" s="168"/>
      <c r="H83" s="166" t="str">
        <f>IF(H17="","",VLOOKUP(H17,社員データ!$T$7:$AB$34,9,FALSE))</f>
        <v/>
      </c>
      <c r="I83" s="166" t="str">
        <f>IF(I17="","",VLOOKUP(I17,社員データ!$T$7:$AB$34,9,FALSE))</f>
        <v/>
      </c>
      <c r="J83" s="166" t="str">
        <f>IF(J17="","",VLOOKUP(J17,社員データ!$T$7:$AB$34,9,FALSE))</f>
        <v/>
      </c>
      <c r="K83" s="166" t="str">
        <f>IF(K17="","",VLOOKUP(K17,社員データ!$T$7:$AB$34,9,FALSE))</f>
        <v/>
      </c>
      <c r="L83" s="166" t="str">
        <f>IF(L17="","",VLOOKUP(L17,社員データ!$T$7:$AB$34,9,FALSE))</f>
        <v/>
      </c>
      <c r="M83" s="166" t="str">
        <f>IF(M17="","",VLOOKUP(M17,社員データ!$T$7:$AB$34,9,FALSE))</f>
        <v/>
      </c>
      <c r="N83" s="166" t="str">
        <f>IF(N17="","",VLOOKUP(N17,社員データ!$T$7:$AB$34,9,FALSE))</f>
        <v/>
      </c>
      <c r="O83" s="166" t="str">
        <f>IF(O17="","",VLOOKUP(O17,社員データ!$T$7:$AB$34,9,FALSE))</f>
        <v/>
      </c>
      <c r="P83" s="166" t="str">
        <f>IF(P17="","",VLOOKUP(P17,社員データ!$T$7:$AB$34,9,FALSE))</f>
        <v/>
      </c>
      <c r="Q83" s="166" t="str">
        <f>IF(Q17="","",VLOOKUP(Q17,社員データ!$T$7:$AB$34,9,FALSE))</f>
        <v/>
      </c>
      <c r="R83" s="166" t="str">
        <f>IF(R17="","",VLOOKUP(R17,社員データ!$T$7:$AB$34,9,FALSE))</f>
        <v/>
      </c>
      <c r="S83" s="166" t="str">
        <f>IF(S17="","",VLOOKUP(S17,社員データ!$T$7:$AB$34,9,FALSE))</f>
        <v/>
      </c>
      <c r="T83" s="166" t="str">
        <f>IF(T17="","",VLOOKUP(T17,社員データ!$T$7:$AB$34,9,FALSE))</f>
        <v/>
      </c>
      <c r="U83" s="166" t="str">
        <f>IF(U17="","",VLOOKUP(U17,社員データ!$T$7:$AB$34,9,FALSE))</f>
        <v/>
      </c>
      <c r="V83" s="166" t="str">
        <f>IF(V17="","",VLOOKUP(V17,社員データ!$T$7:$AB$34,9,FALSE))</f>
        <v/>
      </c>
      <c r="W83" s="166" t="str">
        <f>IF(W17="","",VLOOKUP(W17,社員データ!$T$7:$AB$34,9,FALSE))</f>
        <v/>
      </c>
      <c r="X83" s="166" t="str">
        <f>IF(X17="","",VLOOKUP(X17,社員データ!$T$7:$AB$34,9,FALSE))</f>
        <v/>
      </c>
      <c r="Y83" s="166" t="str">
        <f>IF(Y17="","",VLOOKUP(Y17,社員データ!$T$7:$AB$34,9,FALSE))</f>
        <v/>
      </c>
      <c r="Z83" s="166" t="str">
        <f>IF(Z17="","",VLOOKUP(Z17,社員データ!$T$7:$AB$34,9,FALSE))</f>
        <v/>
      </c>
      <c r="AA83" s="166" t="str">
        <f>IF(AA17="","",VLOOKUP(AA17,社員データ!$T$7:$AB$34,9,FALSE))</f>
        <v/>
      </c>
      <c r="AB83" s="166" t="str">
        <f>IF(AB17="","",VLOOKUP(AB17,社員データ!$T$7:$AB$34,9,FALSE))</f>
        <v/>
      </c>
      <c r="AC83" s="166" t="str">
        <f>IF(AC17="","",VLOOKUP(AC17,社員データ!$T$7:$AB$34,9,FALSE))</f>
        <v/>
      </c>
      <c r="AD83" s="166" t="str">
        <f>IF(AD17="","",VLOOKUP(AD17,社員データ!$T$7:$AB$34,9,FALSE))</f>
        <v/>
      </c>
      <c r="AE83" s="166" t="str">
        <f>IF(AE17="","",VLOOKUP(AE17,社員データ!$T$7:$AB$34,9,FALSE))</f>
        <v/>
      </c>
      <c r="AF83" s="166" t="str">
        <f>IF(AF17="","",VLOOKUP(AF17,社員データ!$T$7:$AB$34,9,FALSE))</f>
        <v/>
      </c>
      <c r="AG83" s="166" t="str">
        <f>IF(AG17="","",VLOOKUP(AG17,社員データ!$T$7:$AB$34,9,FALSE))</f>
        <v/>
      </c>
      <c r="AH83" s="166" t="str">
        <f>IF(AH17="","",VLOOKUP(AH17,社員データ!$T$7:$AB$34,9,FALSE))</f>
        <v/>
      </c>
      <c r="AI83" s="166" t="str">
        <f>IF(AI17="","",VLOOKUP(AI17,社員データ!$T$7:$AB$34,9,FALSE))</f>
        <v/>
      </c>
      <c r="AJ83" s="166" t="str">
        <f>IF(AJ17="","",VLOOKUP(AJ17,社員データ!$T$7:$AB$34,9,FALSE))</f>
        <v/>
      </c>
      <c r="AK83" s="166" t="str">
        <f>IF(AK17="","",VLOOKUP(AK17,社員データ!$T$7:$AB$34,9,FALSE))</f>
        <v/>
      </c>
      <c r="AL83" s="166" t="str">
        <f>IF(AL17="","",VLOOKUP(AL17,社員データ!$T$7:$AB$34,9,FALSE))</f>
        <v/>
      </c>
    </row>
    <row r="84" spans="7:38" x14ac:dyDescent="0.2">
      <c r="G84" s="168">
        <f>G18</f>
        <v>0</v>
      </c>
      <c r="H84" s="166" t="str">
        <f>IF(H18="","",VLOOKUP(H18,社員データ!$T$7:$AB$34,6,FALSE))</f>
        <v/>
      </c>
      <c r="I84" s="166" t="str">
        <f>IF(I18="","",VLOOKUP(I18,社員データ!$T$7:$AB$34,6,FALSE))</f>
        <v/>
      </c>
      <c r="J84" s="166" t="str">
        <f>IF(J18="","",VLOOKUP(J18,社員データ!$T$7:$AB$34,6,FALSE))</f>
        <v/>
      </c>
      <c r="K84" s="166" t="str">
        <f>IF(K18="","",VLOOKUP(K18,社員データ!$T$7:$AB$34,6,FALSE))</f>
        <v/>
      </c>
      <c r="L84" s="166" t="str">
        <f>IF(L18="","",VLOOKUP(L18,社員データ!$T$7:$AB$34,6,FALSE))</f>
        <v/>
      </c>
      <c r="M84" s="166" t="str">
        <f>IF(M18="","",VLOOKUP(M18,社員データ!$T$7:$AB$34,6,FALSE))</f>
        <v/>
      </c>
      <c r="N84" s="166" t="str">
        <f>IF(N18="","",VLOOKUP(N18,社員データ!$T$7:$AB$34,6,FALSE))</f>
        <v/>
      </c>
      <c r="O84" s="166" t="str">
        <f>IF(O18="","",VLOOKUP(O18,社員データ!$T$7:$AB$34,6,FALSE))</f>
        <v/>
      </c>
      <c r="P84" s="166" t="str">
        <f>IF(P18="","",VLOOKUP(P18,社員データ!$T$7:$AB$34,6,FALSE))</f>
        <v/>
      </c>
      <c r="Q84" s="166" t="str">
        <f>IF(Q18="","",VLOOKUP(Q18,社員データ!$T$7:$AB$34,6,FALSE))</f>
        <v/>
      </c>
      <c r="R84" s="166" t="str">
        <f>IF(R18="","",VLOOKUP(R18,社員データ!$T$7:$AB$34,6,FALSE))</f>
        <v/>
      </c>
      <c r="S84" s="166" t="str">
        <f>IF(S18="","",VLOOKUP(S18,社員データ!$T$7:$AB$34,6,FALSE))</f>
        <v/>
      </c>
      <c r="T84" s="166" t="str">
        <f>IF(T18="","",VLOOKUP(T18,社員データ!$T$7:$AB$34,6,FALSE))</f>
        <v/>
      </c>
      <c r="U84" s="166" t="str">
        <f>IF(U18="","",VLOOKUP(U18,社員データ!$T$7:$AB$34,6,FALSE))</f>
        <v/>
      </c>
      <c r="V84" s="166" t="str">
        <f>IF(V18="","",VLOOKUP(V18,社員データ!$T$7:$AB$34,6,FALSE))</f>
        <v/>
      </c>
      <c r="W84" s="166" t="str">
        <f>IF(W18="","",VLOOKUP(W18,社員データ!$T$7:$AB$34,6,FALSE))</f>
        <v/>
      </c>
      <c r="X84" s="166" t="str">
        <f>IF(X18="","",VLOOKUP(X18,社員データ!$T$7:$AB$34,6,FALSE))</f>
        <v/>
      </c>
      <c r="Y84" s="166" t="str">
        <f>IF(Y18="","",VLOOKUP(Y18,社員データ!$T$7:$AB$34,6,FALSE))</f>
        <v/>
      </c>
      <c r="Z84" s="166" t="str">
        <f>IF(Z18="","",VLOOKUP(Z18,社員データ!$T$7:$AB$34,6,FALSE))</f>
        <v/>
      </c>
      <c r="AA84" s="166" t="str">
        <f>IF(AA18="","",VLOOKUP(AA18,社員データ!$T$7:$AB$34,6,FALSE))</f>
        <v/>
      </c>
      <c r="AB84" s="166" t="str">
        <f>IF(AB18="","",VLOOKUP(AB18,社員データ!$T$7:$AB$34,6,FALSE))</f>
        <v/>
      </c>
      <c r="AC84" s="166" t="str">
        <f>IF(AC18="","",VLOOKUP(AC18,社員データ!$T$7:$AB$34,6,FALSE))</f>
        <v/>
      </c>
      <c r="AD84" s="166" t="str">
        <f>IF(AD18="","",VLOOKUP(AD18,社員データ!$T$7:$AB$34,6,FALSE))</f>
        <v/>
      </c>
      <c r="AE84" s="166" t="str">
        <f>IF(AE18="","",VLOOKUP(AE18,社員データ!$T$7:$AB$34,6,FALSE))</f>
        <v/>
      </c>
      <c r="AF84" s="166" t="str">
        <f>IF(AF18="","",VLOOKUP(AF18,社員データ!$T$7:$AB$34,6,FALSE))</f>
        <v/>
      </c>
      <c r="AG84" s="166" t="str">
        <f>IF(AG18="","",VLOOKUP(AG18,社員データ!$T$7:$AB$34,6,FALSE))</f>
        <v/>
      </c>
      <c r="AH84" s="166" t="str">
        <f>IF(AH18="","",VLOOKUP(AH18,社員データ!$T$7:$AB$34,6,FALSE))</f>
        <v/>
      </c>
      <c r="AI84" s="166" t="str">
        <f>IF(AI18="","",VLOOKUP(AI18,社員データ!$T$7:$AB$34,6,FALSE))</f>
        <v/>
      </c>
      <c r="AJ84" s="166" t="str">
        <f>IF(AJ18="","",VLOOKUP(AJ18,社員データ!$T$7:$AB$34,6,FALSE))</f>
        <v/>
      </c>
      <c r="AK84" s="166" t="str">
        <f>IF(AK18="","",VLOOKUP(AK18,社員データ!$T$7:$AB$34,6,FALSE))</f>
        <v/>
      </c>
      <c r="AL84" s="166" t="str">
        <f>IF(AL18="","",VLOOKUP(AL18,社員データ!$T$7:$AB$34,6,FALSE))</f>
        <v/>
      </c>
    </row>
    <row r="85" spans="7:38" x14ac:dyDescent="0.2">
      <c r="G85" s="168"/>
      <c r="H85" s="166" t="str">
        <f>IF(H18="","",VLOOKUP(H18,社員データ!$T$7:$AB$34,9,FALSE))</f>
        <v/>
      </c>
      <c r="I85" s="166" t="str">
        <f>IF(I18="","",VLOOKUP(I18,社員データ!$T$7:$AB$34,9,FALSE))</f>
        <v/>
      </c>
      <c r="J85" s="166" t="str">
        <f>IF(J18="","",VLOOKUP(J18,社員データ!$T$7:$AB$34,9,FALSE))</f>
        <v/>
      </c>
      <c r="K85" s="166" t="str">
        <f>IF(K18="","",VLOOKUP(K18,社員データ!$T$7:$AB$34,9,FALSE))</f>
        <v/>
      </c>
      <c r="L85" s="166" t="str">
        <f>IF(L18="","",VLOOKUP(L18,社員データ!$T$7:$AB$34,9,FALSE))</f>
        <v/>
      </c>
      <c r="M85" s="166" t="str">
        <f>IF(M18="","",VLOOKUP(M18,社員データ!$T$7:$AB$34,9,FALSE))</f>
        <v/>
      </c>
      <c r="N85" s="166" t="str">
        <f>IF(N18="","",VLOOKUP(N18,社員データ!$T$7:$AB$34,9,FALSE))</f>
        <v/>
      </c>
      <c r="O85" s="166" t="str">
        <f>IF(O18="","",VLOOKUP(O18,社員データ!$T$7:$AB$34,9,FALSE))</f>
        <v/>
      </c>
      <c r="P85" s="166" t="str">
        <f>IF(P18="","",VLOOKUP(P18,社員データ!$T$7:$AB$34,9,FALSE))</f>
        <v/>
      </c>
      <c r="Q85" s="166" t="str">
        <f>IF(Q18="","",VLOOKUP(Q18,社員データ!$T$7:$AB$34,9,FALSE))</f>
        <v/>
      </c>
      <c r="R85" s="166" t="str">
        <f>IF(R18="","",VLOOKUP(R18,社員データ!$T$7:$AB$34,9,FALSE))</f>
        <v/>
      </c>
      <c r="S85" s="166" t="str">
        <f>IF(S18="","",VLOOKUP(S18,社員データ!$T$7:$AB$34,9,FALSE))</f>
        <v/>
      </c>
      <c r="T85" s="166" t="str">
        <f>IF(T18="","",VLOOKUP(T18,社員データ!$T$7:$AB$34,9,FALSE))</f>
        <v/>
      </c>
      <c r="U85" s="166" t="str">
        <f>IF(U18="","",VLOOKUP(U18,社員データ!$T$7:$AB$34,9,FALSE))</f>
        <v/>
      </c>
      <c r="V85" s="166" t="str">
        <f>IF(V18="","",VLOOKUP(V18,社員データ!$T$7:$AB$34,9,FALSE))</f>
        <v/>
      </c>
      <c r="W85" s="166" t="str">
        <f>IF(W18="","",VLOOKUP(W18,社員データ!$T$7:$AB$34,9,FALSE))</f>
        <v/>
      </c>
      <c r="X85" s="166" t="str">
        <f>IF(X18="","",VLOOKUP(X18,社員データ!$T$7:$AB$34,9,FALSE))</f>
        <v/>
      </c>
      <c r="Y85" s="166" t="str">
        <f>IF(Y18="","",VLOOKUP(Y18,社員データ!$T$7:$AB$34,9,FALSE))</f>
        <v/>
      </c>
      <c r="Z85" s="166" t="str">
        <f>IF(Z18="","",VLOOKUP(Z18,社員データ!$T$7:$AB$34,9,FALSE))</f>
        <v/>
      </c>
      <c r="AA85" s="166" t="str">
        <f>IF(AA18="","",VLOOKUP(AA18,社員データ!$T$7:$AB$34,9,FALSE))</f>
        <v/>
      </c>
      <c r="AB85" s="166" t="str">
        <f>IF(AB18="","",VLOOKUP(AB18,社員データ!$T$7:$AB$34,9,FALSE))</f>
        <v/>
      </c>
      <c r="AC85" s="166" t="str">
        <f>IF(AC18="","",VLOOKUP(AC18,社員データ!$T$7:$AB$34,9,FALSE))</f>
        <v/>
      </c>
      <c r="AD85" s="166" t="str">
        <f>IF(AD18="","",VLOOKUP(AD18,社員データ!$T$7:$AB$34,9,FALSE))</f>
        <v/>
      </c>
      <c r="AE85" s="166" t="str">
        <f>IF(AE18="","",VLOOKUP(AE18,社員データ!$T$7:$AB$34,9,FALSE))</f>
        <v/>
      </c>
      <c r="AF85" s="166" t="str">
        <f>IF(AF18="","",VLOOKUP(AF18,社員データ!$T$7:$AB$34,9,FALSE))</f>
        <v/>
      </c>
      <c r="AG85" s="166" t="str">
        <f>IF(AG18="","",VLOOKUP(AG18,社員データ!$T$7:$AB$34,9,FALSE))</f>
        <v/>
      </c>
      <c r="AH85" s="166" t="str">
        <f>IF(AH18="","",VLOOKUP(AH18,社員データ!$T$7:$AB$34,9,FALSE))</f>
        <v/>
      </c>
      <c r="AI85" s="166" t="str">
        <f>IF(AI18="","",VLOOKUP(AI18,社員データ!$T$7:$AB$34,9,FALSE))</f>
        <v/>
      </c>
      <c r="AJ85" s="166" t="str">
        <f>IF(AJ18="","",VLOOKUP(AJ18,社員データ!$T$7:$AB$34,9,FALSE))</f>
        <v/>
      </c>
      <c r="AK85" s="166" t="str">
        <f>IF(AK18="","",VLOOKUP(AK18,社員データ!$T$7:$AB$34,9,FALSE))</f>
        <v/>
      </c>
      <c r="AL85" s="166" t="str">
        <f>IF(AL18="","",VLOOKUP(AL18,社員データ!$T$7:$AB$34,9,FALSE))</f>
        <v/>
      </c>
    </row>
    <row r="86" spans="7:38" x14ac:dyDescent="0.2">
      <c r="G86" s="168">
        <f>G19</f>
        <v>0</v>
      </c>
      <c r="H86" s="166" t="str">
        <f>IF(H19="","",VLOOKUP(H19,社員データ!$T$7:$AB$34,6,FALSE))</f>
        <v/>
      </c>
      <c r="I86" s="166" t="str">
        <f>IF(I19="","",VLOOKUP(I19,社員データ!$T$7:$AB$34,6,FALSE))</f>
        <v/>
      </c>
      <c r="J86" s="166" t="str">
        <f>IF(J19="","",VLOOKUP(J19,社員データ!$T$7:$AB$34,6,FALSE))</f>
        <v/>
      </c>
      <c r="K86" s="166" t="str">
        <f>IF(K19="","",VLOOKUP(K19,社員データ!$T$7:$AB$34,6,FALSE))</f>
        <v/>
      </c>
      <c r="L86" s="166" t="str">
        <f>IF(L19="","",VLOOKUP(L19,社員データ!$T$7:$AB$34,6,FALSE))</f>
        <v/>
      </c>
      <c r="M86" s="166" t="str">
        <f>IF(M19="","",VLOOKUP(M19,社員データ!$T$7:$AB$34,6,FALSE))</f>
        <v/>
      </c>
      <c r="N86" s="166" t="str">
        <f>IF(N19="","",VLOOKUP(N19,社員データ!$T$7:$AB$34,6,FALSE))</f>
        <v/>
      </c>
      <c r="O86" s="166" t="str">
        <f>IF(O19="","",VLOOKUP(O19,社員データ!$T$7:$AB$34,6,FALSE))</f>
        <v/>
      </c>
      <c r="P86" s="166" t="str">
        <f>IF(P19="","",VLOOKUP(P19,社員データ!$T$7:$AB$34,6,FALSE))</f>
        <v/>
      </c>
      <c r="Q86" s="166" t="str">
        <f>IF(Q19="","",VLOOKUP(Q19,社員データ!$T$7:$AB$34,6,FALSE))</f>
        <v/>
      </c>
      <c r="R86" s="166" t="str">
        <f>IF(R19="","",VLOOKUP(R19,社員データ!$T$7:$AB$34,6,FALSE))</f>
        <v/>
      </c>
      <c r="S86" s="166" t="str">
        <f>IF(S19="","",VLOOKUP(S19,社員データ!$T$7:$AB$34,6,FALSE))</f>
        <v/>
      </c>
      <c r="T86" s="166" t="str">
        <f>IF(T19="","",VLOOKUP(T19,社員データ!$T$7:$AB$34,6,FALSE))</f>
        <v/>
      </c>
      <c r="U86" s="166" t="str">
        <f>IF(U19="","",VLOOKUP(U19,社員データ!$T$7:$AB$34,6,FALSE))</f>
        <v/>
      </c>
      <c r="V86" s="166" t="str">
        <f>IF(V19="","",VLOOKUP(V19,社員データ!$T$7:$AB$34,6,FALSE))</f>
        <v/>
      </c>
      <c r="W86" s="166" t="str">
        <f>IF(W19="","",VLOOKUP(W19,社員データ!$T$7:$AB$34,6,FALSE))</f>
        <v/>
      </c>
      <c r="X86" s="166" t="str">
        <f>IF(X19="","",VLOOKUP(X19,社員データ!$T$7:$AB$34,6,FALSE))</f>
        <v/>
      </c>
      <c r="Y86" s="166" t="str">
        <f>IF(Y19="","",VLOOKUP(Y19,社員データ!$T$7:$AB$34,6,FALSE))</f>
        <v/>
      </c>
      <c r="Z86" s="166" t="str">
        <f>IF(Z19="","",VLOOKUP(Z19,社員データ!$T$7:$AB$34,6,FALSE))</f>
        <v/>
      </c>
      <c r="AA86" s="166" t="str">
        <f>IF(AA19="","",VLOOKUP(AA19,社員データ!$T$7:$AB$34,6,FALSE))</f>
        <v/>
      </c>
      <c r="AB86" s="166" t="str">
        <f>IF(AB19="","",VLOOKUP(AB19,社員データ!$T$7:$AB$34,6,FALSE))</f>
        <v/>
      </c>
      <c r="AC86" s="166" t="str">
        <f>IF(AC19="","",VLOOKUP(AC19,社員データ!$T$7:$AB$34,6,FALSE))</f>
        <v/>
      </c>
      <c r="AD86" s="166" t="str">
        <f>IF(AD19="","",VLOOKUP(AD19,社員データ!$T$7:$AB$34,6,FALSE))</f>
        <v/>
      </c>
      <c r="AE86" s="166" t="str">
        <f>IF(AE19="","",VLOOKUP(AE19,社員データ!$T$7:$AB$34,6,FALSE))</f>
        <v/>
      </c>
      <c r="AF86" s="166" t="str">
        <f>IF(AF19="","",VLOOKUP(AF19,社員データ!$T$7:$AB$34,6,FALSE))</f>
        <v/>
      </c>
      <c r="AG86" s="166" t="str">
        <f>IF(AG19="","",VLOOKUP(AG19,社員データ!$T$7:$AB$34,6,FALSE))</f>
        <v/>
      </c>
      <c r="AH86" s="166" t="str">
        <f>IF(AH19="","",VLOOKUP(AH19,社員データ!$T$7:$AB$34,6,FALSE))</f>
        <v/>
      </c>
      <c r="AI86" s="166" t="str">
        <f>IF(AI19="","",VLOOKUP(AI19,社員データ!$T$7:$AB$34,6,FALSE))</f>
        <v/>
      </c>
      <c r="AJ86" s="166" t="str">
        <f>IF(AJ19="","",VLOOKUP(AJ19,社員データ!$T$7:$AB$34,6,FALSE))</f>
        <v/>
      </c>
      <c r="AK86" s="166" t="str">
        <f>IF(AK19="","",VLOOKUP(AK19,社員データ!$T$7:$AB$34,6,FALSE))</f>
        <v/>
      </c>
      <c r="AL86" s="166" t="str">
        <f>IF(AL19="","",VLOOKUP(AL19,社員データ!$T$7:$AB$34,6,FALSE))</f>
        <v/>
      </c>
    </row>
    <row r="87" spans="7:38" x14ac:dyDescent="0.2">
      <c r="G87" s="168"/>
      <c r="H87" s="166" t="str">
        <f>IF(H19="","",VLOOKUP(H19,社員データ!$T$7:$AB$34,9,FALSE))</f>
        <v/>
      </c>
      <c r="I87" s="166" t="str">
        <f>IF(I19="","",VLOOKUP(I19,社員データ!$T$7:$AB$34,9,FALSE))</f>
        <v/>
      </c>
      <c r="J87" s="166" t="str">
        <f>IF(J19="","",VLOOKUP(J19,社員データ!$T$7:$AB$34,9,FALSE))</f>
        <v/>
      </c>
      <c r="K87" s="166" t="str">
        <f>IF(K19="","",VLOOKUP(K19,社員データ!$T$7:$AB$34,9,FALSE))</f>
        <v/>
      </c>
      <c r="L87" s="166" t="str">
        <f>IF(L19="","",VLOOKUP(L19,社員データ!$T$7:$AB$34,9,FALSE))</f>
        <v/>
      </c>
      <c r="M87" s="166" t="str">
        <f>IF(M19="","",VLOOKUP(M19,社員データ!$T$7:$AB$34,9,FALSE))</f>
        <v/>
      </c>
      <c r="N87" s="166" t="str">
        <f>IF(N19="","",VLOOKUP(N19,社員データ!$T$7:$AB$34,9,FALSE))</f>
        <v/>
      </c>
      <c r="O87" s="166" t="str">
        <f>IF(O19="","",VLOOKUP(O19,社員データ!$T$7:$AB$34,9,FALSE))</f>
        <v/>
      </c>
      <c r="P87" s="166" t="str">
        <f>IF(P19="","",VLOOKUP(P19,社員データ!$T$7:$AB$34,9,FALSE))</f>
        <v/>
      </c>
      <c r="Q87" s="166" t="str">
        <f>IF(Q19="","",VLOOKUP(Q19,社員データ!$T$7:$AB$34,9,FALSE))</f>
        <v/>
      </c>
      <c r="R87" s="166" t="str">
        <f>IF(R19="","",VLOOKUP(R19,社員データ!$T$7:$AB$34,9,FALSE))</f>
        <v/>
      </c>
      <c r="S87" s="166" t="str">
        <f>IF(S19="","",VLOOKUP(S19,社員データ!$T$7:$AB$34,9,FALSE))</f>
        <v/>
      </c>
      <c r="T87" s="166" t="str">
        <f>IF(T19="","",VLOOKUP(T19,社員データ!$T$7:$AB$34,9,FALSE))</f>
        <v/>
      </c>
      <c r="U87" s="166" t="str">
        <f>IF(U19="","",VLOOKUP(U19,社員データ!$T$7:$AB$34,9,FALSE))</f>
        <v/>
      </c>
      <c r="V87" s="166" t="str">
        <f>IF(V19="","",VLOOKUP(V19,社員データ!$T$7:$AB$34,9,FALSE))</f>
        <v/>
      </c>
      <c r="W87" s="166" t="str">
        <f>IF(W19="","",VLOOKUP(W19,社員データ!$T$7:$AB$34,9,FALSE))</f>
        <v/>
      </c>
      <c r="X87" s="166" t="str">
        <f>IF(X19="","",VLOOKUP(X19,社員データ!$T$7:$AB$34,9,FALSE))</f>
        <v/>
      </c>
      <c r="Y87" s="166" t="str">
        <f>IF(Y19="","",VLOOKUP(Y19,社員データ!$T$7:$AB$34,9,FALSE))</f>
        <v/>
      </c>
      <c r="Z87" s="166" t="str">
        <f>IF(Z19="","",VLOOKUP(Z19,社員データ!$T$7:$AB$34,9,FALSE))</f>
        <v/>
      </c>
      <c r="AA87" s="166" t="str">
        <f>IF(AA19="","",VLOOKUP(AA19,社員データ!$T$7:$AB$34,9,FALSE))</f>
        <v/>
      </c>
      <c r="AB87" s="166" t="str">
        <f>IF(AB19="","",VLOOKUP(AB19,社員データ!$T$7:$AB$34,9,FALSE))</f>
        <v/>
      </c>
      <c r="AC87" s="166" t="str">
        <f>IF(AC19="","",VLOOKUP(AC19,社員データ!$T$7:$AB$34,9,FALSE))</f>
        <v/>
      </c>
      <c r="AD87" s="166" t="str">
        <f>IF(AD19="","",VLOOKUP(AD19,社員データ!$T$7:$AB$34,9,FALSE))</f>
        <v/>
      </c>
      <c r="AE87" s="166" t="str">
        <f>IF(AE19="","",VLOOKUP(AE19,社員データ!$T$7:$AB$34,9,FALSE))</f>
        <v/>
      </c>
      <c r="AF87" s="166" t="str">
        <f>IF(AF19="","",VLOOKUP(AF19,社員データ!$T$7:$AB$34,9,FALSE))</f>
        <v/>
      </c>
      <c r="AG87" s="166" t="str">
        <f>IF(AG19="","",VLOOKUP(AG19,社員データ!$T$7:$AB$34,9,FALSE))</f>
        <v/>
      </c>
      <c r="AH87" s="166" t="str">
        <f>IF(AH19="","",VLOOKUP(AH19,社員データ!$T$7:$AB$34,9,FALSE))</f>
        <v/>
      </c>
      <c r="AI87" s="166" t="str">
        <f>IF(AI19="","",VLOOKUP(AI19,社員データ!$T$7:$AB$34,9,FALSE))</f>
        <v/>
      </c>
      <c r="AJ87" s="166" t="str">
        <f>IF(AJ19="","",VLOOKUP(AJ19,社員データ!$T$7:$AB$34,9,FALSE))</f>
        <v/>
      </c>
      <c r="AK87" s="166" t="str">
        <f>IF(AK19="","",VLOOKUP(AK19,社員データ!$T$7:$AB$34,9,FALSE))</f>
        <v/>
      </c>
      <c r="AL87" s="166" t="str">
        <f>IF(AL19="","",VLOOKUP(AL19,社員データ!$T$7:$AB$34,9,FALSE))</f>
        <v/>
      </c>
    </row>
    <row r="88" spans="7:38" x14ac:dyDescent="0.2">
      <c r="G88" s="168">
        <f>G20</f>
        <v>0</v>
      </c>
      <c r="H88" s="166" t="str">
        <f>IF(H20="","",VLOOKUP(H20,社員データ!$T$7:$AB$34,6,FALSE))</f>
        <v/>
      </c>
      <c r="I88" s="166" t="str">
        <f>IF(I20="","",VLOOKUP(I20,社員データ!$T$7:$AB$34,6,FALSE))</f>
        <v/>
      </c>
      <c r="J88" s="166" t="str">
        <f>IF(J20="","",VLOOKUP(J20,社員データ!$T$7:$AB$34,6,FALSE))</f>
        <v/>
      </c>
      <c r="K88" s="166" t="str">
        <f>IF(K20="","",VLOOKUP(K20,社員データ!$T$7:$AB$34,6,FALSE))</f>
        <v/>
      </c>
      <c r="L88" s="166" t="str">
        <f>IF(L20="","",VLOOKUP(L20,社員データ!$T$7:$AB$34,6,FALSE))</f>
        <v/>
      </c>
      <c r="M88" s="166" t="str">
        <f>IF(M20="","",VLOOKUP(M20,社員データ!$T$7:$AB$34,6,FALSE))</f>
        <v/>
      </c>
      <c r="N88" s="166" t="str">
        <f>IF(N20="","",VLOOKUP(N20,社員データ!$T$7:$AB$34,6,FALSE))</f>
        <v/>
      </c>
      <c r="O88" s="166" t="str">
        <f>IF(O20="","",VLOOKUP(O20,社員データ!$T$7:$AB$34,6,FALSE))</f>
        <v/>
      </c>
      <c r="P88" s="166" t="str">
        <f>IF(P20="","",VLOOKUP(P20,社員データ!$T$7:$AB$34,6,FALSE))</f>
        <v/>
      </c>
      <c r="Q88" s="166" t="str">
        <f>IF(Q20="","",VLOOKUP(Q20,社員データ!$T$7:$AB$34,6,FALSE))</f>
        <v/>
      </c>
      <c r="R88" s="166" t="str">
        <f>IF(R20="","",VLOOKUP(R20,社員データ!$T$7:$AB$34,6,FALSE))</f>
        <v/>
      </c>
      <c r="S88" s="166" t="str">
        <f>IF(S20="","",VLOOKUP(S20,社員データ!$T$7:$AB$34,6,FALSE))</f>
        <v/>
      </c>
      <c r="T88" s="166" t="str">
        <f>IF(T20="","",VLOOKUP(T20,社員データ!$T$7:$AB$34,6,FALSE))</f>
        <v/>
      </c>
      <c r="U88" s="166" t="str">
        <f>IF(U20="","",VLOOKUP(U20,社員データ!$T$7:$AB$34,6,FALSE))</f>
        <v/>
      </c>
      <c r="V88" s="166" t="str">
        <f>IF(V20="","",VLOOKUP(V20,社員データ!$T$7:$AB$34,6,FALSE))</f>
        <v/>
      </c>
      <c r="W88" s="166" t="str">
        <f>IF(W20="","",VLOOKUP(W20,社員データ!$T$7:$AB$34,6,FALSE))</f>
        <v/>
      </c>
      <c r="X88" s="166" t="str">
        <f>IF(X20="","",VLOOKUP(X20,社員データ!$T$7:$AB$34,6,FALSE))</f>
        <v/>
      </c>
      <c r="Y88" s="166" t="str">
        <f>IF(Y20="","",VLOOKUP(Y20,社員データ!$T$7:$AB$34,6,FALSE))</f>
        <v/>
      </c>
      <c r="Z88" s="166" t="str">
        <f>IF(Z20="","",VLOOKUP(Z20,社員データ!$T$7:$AB$34,6,FALSE))</f>
        <v/>
      </c>
      <c r="AA88" s="166" t="str">
        <f>IF(AA20="","",VLOOKUP(AA20,社員データ!$T$7:$AB$34,6,FALSE))</f>
        <v/>
      </c>
      <c r="AB88" s="166" t="str">
        <f>IF(AB20="","",VLOOKUP(AB20,社員データ!$T$7:$AB$34,6,FALSE))</f>
        <v/>
      </c>
      <c r="AC88" s="166" t="str">
        <f>IF(AC20="","",VLOOKUP(AC20,社員データ!$T$7:$AB$34,6,FALSE))</f>
        <v/>
      </c>
      <c r="AD88" s="166" t="str">
        <f>IF(AD20="","",VLOOKUP(AD20,社員データ!$T$7:$AB$34,6,FALSE))</f>
        <v/>
      </c>
      <c r="AE88" s="166" t="str">
        <f>IF(AE20="","",VLOOKUP(AE20,社員データ!$T$7:$AB$34,6,FALSE))</f>
        <v/>
      </c>
      <c r="AF88" s="166" t="str">
        <f>IF(AF20="","",VLOOKUP(AF20,社員データ!$T$7:$AB$34,6,FALSE))</f>
        <v/>
      </c>
      <c r="AG88" s="166" t="str">
        <f>IF(AG20="","",VLOOKUP(AG20,社員データ!$T$7:$AB$34,6,FALSE))</f>
        <v/>
      </c>
      <c r="AH88" s="166" t="str">
        <f>IF(AH20="","",VLOOKUP(AH20,社員データ!$T$7:$AB$34,6,FALSE))</f>
        <v/>
      </c>
      <c r="AI88" s="166" t="str">
        <f>IF(AI20="","",VLOOKUP(AI20,社員データ!$T$7:$AB$34,6,FALSE))</f>
        <v/>
      </c>
      <c r="AJ88" s="166" t="str">
        <f>IF(AJ20="","",VLOOKUP(AJ20,社員データ!$T$7:$AB$34,6,FALSE))</f>
        <v/>
      </c>
      <c r="AK88" s="166" t="str">
        <f>IF(AK20="","",VLOOKUP(AK20,社員データ!$T$7:$AB$34,6,FALSE))</f>
        <v/>
      </c>
      <c r="AL88" s="166" t="str">
        <f>IF(AL20="","",VLOOKUP(AL20,社員データ!$T$7:$AB$34,6,FALSE))</f>
        <v/>
      </c>
    </row>
    <row r="89" spans="7:38" x14ac:dyDescent="0.2">
      <c r="G89" s="168"/>
      <c r="H89" s="166" t="str">
        <f>IF(H20="","",VLOOKUP(H20,社員データ!$T$7:$AB$34,9,FALSE))</f>
        <v/>
      </c>
      <c r="I89" s="166" t="str">
        <f>IF(I20="","",VLOOKUP(I20,社員データ!$T$7:$AB$34,9,FALSE))</f>
        <v/>
      </c>
      <c r="J89" s="166" t="str">
        <f>IF(J20="","",VLOOKUP(J20,社員データ!$T$7:$AB$34,9,FALSE))</f>
        <v/>
      </c>
      <c r="K89" s="166" t="str">
        <f>IF(K20="","",VLOOKUP(K20,社員データ!$T$7:$AB$34,9,FALSE))</f>
        <v/>
      </c>
      <c r="L89" s="166" t="str">
        <f>IF(L20="","",VLOOKUP(L20,社員データ!$T$7:$AB$34,9,FALSE))</f>
        <v/>
      </c>
      <c r="M89" s="166" t="str">
        <f>IF(M20="","",VLOOKUP(M20,社員データ!$T$7:$AB$34,9,FALSE))</f>
        <v/>
      </c>
      <c r="N89" s="166" t="str">
        <f>IF(N20="","",VLOOKUP(N20,社員データ!$T$7:$AB$34,9,FALSE))</f>
        <v/>
      </c>
      <c r="O89" s="166" t="str">
        <f>IF(O20="","",VLOOKUP(O20,社員データ!$T$7:$AB$34,9,FALSE))</f>
        <v/>
      </c>
      <c r="P89" s="166" t="str">
        <f>IF(P20="","",VLOOKUP(P20,社員データ!$T$7:$AB$34,9,FALSE))</f>
        <v/>
      </c>
      <c r="Q89" s="166" t="str">
        <f>IF(Q20="","",VLOOKUP(Q20,社員データ!$T$7:$AB$34,9,FALSE))</f>
        <v/>
      </c>
      <c r="R89" s="166" t="str">
        <f>IF(R20="","",VLOOKUP(R20,社員データ!$T$7:$AB$34,9,FALSE))</f>
        <v/>
      </c>
      <c r="S89" s="166" t="str">
        <f>IF(S20="","",VLOOKUP(S20,社員データ!$T$7:$AB$34,9,FALSE))</f>
        <v/>
      </c>
      <c r="T89" s="166" t="str">
        <f>IF(T20="","",VLOOKUP(T20,社員データ!$T$7:$AB$34,9,FALSE))</f>
        <v/>
      </c>
      <c r="U89" s="166" t="str">
        <f>IF(U20="","",VLOOKUP(U20,社員データ!$T$7:$AB$34,9,FALSE))</f>
        <v/>
      </c>
      <c r="V89" s="166" t="str">
        <f>IF(V20="","",VLOOKUP(V20,社員データ!$T$7:$AB$34,9,FALSE))</f>
        <v/>
      </c>
      <c r="W89" s="166" t="str">
        <f>IF(W20="","",VLOOKUP(W20,社員データ!$T$7:$AB$34,9,FALSE))</f>
        <v/>
      </c>
      <c r="X89" s="166" t="str">
        <f>IF(X20="","",VLOOKUP(X20,社員データ!$T$7:$AB$34,9,FALSE))</f>
        <v/>
      </c>
      <c r="Y89" s="166" t="str">
        <f>IF(Y20="","",VLOOKUP(Y20,社員データ!$T$7:$AB$34,9,FALSE))</f>
        <v/>
      </c>
      <c r="Z89" s="166" t="str">
        <f>IF(Z20="","",VLOOKUP(Z20,社員データ!$T$7:$AB$34,9,FALSE))</f>
        <v/>
      </c>
      <c r="AA89" s="166" t="str">
        <f>IF(AA20="","",VLOOKUP(AA20,社員データ!$T$7:$AB$34,9,FALSE))</f>
        <v/>
      </c>
      <c r="AB89" s="166" t="str">
        <f>IF(AB20="","",VLOOKUP(AB20,社員データ!$T$7:$AB$34,9,FALSE))</f>
        <v/>
      </c>
      <c r="AC89" s="166" t="str">
        <f>IF(AC20="","",VLOOKUP(AC20,社員データ!$T$7:$AB$34,9,FALSE))</f>
        <v/>
      </c>
      <c r="AD89" s="166" t="str">
        <f>IF(AD20="","",VLOOKUP(AD20,社員データ!$T$7:$AB$34,9,FALSE))</f>
        <v/>
      </c>
      <c r="AE89" s="166" t="str">
        <f>IF(AE20="","",VLOOKUP(AE20,社員データ!$T$7:$AB$34,9,FALSE))</f>
        <v/>
      </c>
      <c r="AF89" s="166" t="str">
        <f>IF(AF20="","",VLOOKUP(AF20,社員データ!$T$7:$AB$34,9,FALSE))</f>
        <v/>
      </c>
      <c r="AG89" s="166" t="str">
        <f>IF(AG20="","",VLOOKUP(AG20,社員データ!$T$7:$AB$34,9,FALSE))</f>
        <v/>
      </c>
      <c r="AH89" s="166" t="str">
        <f>IF(AH20="","",VLOOKUP(AH20,社員データ!$T$7:$AB$34,9,FALSE))</f>
        <v/>
      </c>
      <c r="AI89" s="166" t="str">
        <f>IF(AI20="","",VLOOKUP(AI20,社員データ!$T$7:$AB$34,9,FALSE))</f>
        <v/>
      </c>
      <c r="AJ89" s="166" t="str">
        <f>IF(AJ20="","",VLOOKUP(AJ20,社員データ!$T$7:$AB$34,9,FALSE))</f>
        <v/>
      </c>
      <c r="AK89" s="166" t="str">
        <f>IF(AK20="","",VLOOKUP(AK20,社員データ!$T$7:$AB$34,9,FALSE))</f>
        <v/>
      </c>
      <c r="AL89" s="166" t="str">
        <f>IF(AL20="","",VLOOKUP(AL20,社員データ!$T$7:$AB$34,9,FALSE))</f>
        <v/>
      </c>
    </row>
    <row r="90" spans="7:38" x14ac:dyDescent="0.2">
      <c r="G90" s="168">
        <f>G21</f>
        <v>0</v>
      </c>
      <c r="H90" s="166" t="str">
        <f>IF(H21="","",VLOOKUP(H21,社員データ!$T$7:$AB$34,6,FALSE))</f>
        <v/>
      </c>
      <c r="I90" s="166" t="str">
        <f>IF(I21="","",VLOOKUP(I21,社員データ!$T$7:$AB$34,6,FALSE))</f>
        <v/>
      </c>
      <c r="J90" s="166" t="str">
        <f>IF(J21="","",VLOOKUP(J21,社員データ!$T$7:$AB$34,6,FALSE))</f>
        <v/>
      </c>
      <c r="K90" s="166" t="str">
        <f>IF(K21="","",VLOOKUP(K21,社員データ!$T$7:$AB$34,6,FALSE))</f>
        <v/>
      </c>
      <c r="L90" s="166" t="str">
        <f>IF(L21="","",VLOOKUP(L21,社員データ!$T$7:$AB$34,6,FALSE))</f>
        <v/>
      </c>
      <c r="M90" s="166" t="str">
        <f>IF(M21="","",VLOOKUP(M21,社員データ!$T$7:$AB$34,6,FALSE))</f>
        <v/>
      </c>
      <c r="N90" s="166" t="str">
        <f>IF(N21="","",VLOOKUP(N21,社員データ!$T$7:$AB$34,6,FALSE))</f>
        <v/>
      </c>
      <c r="O90" s="166" t="str">
        <f>IF(O21="","",VLOOKUP(O21,社員データ!$T$7:$AB$34,6,FALSE))</f>
        <v/>
      </c>
      <c r="P90" s="166" t="str">
        <f>IF(P21="","",VLOOKUP(P21,社員データ!$T$7:$AB$34,6,FALSE))</f>
        <v/>
      </c>
      <c r="Q90" s="166" t="str">
        <f>IF(Q21="","",VLOOKUP(Q21,社員データ!$T$7:$AB$34,6,FALSE))</f>
        <v/>
      </c>
      <c r="R90" s="166" t="str">
        <f>IF(R21="","",VLOOKUP(R21,社員データ!$T$7:$AB$34,6,FALSE))</f>
        <v/>
      </c>
      <c r="S90" s="166" t="str">
        <f>IF(S21="","",VLOOKUP(S21,社員データ!$T$7:$AB$34,6,FALSE))</f>
        <v/>
      </c>
      <c r="T90" s="166" t="str">
        <f>IF(T21="","",VLOOKUP(T21,社員データ!$T$7:$AB$34,6,FALSE))</f>
        <v/>
      </c>
      <c r="U90" s="166" t="str">
        <f>IF(U21="","",VLOOKUP(U21,社員データ!$T$7:$AB$34,6,FALSE))</f>
        <v/>
      </c>
      <c r="V90" s="166" t="str">
        <f>IF(V21="","",VLOOKUP(V21,社員データ!$T$7:$AB$34,6,FALSE))</f>
        <v/>
      </c>
      <c r="W90" s="166" t="str">
        <f>IF(W21="","",VLOOKUP(W21,社員データ!$T$7:$AB$34,6,FALSE))</f>
        <v/>
      </c>
      <c r="X90" s="166" t="str">
        <f>IF(X21="","",VLOOKUP(X21,社員データ!$T$7:$AB$34,6,FALSE))</f>
        <v/>
      </c>
      <c r="Y90" s="166" t="str">
        <f>IF(Y21="","",VLOOKUP(Y21,社員データ!$T$7:$AB$34,6,FALSE))</f>
        <v/>
      </c>
      <c r="Z90" s="166" t="str">
        <f>IF(Z21="","",VLOOKUP(Z21,社員データ!$T$7:$AB$34,6,FALSE))</f>
        <v/>
      </c>
      <c r="AA90" s="166" t="str">
        <f>IF(AA21="","",VLOOKUP(AA21,社員データ!$T$7:$AB$34,6,FALSE))</f>
        <v/>
      </c>
      <c r="AB90" s="166" t="str">
        <f>IF(AB21="","",VLOOKUP(AB21,社員データ!$T$7:$AB$34,6,FALSE))</f>
        <v/>
      </c>
      <c r="AC90" s="166" t="str">
        <f>IF(AC21="","",VLOOKUP(AC21,社員データ!$T$7:$AB$34,6,FALSE))</f>
        <v/>
      </c>
      <c r="AD90" s="166" t="str">
        <f>IF(AD21="","",VLOOKUP(AD21,社員データ!$T$7:$AB$34,6,FALSE))</f>
        <v/>
      </c>
      <c r="AE90" s="166" t="str">
        <f>IF(AE21="","",VLOOKUP(AE21,社員データ!$T$7:$AB$34,6,FALSE))</f>
        <v/>
      </c>
      <c r="AF90" s="166" t="str">
        <f>IF(AF21="","",VLOOKUP(AF21,社員データ!$T$7:$AB$34,6,FALSE))</f>
        <v/>
      </c>
      <c r="AG90" s="166" t="str">
        <f>IF(AG21="","",VLOOKUP(AG21,社員データ!$T$7:$AB$34,6,FALSE))</f>
        <v/>
      </c>
      <c r="AH90" s="166" t="str">
        <f>IF(AH21="","",VLOOKUP(AH21,社員データ!$T$7:$AB$34,6,FALSE))</f>
        <v/>
      </c>
      <c r="AI90" s="166" t="str">
        <f>IF(AI21="","",VLOOKUP(AI21,社員データ!$T$7:$AB$34,6,FALSE))</f>
        <v/>
      </c>
      <c r="AJ90" s="166" t="str">
        <f>IF(AJ21="","",VLOOKUP(AJ21,社員データ!$T$7:$AB$34,6,FALSE))</f>
        <v/>
      </c>
      <c r="AK90" s="166" t="str">
        <f>IF(AK21="","",VLOOKUP(AK21,社員データ!$T$7:$AB$34,6,FALSE))</f>
        <v/>
      </c>
      <c r="AL90" s="166" t="str">
        <f>IF(AL21="","",VLOOKUP(AL21,社員データ!$T$7:$AB$34,6,FALSE))</f>
        <v/>
      </c>
    </row>
    <row r="91" spans="7:38" x14ac:dyDescent="0.2">
      <c r="G91" s="168"/>
      <c r="H91" s="166" t="str">
        <f>IF(H21="","",VLOOKUP(H21,社員データ!$T$7:$AB$34,9,FALSE))</f>
        <v/>
      </c>
      <c r="I91" s="166" t="str">
        <f>IF(I21="","",VLOOKUP(I21,社員データ!$T$7:$AB$34,9,FALSE))</f>
        <v/>
      </c>
      <c r="J91" s="166" t="str">
        <f>IF(J21="","",VLOOKUP(J21,社員データ!$T$7:$AB$34,9,FALSE))</f>
        <v/>
      </c>
      <c r="K91" s="166" t="str">
        <f>IF(K21="","",VLOOKUP(K21,社員データ!$T$7:$AB$34,9,FALSE))</f>
        <v/>
      </c>
      <c r="L91" s="166" t="str">
        <f>IF(L21="","",VLOOKUP(L21,社員データ!$T$7:$AB$34,9,FALSE))</f>
        <v/>
      </c>
      <c r="M91" s="166" t="str">
        <f>IF(M21="","",VLOOKUP(M21,社員データ!$T$7:$AB$34,9,FALSE))</f>
        <v/>
      </c>
      <c r="N91" s="166" t="str">
        <f>IF(N21="","",VLOOKUP(N21,社員データ!$T$7:$AB$34,9,FALSE))</f>
        <v/>
      </c>
      <c r="O91" s="166" t="str">
        <f>IF(O21="","",VLOOKUP(O21,社員データ!$T$7:$AB$34,9,FALSE))</f>
        <v/>
      </c>
      <c r="P91" s="166" t="str">
        <f>IF(P21="","",VLOOKUP(P21,社員データ!$T$7:$AB$34,9,FALSE))</f>
        <v/>
      </c>
      <c r="Q91" s="166" t="str">
        <f>IF(Q21="","",VLOOKUP(Q21,社員データ!$T$7:$AB$34,9,FALSE))</f>
        <v/>
      </c>
      <c r="R91" s="166" t="str">
        <f>IF(R21="","",VLOOKUP(R21,社員データ!$T$7:$AB$34,9,FALSE))</f>
        <v/>
      </c>
      <c r="S91" s="166" t="str">
        <f>IF(S21="","",VLOOKUP(S21,社員データ!$T$7:$AB$34,9,FALSE))</f>
        <v/>
      </c>
      <c r="T91" s="166" t="str">
        <f>IF(T21="","",VLOOKUP(T21,社員データ!$T$7:$AB$34,9,FALSE))</f>
        <v/>
      </c>
      <c r="U91" s="166" t="str">
        <f>IF(U21="","",VLOOKUP(U21,社員データ!$T$7:$AB$34,9,FALSE))</f>
        <v/>
      </c>
      <c r="V91" s="166" t="str">
        <f>IF(V21="","",VLOOKUP(V21,社員データ!$T$7:$AB$34,9,FALSE))</f>
        <v/>
      </c>
      <c r="W91" s="166" t="str">
        <f>IF(W21="","",VLOOKUP(W21,社員データ!$T$7:$AB$34,9,FALSE))</f>
        <v/>
      </c>
      <c r="X91" s="166" t="str">
        <f>IF(X21="","",VLOOKUP(X21,社員データ!$T$7:$AB$34,9,FALSE))</f>
        <v/>
      </c>
      <c r="Y91" s="166" t="str">
        <f>IF(Y21="","",VLOOKUP(Y21,社員データ!$T$7:$AB$34,9,FALSE))</f>
        <v/>
      </c>
      <c r="Z91" s="166" t="str">
        <f>IF(Z21="","",VLOOKUP(Z21,社員データ!$T$7:$AB$34,9,FALSE))</f>
        <v/>
      </c>
      <c r="AA91" s="166" t="str">
        <f>IF(AA21="","",VLOOKUP(AA21,社員データ!$T$7:$AB$34,9,FALSE))</f>
        <v/>
      </c>
      <c r="AB91" s="166" t="str">
        <f>IF(AB21="","",VLOOKUP(AB21,社員データ!$T$7:$AB$34,9,FALSE))</f>
        <v/>
      </c>
      <c r="AC91" s="166" t="str">
        <f>IF(AC21="","",VLOOKUP(AC21,社員データ!$T$7:$AB$34,9,FALSE))</f>
        <v/>
      </c>
      <c r="AD91" s="166" t="str">
        <f>IF(AD21="","",VLOOKUP(AD21,社員データ!$T$7:$AB$34,9,FALSE))</f>
        <v/>
      </c>
      <c r="AE91" s="166" t="str">
        <f>IF(AE21="","",VLOOKUP(AE21,社員データ!$T$7:$AB$34,9,FALSE))</f>
        <v/>
      </c>
      <c r="AF91" s="166" t="str">
        <f>IF(AF21="","",VLOOKUP(AF21,社員データ!$T$7:$AB$34,9,FALSE))</f>
        <v/>
      </c>
      <c r="AG91" s="166" t="str">
        <f>IF(AG21="","",VLOOKUP(AG21,社員データ!$T$7:$AB$34,9,FALSE))</f>
        <v/>
      </c>
      <c r="AH91" s="166" t="str">
        <f>IF(AH21="","",VLOOKUP(AH21,社員データ!$T$7:$AB$34,9,FALSE))</f>
        <v/>
      </c>
      <c r="AI91" s="166" t="str">
        <f>IF(AI21="","",VLOOKUP(AI21,社員データ!$T$7:$AB$34,9,FALSE))</f>
        <v/>
      </c>
      <c r="AJ91" s="166" t="str">
        <f>IF(AJ21="","",VLOOKUP(AJ21,社員データ!$T$7:$AB$34,9,FALSE))</f>
        <v/>
      </c>
      <c r="AK91" s="166" t="str">
        <f>IF(AK21="","",VLOOKUP(AK21,社員データ!$T$7:$AB$34,9,FALSE))</f>
        <v/>
      </c>
      <c r="AL91" s="166" t="str">
        <f>IF(AL21="","",VLOOKUP(AL21,社員データ!$T$7:$AB$34,9,FALSE))</f>
        <v/>
      </c>
    </row>
    <row r="92" spans="7:38" x14ac:dyDescent="0.2">
      <c r="G92" s="168">
        <f>G22</f>
        <v>0</v>
      </c>
      <c r="H92" s="166" t="str">
        <f>IF(H22="","",VLOOKUP(H22,社員データ!$T$7:$AB$34,6,FALSE))</f>
        <v/>
      </c>
      <c r="I92" s="166" t="str">
        <f>IF(I22="","",VLOOKUP(I22,社員データ!$T$7:$AB$34,6,FALSE))</f>
        <v/>
      </c>
      <c r="J92" s="166" t="str">
        <f>IF(J22="","",VLOOKUP(J22,社員データ!$T$7:$AB$34,6,FALSE))</f>
        <v/>
      </c>
      <c r="K92" s="166" t="str">
        <f>IF(K22="","",VLOOKUP(K22,社員データ!$T$7:$AB$34,6,FALSE))</f>
        <v/>
      </c>
      <c r="L92" s="166" t="str">
        <f>IF(L22="","",VLOOKUP(L22,社員データ!$T$7:$AB$34,6,FALSE))</f>
        <v/>
      </c>
      <c r="M92" s="166" t="str">
        <f>IF(M22="","",VLOOKUP(M22,社員データ!$T$7:$AB$34,6,FALSE))</f>
        <v/>
      </c>
      <c r="N92" s="166" t="str">
        <f>IF(N22="","",VLOOKUP(N22,社員データ!$T$7:$AB$34,6,FALSE))</f>
        <v/>
      </c>
      <c r="O92" s="166" t="str">
        <f>IF(O22="","",VLOOKUP(O22,社員データ!$T$7:$AB$34,6,FALSE))</f>
        <v/>
      </c>
      <c r="P92" s="166" t="str">
        <f>IF(P22="","",VLOOKUP(P22,社員データ!$T$7:$AB$34,6,FALSE))</f>
        <v/>
      </c>
      <c r="Q92" s="166" t="str">
        <f>IF(Q22="","",VLOOKUP(Q22,社員データ!$T$7:$AB$34,6,FALSE))</f>
        <v/>
      </c>
      <c r="R92" s="166" t="str">
        <f>IF(R22="","",VLOOKUP(R22,社員データ!$T$7:$AB$34,6,FALSE))</f>
        <v/>
      </c>
      <c r="S92" s="166" t="str">
        <f>IF(S22="","",VLOOKUP(S22,社員データ!$T$7:$AB$34,6,FALSE))</f>
        <v/>
      </c>
      <c r="T92" s="166" t="str">
        <f>IF(T22="","",VLOOKUP(T22,社員データ!$T$7:$AB$34,6,FALSE))</f>
        <v/>
      </c>
      <c r="U92" s="166" t="str">
        <f>IF(U22="","",VLOOKUP(U22,社員データ!$T$7:$AB$34,6,FALSE))</f>
        <v/>
      </c>
      <c r="V92" s="166" t="str">
        <f>IF(V22="","",VLOOKUP(V22,社員データ!$T$7:$AB$34,6,FALSE))</f>
        <v/>
      </c>
      <c r="W92" s="166" t="str">
        <f>IF(W22="","",VLOOKUP(W22,社員データ!$T$7:$AB$34,6,FALSE))</f>
        <v/>
      </c>
      <c r="X92" s="166" t="str">
        <f>IF(X22="","",VLOOKUP(X22,社員データ!$T$7:$AB$34,6,FALSE))</f>
        <v/>
      </c>
      <c r="Y92" s="166" t="str">
        <f>IF(Y22="","",VLOOKUP(Y22,社員データ!$T$7:$AB$34,6,FALSE))</f>
        <v/>
      </c>
      <c r="Z92" s="166" t="str">
        <f>IF(Z22="","",VLOOKUP(Z22,社員データ!$T$7:$AB$34,6,FALSE))</f>
        <v/>
      </c>
      <c r="AA92" s="166" t="str">
        <f>IF(AA22="","",VLOOKUP(AA22,社員データ!$T$7:$AB$34,6,FALSE))</f>
        <v/>
      </c>
      <c r="AB92" s="166" t="str">
        <f>IF(AB22="","",VLOOKUP(AB22,社員データ!$T$7:$AB$34,6,FALSE))</f>
        <v/>
      </c>
      <c r="AC92" s="166" t="str">
        <f>IF(AC22="","",VLOOKUP(AC22,社員データ!$T$7:$AB$34,6,FALSE))</f>
        <v/>
      </c>
      <c r="AD92" s="166" t="str">
        <f>IF(AD22="","",VLOOKUP(AD22,社員データ!$T$7:$AB$34,6,FALSE))</f>
        <v/>
      </c>
      <c r="AE92" s="166" t="str">
        <f>IF(AE22="","",VLOOKUP(AE22,社員データ!$T$7:$AB$34,6,FALSE))</f>
        <v/>
      </c>
      <c r="AF92" s="166" t="str">
        <f>IF(AF22="","",VLOOKUP(AF22,社員データ!$T$7:$AB$34,6,FALSE))</f>
        <v/>
      </c>
      <c r="AG92" s="166" t="str">
        <f>IF(AG22="","",VLOOKUP(AG22,社員データ!$T$7:$AB$34,6,FALSE))</f>
        <v/>
      </c>
      <c r="AH92" s="166" t="str">
        <f>IF(AH22="","",VLOOKUP(AH22,社員データ!$T$7:$AB$34,6,FALSE))</f>
        <v/>
      </c>
      <c r="AI92" s="166" t="str">
        <f>IF(AI22="","",VLOOKUP(AI22,社員データ!$T$7:$AB$34,6,FALSE))</f>
        <v/>
      </c>
      <c r="AJ92" s="166" t="str">
        <f>IF(AJ22="","",VLOOKUP(AJ22,社員データ!$T$7:$AB$34,6,FALSE))</f>
        <v/>
      </c>
      <c r="AK92" s="166" t="str">
        <f>IF(AK22="","",VLOOKUP(AK22,社員データ!$T$7:$AB$34,6,FALSE))</f>
        <v/>
      </c>
      <c r="AL92" s="166" t="str">
        <f>IF(AL22="","",VLOOKUP(AL22,社員データ!$T$7:$AB$34,6,FALSE))</f>
        <v/>
      </c>
    </row>
    <row r="93" spans="7:38" x14ac:dyDescent="0.2">
      <c r="G93" s="168"/>
      <c r="H93" s="166" t="str">
        <f>IF(H22="","",VLOOKUP(H22,社員データ!$T$7:$AB$34,9,FALSE))</f>
        <v/>
      </c>
      <c r="I93" s="166" t="str">
        <f>IF(I22="","",VLOOKUP(I22,社員データ!$T$7:$AB$34,9,FALSE))</f>
        <v/>
      </c>
      <c r="J93" s="166" t="str">
        <f>IF(J22="","",VLOOKUP(J22,社員データ!$T$7:$AB$34,9,FALSE))</f>
        <v/>
      </c>
      <c r="K93" s="166" t="str">
        <f>IF(K22="","",VLOOKUP(K22,社員データ!$T$7:$AB$34,9,FALSE))</f>
        <v/>
      </c>
      <c r="L93" s="166" t="str">
        <f>IF(L22="","",VLOOKUP(L22,社員データ!$T$7:$AB$34,9,FALSE))</f>
        <v/>
      </c>
      <c r="M93" s="166" t="str">
        <f>IF(M22="","",VLOOKUP(M22,社員データ!$T$7:$AB$34,9,FALSE))</f>
        <v/>
      </c>
      <c r="N93" s="166" t="str">
        <f>IF(N22="","",VLOOKUP(N22,社員データ!$T$7:$AB$34,9,FALSE))</f>
        <v/>
      </c>
      <c r="O93" s="166" t="str">
        <f>IF(O22="","",VLOOKUP(O22,社員データ!$T$7:$AB$34,9,FALSE))</f>
        <v/>
      </c>
      <c r="P93" s="166" t="str">
        <f>IF(P22="","",VLOOKUP(P22,社員データ!$T$7:$AB$34,9,FALSE))</f>
        <v/>
      </c>
      <c r="Q93" s="166" t="str">
        <f>IF(Q22="","",VLOOKUP(Q22,社員データ!$T$7:$AB$34,9,FALSE))</f>
        <v/>
      </c>
      <c r="R93" s="166" t="str">
        <f>IF(R22="","",VLOOKUP(R22,社員データ!$T$7:$AB$34,9,FALSE))</f>
        <v/>
      </c>
      <c r="S93" s="166" t="str">
        <f>IF(S22="","",VLOOKUP(S22,社員データ!$T$7:$AB$34,9,FALSE))</f>
        <v/>
      </c>
      <c r="T93" s="166" t="str">
        <f>IF(T22="","",VLOOKUP(T22,社員データ!$T$7:$AB$34,9,FALSE))</f>
        <v/>
      </c>
      <c r="U93" s="166" t="str">
        <f>IF(U22="","",VLOOKUP(U22,社員データ!$T$7:$AB$34,9,FALSE))</f>
        <v/>
      </c>
      <c r="V93" s="166" t="str">
        <f>IF(V22="","",VLOOKUP(V22,社員データ!$T$7:$AB$34,9,FALSE))</f>
        <v/>
      </c>
      <c r="W93" s="166" t="str">
        <f>IF(W22="","",VLOOKUP(W22,社員データ!$T$7:$AB$34,9,FALSE))</f>
        <v/>
      </c>
      <c r="X93" s="166" t="str">
        <f>IF(X22="","",VLOOKUP(X22,社員データ!$T$7:$AB$34,9,FALSE))</f>
        <v/>
      </c>
      <c r="Y93" s="166" t="str">
        <f>IF(Y22="","",VLOOKUP(Y22,社員データ!$T$7:$AB$34,9,FALSE))</f>
        <v/>
      </c>
      <c r="Z93" s="166" t="str">
        <f>IF(Z22="","",VLOOKUP(Z22,社員データ!$T$7:$AB$34,9,FALSE))</f>
        <v/>
      </c>
      <c r="AA93" s="166" t="str">
        <f>IF(AA22="","",VLOOKUP(AA22,社員データ!$T$7:$AB$34,9,FALSE))</f>
        <v/>
      </c>
      <c r="AB93" s="166" t="str">
        <f>IF(AB22="","",VLOOKUP(AB22,社員データ!$T$7:$AB$34,9,FALSE))</f>
        <v/>
      </c>
      <c r="AC93" s="166" t="str">
        <f>IF(AC22="","",VLOOKUP(AC22,社員データ!$T$7:$AB$34,9,FALSE))</f>
        <v/>
      </c>
      <c r="AD93" s="166" t="str">
        <f>IF(AD22="","",VLOOKUP(AD22,社員データ!$T$7:$AB$34,9,FALSE))</f>
        <v/>
      </c>
      <c r="AE93" s="166" t="str">
        <f>IF(AE22="","",VLOOKUP(AE22,社員データ!$T$7:$AB$34,9,FALSE))</f>
        <v/>
      </c>
      <c r="AF93" s="166" t="str">
        <f>IF(AF22="","",VLOOKUP(AF22,社員データ!$T$7:$AB$34,9,FALSE))</f>
        <v/>
      </c>
      <c r="AG93" s="166" t="str">
        <f>IF(AG22="","",VLOOKUP(AG22,社員データ!$T$7:$AB$34,9,FALSE))</f>
        <v/>
      </c>
      <c r="AH93" s="166" t="str">
        <f>IF(AH22="","",VLOOKUP(AH22,社員データ!$T$7:$AB$34,9,FALSE))</f>
        <v/>
      </c>
      <c r="AI93" s="166" t="str">
        <f>IF(AI22="","",VLOOKUP(AI22,社員データ!$T$7:$AB$34,9,FALSE))</f>
        <v/>
      </c>
      <c r="AJ93" s="166" t="str">
        <f>IF(AJ22="","",VLOOKUP(AJ22,社員データ!$T$7:$AB$34,9,FALSE))</f>
        <v/>
      </c>
      <c r="AK93" s="166" t="str">
        <f>IF(AK22="","",VLOOKUP(AK22,社員データ!$T$7:$AB$34,9,FALSE))</f>
        <v/>
      </c>
      <c r="AL93" s="166" t="str">
        <f>IF(AL22="","",VLOOKUP(AL22,社員データ!$T$7:$AB$34,9,FALSE))</f>
        <v/>
      </c>
    </row>
    <row r="94" spans="7:38" x14ac:dyDescent="0.2">
      <c r="G94" s="168">
        <f>G23</f>
        <v>0</v>
      </c>
      <c r="H94" s="166" t="str">
        <f>IF(H23="","",VLOOKUP(H23,社員データ!$T$7:$AB$34,6,FALSE))</f>
        <v/>
      </c>
      <c r="I94" s="166" t="str">
        <f>IF(I23="","",VLOOKUP(I23,社員データ!$T$7:$AB$34,6,FALSE))</f>
        <v/>
      </c>
      <c r="J94" s="166" t="str">
        <f>IF(J23="","",VLOOKUP(J23,社員データ!$T$7:$AB$34,6,FALSE))</f>
        <v/>
      </c>
      <c r="K94" s="166" t="str">
        <f>IF(K23="","",VLOOKUP(K23,社員データ!$T$7:$AB$34,6,FALSE))</f>
        <v/>
      </c>
      <c r="L94" s="166" t="str">
        <f>IF(L23="","",VLOOKUP(L23,社員データ!$T$7:$AB$34,6,FALSE))</f>
        <v/>
      </c>
      <c r="M94" s="166" t="str">
        <f>IF(M23="","",VLOOKUP(M23,社員データ!$T$7:$AB$34,6,FALSE))</f>
        <v/>
      </c>
      <c r="N94" s="166" t="str">
        <f>IF(N23="","",VLOOKUP(N23,社員データ!$T$7:$AB$34,6,FALSE))</f>
        <v/>
      </c>
      <c r="O94" s="166" t="str">
        <f>IF(O23="","",VLOOKUP(O23,社員データ!$T$7:$AB$34,6,FALSE))</f>
        <v/>
      </c>
      <c r="P94" s="166" t="str">
        <f>IF(P23="","",VLOOKUP(P23,社員データ!$T$7:$AB$34,6,FALSE))</f>
        <v/>
      </c>
      <c r="Q94" s="166" t="str">
        <f>IF(Q23="","",VLOOKUP(Q23,社員データ!$T$7:$AB$34,6,FALSE))</f>
        <v/>
      </c>
      <c r="R94" s="166" t="str">
        <f>IF(R23="","",VLOOKUP(R23,社員データ!$T$7:$AB$34,6,FALSE))</f>
        <v/>
      </c>
      <c r="S94" s="166" t="str">
        <f>IF(S23="","",VLOOKUP(S23,社員データ!$T$7:$AB$34,6,FALSE))</f>
        <v/>
      </c>
      <c r="T94" s="166" t="str">
        <f>IF(T23="","",VLOOKUP(T23,社員データ!$T$7:$AB$34,6,FALSE))</f>
        <v/>
      </c>
      <c r="U94" s="166" t="str">
        <f>IF(U23="","",VLOOKUP(U23,社員データ!$T$7:$AB$34,6,FALSE))</f>
        <v/>
      </c>
      <c r="V94" s="166" t="str">
        <f>IF(V23="","",VLOOKUP(V23,社員データ!$T$7:$AB$34,6,FALSE))</f>
        <v/>
      </c>
      <c r="W94" s="166" t="str">
        <f>IF(W23="","",VLOOKUP(W23,社員データ!$T$7:$AB$34,6,FALSE))</f>
        <v/>
      </c>
      <c r="X94" s="166" t="str">
        <f>IF(X23="","",VLOOKUP(X23,社員データ!$T$7:$AB$34,6,FALSE))</f>
        <v/>
      </c>
      <c r="Y94" s="166" t="str">
        <f>IF(Y23="","",VLOOKUP(Y23,社員データ!$T$7:$AB$34,6,FALSE))</f>
        <v/>
      </c>
      <c r="Z94" s="166" t="str">
        <f>IF(Z23="","",VLOOKUP(Z23,社員データ!$T$7:$AB$34,6,FALSE))</f>
        <v/>
      </c>
      <c r="AA94" s="166" t="str">
        <f>IF(AA23="","",VLOOKUP(AA23,社員データ!$T$7:$AB$34,6,FALSE))</f>
        <v/>
      </c>
      <c r="AB94" s="166" t="str">
        <f>IF(AB23="","",VLOOKUP(AB23,社員データ!$T$7:$AB$34,6,FALSE))</f>
        <v/>
      </c>
      <c r="AC94" s="166" t="str">
        <f>IF(AC23="","",VLOOKUP(AC23,社員データ!$T$7:$AB$34,6,FALSE))</f>
        <v/>
      </c>
      <c r="AD94" s="166" t="str">
        <f>IF(AD23="","",VLOOKUP(AD23,社員データ!$T$7:$AB$34,6,FALSE))</f>
        <v/>
      </c>
      <c r="AE94" s="166" t="str">
        <f>IF(AE23="","",VLOOKUP(AE23,社員データ!$T$7:$AB$34,6,FALSE))</f>
        <v/>
      </c>
      <c r="AF94" s="166" t="str">
        <f>IF(AF23="","",VLOOKUP(AF23,社員データ!$T$7:$AB$34,6,FALSE))</f>
        <v/>
      </c>
      <c r="AG94" s="166" t="str">
        <f>IF(AG23="","",VLOOKUP(AG23,社員データ!$T$7:$AB$34,6,FALSE))</f>
        <v/>
      </c>
      <c r="AH94" s="166" t="str">
        <f>IF(AH23="","",VLOOKUP(AH23,社員データ!$T$7:$AB$34,6,FALSE))</f>
        <v/>
      </c>
      <c r="AI94" s="166" t="str">
        <f>IF(AI23="","",VLOOKUP(AI23,社員データ!$T$7:$AB$34,6,FALSE))</f>
        <v/>
      </c>
      <c r="AJ94" s="166" t="str">
        <f>IF(AJ23="","",VLOOKUP(AJ23,社員データ!$T$7:$AB$34,6,FALSE))</f>
        <v/>
      </c>
      <c r="AK94" s="166" t="str">
        <f>IF(AK23="","",VLOOKUP(AK23,社員データ!$T$7:$AB$34,6,FALSE))</f>
        <v/>
      </c>
      <c r="AL94" s="166" t="str">
        <f>IF(AL23="","",VLOOKUP(AL23,社員データ!$T$7:$AB$34,6,FALSE))</f>
        <v/>
      </c>
    </row>
    <row r="95" spans="7:38" x14ac:dyDescent="0.2">
      <c r="G95" s="168"/>
      <c r="H95" s="166" t="str">
        <f>IF(H23="","",VLOOKUP(H23,社員データ!$T$7:$AB$34,9,FALSE))</f>
        <v/>
      </c>
      <c r="I95" s="166" t="str">
        <f>IF(I23="","",VLOOKUP(I23,社員データ!$T$7:$AB$34,9,FALSE))</f>
        <v/>
      </c>
      <c r="J95" s="166" t="str">
        <f>IF(J23="","",VLOOKUP(J23,社員データ!$T$7:$AB$34,9,FALSE))</f>
        <v/>
      </c>
      <c r="K95" s="166" t="str">
        <f>IF(K23="","",VLOOKUP(K23,社員データ!$T$7:$AB$34,9,FALSE))</f>
        <v/>
      </c>
      <c r="L95" s="166" t="str">
        <f>IF(L23="","",VLOOKUP(L23,社員データ!$T$7:$AB$34,9,FALSE))</f>
        <v/>
      </c>
      <c r="M95" s="166" t="str">
        <f>IF(M23="","",VLOOKUP(M23,社員データ!$T$7:$AB$34,9,FALSE))</f>
        <v/>
      </c>
      <c r="N95" s="166" t="str">
        <f>IF(N23="","",VLOOKUP(N23,社員データ!$T$7:$AB$34,9,FALSE))</f>
        <v/>
      </c>
      <c r="O95" s="166" t="str">
        <f>IF(O23="","",VLOOKUP(O23,社員データ!$T$7:$AB$34,9,FALSE))</f>
        <v/>
      </c>
      <c r="P95" s="166" t="str">
        <f>IF(P23="","",VLOOKUP(P23,社員データ!$T$7:$AB$34,9,FALSE))</f>
        <v/>
      </c>
      <c r="Q95" s="166" t="str">
        <f>IF(Q23="","",VLOOKUP(Q23,社員データ!$T$7:$AB$34,9,FALSE))</f>
        <v/>
      </c>
      <c r="R95" s="166" t="str">
        <f>IF(R23="","",VLOOKUP(R23,社員データ!$T$7:$AB$34,9,FALSE))</f>
        <v/>
      </c>
      <c r="S95" s="166" t="str">
        <f>IF(S23="","",VLOOKUP(S23,社員データ!$T$7:$AB$34,9,FALSE))</f>
        <v/>
      </c>
      <c r="T95" s="166" t="str">
        <f>IF(T23="","",VLOOKUP(T23,社員データ!$T$7:$AB$34,9,FALSE))</f>
        <v/>
      </c>
      <c r="U95" s="166" t="str">
        <f>IF(U23="","",VLOOKUP(U23,社員データ!$T$7:$AB$34,9,FALSE))</f>
        <v/>
      </c>
      <c r="V95" s="166" t="str">
        <f>IF(V23="","",VLOOKUP(V23,社員データ!$T$7:$AB$34,9,FALSE))</f>
        <v/>
      </c>
      <c r="W95" s="166" t="str">
        <f>IF(W23="","",VLOOKUP(W23,社員データ!$T$7:$AB$34,9,FALSE))</f>
        <v/>
      </c>
      <c r="X95" s="166" t="str">
        <f>IF(X23="","",VLOOKUP(X23,社員データ!$T$7:$AB$34,9,FALSE))</f>
        <v/>
      </c>
      <c r="Y95" s="166" t="str">
        <f>IF(Y23="","",VLOOKUP(Y23,社員データ!$T$7:$AB$34,9,FALSE))</f>
        <v/>
      </c>
      <c r="Z95" s="166" t="str">
        <f>IF(Z23="","",VLOOKUP(Z23,社員データ!$T$7:$AB$34,9,FALSE))</f>
        <v/>
      </c>
      <c r="AA95" s="166" t="str">
        <f>IF(AA23="","",VLOOKUP(AA23,社員データ!$T$7:$AB$34,9,FALSE))</f>
        <v/>
      </c>
      <c r="AB95" s="166" t="str">
        <f>IF(AB23="","",VLOOKUP(AB23,社員データ!$T$7:$AB$34,9,FALSE))</f>
        <v/>
      </c>
      <c r="AC95" s="166" t="str">
        <f>IF(AC23="","",VLOOKUP(AC23,社員データ!$T$7:$AB$34,9,FALSE))</f>
        <v/>
      </c>
      <c r="AD95" s="166" t="str">
        <f>IF(AD23="","",VLOOKUP(AD23,社員データ!$T$7:$AB$34,9,FALSE))</f>
        <v/>
      </c>
      <c r="AE95" s="166" t="str">
        <f>IF(AE23="","",VLOOKUP(AE23,社員データ!$T$7:$AB$34,9,FALSE))</f>
        <v/>
      </c>
      <c r="AF95" s="166" t="str">
        <f>IF(AF23="","",VLOOKUP(AF23,社員データ!$T$7:$AB$34,9,FALSE))</f>
        <v/>
      </c>
      <c r="AG95" s="166" t="str">
        <f>IF(AG23="","",VLOOKUP(AG23,社員データ!$T$7:$AB$34,9,FALSE))</f>
        <v/>
      </c>
      <c r="AH95" s="166" t="str">
        <f>IF(AH23="","",VLOOKUP(AH23,社員データ!$T$7:$AB$34,9,FALSE))</f>
        <v/>
      </c>
      <c r="AI95" s="166" t="str">
        <f>IF(AI23="","",VLOOKUP(AI23,社員データ!$T$7:$AB$34,9,FALSE))</f>
        <v/>
      </c>
      <c r="AJ95" s="166" t="str">
        <f>IF(AJ23="","",VLOOKUP(AJ23,社員データ!$T$7:$AB$34,9,FALSE))</f>
        <v/>
      </c>
      <c r="AK95" s="166" t="str">
        <f>IF(AK23="","",VLOOKUP(AK23,社員データ!$T$7:$AB$34,9,FALSE))</f>
        <v/>
      </c>
      <c r="AL95" s="166" t="str">
        <f>IF(AL23="","",VLOOKUP(AL23,社員データ!$T$7:$AB$34,9,FALSE))</f>
        <v/>
      </c>
    </row>
    <row r="96" spans="7:38" x14ac:dyDescent="0.2">
      <c r="G96" s="168">
        <f>G24</f>
        <v>0</v>
      </c>
      <c r="H96" s="166" t="str">
        <f>IF(H24="","",VLOOKUP(H24,社員データ!$T$7:$AB$34,7,FALSE))</f>
        <v/>
      </c>
      <c r="I96" s="166" t="str">
        <f>IF(I24="","",VLOOKUP(I24,社員データ!$T$7:$AB$34,7,FALSE))</f>
        <v/>
      </c>
      <c r="J96" s="166" t="str">
        <f>IF(J24="","",VLOOKUP(J24,社員データ!$T$7:$AB$34,7,FALSE))</f>
        <v/>
      </c>
      <c r="K96" s="166" t="str">
        <f>IF(K24="","",VLOOKUP(K24,社員データ!$T$7:$AB$34,7,FALSE))</f>
        <v/>
      </c>
      <c r="L96" s="166" t="str">
        <f>IF(L24="","",VLOOKUP(L24,社員データ!$T$7:$AB$34,7,FALSE))</f>
        <v/>
      </c>
      <c r="M96" s="166" t="str">
        <f>IF(M24="","",VLOOKUP(M24,社員データ!$T$7:$AB$34,7,FALSE))</f>
        <v/>
      </c>
      <c r="N96" s="166" t="str">
        <f>IF(N24="","",VLOOKUP(N24,社員データ!$T$7:$AB$34,7,FALSE))</f>
        <v/>
      </c>
      <c r="O96" s="166" t="str">
        <f>IF(O24="","",VLOOKUP(O24,社員データ!$T$7:$AB$34,7,FALSE))</f>
        <v/>
      </c>
      <c r="P96" s="166" t="str">
        <f>IF(P24="","",VLOOKUP(P24,社員データ!$T$7:$AB$34,7,FALSE))</f>
        <v/>
      </c>
      <c r="Q96" s="166" t="str">
        <f>IF(Q24="","",VLOOKUP(Q24,社員データ!$T$7:$AB$34,7,FALSE))</f>
        <v/>
      </c>
      <c r="R96" s="166" t="str">
        <f>IF(R24="","",VLOOKUP(R24,社員データ!$T$7:$AB$34,7,FALSE))</f>
        <v/>
      </c>
      <c r="S96" s="166" t="str">
        <f>IF(S24="","",VLOOKUP(S24,社員データ!$T$7:$AB$34,7,FALSE))</f>
        <v/>
      </c>
      <c r="T96" s="166" t="str">
        <f>IF(T24="","",VLOOKUP(T24,社員データ!$T$7:$AB$34,7,FALSE))</f>
        <v/>
      </c>
      <c r="U96" s="166" t="str">
        <f>IF(U24="","",VLOOKUP(U24,社員データ!$T$7:$AB$34,7,FALSE))</f>
        <v/>
      </c>
      <c r="V96" s="166" t="str">
        <f>IF(V24="","",VLOOKUP(V24,社員データ!$T$7:$AB$34,7,FALSE))</f>
        <v/>
      </c>
      <c r="W96" s="166" t="str">
        <f>IF(W24="","",VLOOKUP(W24,社員データ!$T$7:$AB$34,7,FALSE))</f>
        <v/>
      </c>
      <c r="X96" s="166" t="str">
        <f>IF(X24="","",VLOOKUP(X24,社員データ!$T$7:$AB$34,7,FALSE))</f>
        <v/>
      </c>
      <c r="Y96" s="166" t="str">
        <f>IF(Y24="","",VLOOKUP(Y24,社員データ!$T$7:$AB$34,7,FALSE))</f>
        <v/>
      </c>
      <c r="Z96" s="166" t="str">
        <f>IF(Z24="","",VLOOKUP(Z24,社員データ!$T$7:$AB$34,7,FALSE))</f>
        <v/>
      </c>
      <c r="AA96" s="166" t="str">
        <f>IF(AA24="","",VLOOKUP(AA24,社員データ!$T$7:$AB$34,7,FALSE))</f>
        <v/>
      </c>
      <c r="AB96" s="166" t="str">
        <f>IF(AB24="","",VLOOKUP(AB24,社員データ!$T$7:$AB$34,7,FALSE))</f>
        <v/>
      </c>
      <c r="AC96" s="166" t="str">
        <f>IF(AC24="","",VLOOKUP(AC24,社員データ!$T$7:$AB$34,7,FALSE))</f>
        <v/>
      </c>
      <c r="AD96" s="166" t="str">
        <f>IF(AD24="","",VLOOKUP(AD24,社員データ!$T$7:$AB$34,7,FALSE))</f>
        <v/>
      </c>
      <c r="AE96" s="166" t="str">
        <f>IF(AE24="","",VLOOKUP(AE24,社員データ!$T$7:$AB$34,7,FALSE))</f>
        <v/>
      </c>
      <c r="AF96" s="166" t="str">
        <f>IF(AF24="","",VLOOKUP(AF24,社員データ!$T$7:$AB$34,7,FALSE))</f>
        <v/>
      </c>
      <c r="AG96" s="166" t="str">
        <f>IF(AG24="","",VLOOKUP(AG24,社員データ!$T$7:$AB$34,7,FALSE))</f>
        <v/>
      </c>
      <c r="AH96" s="166" t="str">
        <f>IF(AH24="","",VLOOKUP(AH24,社員データ!$T$7:$AB$34,7,FALSE))</f>
        <v/>
      </c>
      <c r="AI96" s="166" t="str">
        <f>IF(AI24="","",VLOOKUP(AI24,社員データ!$T$7:$AB$34,7,FALSE))</f>
        <v/>
      </c>
      <c r="AJ96" s="166" t="str">
        <f>IF(AJ24="","",VLOOKUP(AJ24,社員データ!$T$7:$AB$34,7,FALSE))</f>
        <v/>
      </c>
      <c r="AK96" s="166" t="str">
        <f>IF(AK24="","",VLOOKUP(AK24,社員データ!$T$7:$AB$34,7,FALSE))</f>
        <v/>
      </c>
      <c r="AL96" s="166" t="str">
        <f>IF(AL24="","",VLOOKUP(AL24,社員データ!$T$7:$AB$34,7,FALSE))</f>
        <v/>
      </c>
    </row>
    <row r="97" spans="7:38" x14ac:dyDescent="0.2">
      <c r="G97" s="168"/>
      <c r="H97" s="166" t="str">
        <f>IF(H24="","",VLOOKUP(H24,社員データ!$T$7:$AB$34,8,FALSE))</f>
        <v/>
      </c>
      <c r="I97" s="166" t="str">
        <f>IF(I24="","",VLOOKUP(I24,社員データ!$T$7:$AB$34,8,FALSE))</f>
        <v/>
      </c>
      <c r="J97" s="166" t="str">
        <f>IF(J24="","",VLOOKUP(J24,社員データ!$T$7:$AB$34,8,FALSE))</f>
        <v/>
      </c>
      <c r="K97" s="166" t="str">
        <f>IF(K24="","",VLOOKUP(K24,社員データ!$T$7:$AB$34,8,FALSE))</f>
        <v/>
      </c>
      <c r="L97" s="166" t="str">
        <f>IF(L24="","",VLOOKUP(L24,社員データ!$T$7:$AB$34,8,FALSE))</f>
        <v/>
      </c>
      <c r="M97" s="166" t="str">
        <f>IF(M24="","",VLOOKUP(M24,社員データ!$T$7:$AB$34,8,FALSE))</f>
        <v/>
      </c>
      <c r="N97" s="166" t="str">
        <f>IF(N24="","",VLOOKUP(N24,社員データ!$T$7:$AB$34,8,FALSE))</f>
        <v/>
      </c>
      <c r="O97" s="166" t="str">
        <f>IF(O24="","",VLOOKUP(O24,社員データ!$T$7:$AB$34,8,FALSE))</f>
        <v/>
      </c>
      <c r="P97" s="166" t="str">
        <f>IF(P24="","",VLOOKUP(P24,社員データ!$T$7:$AB$34,8,FALSE))</f>
        <v/>
      </c>
      <c r="Q97" s="166" t="str">
        <f>IF(Q24="","",VLOOKUP(Q24,社員データ!$T$7:$AB$34,8,FALSE))</f>
        <v/>
      </c>
      <c r="R97" s="166" t="str">
        <f>IF(R24="","",VLOOKUP(R24,社員データ!$T$7:$AB$34,8,FALSE))</f>
        <v/>
      </c>
      <c r="S97" s="166" t="str">
        <f>IF(S24="","",VLOOKUP(S24,社員データ!$T$7:$AB$34,8,FALSE))</f>
        <v/>
      </c>
      <c r="T97" s="166" t="str">
        <f>IF(T24="","",VLOOKUP(T24,社員データ!$T$7:$AB$34,8,FALSE))</f>
        <v/>
      </c>
      <c r="U97" s="166" t="str">
        <f>IF(U24="","",VLOOKUP(U24,社員データ!$T$7:$AB$34,8,FALSE))</f>
        <v/>
      </c>
      <c r="V97" s="166" t="str">
        <f>IF(V24="","",VLOOKUP(V24,社員データ!$T$7:$AB$34,8,FALSE))</f>
        <v/>
      </c>
      <c r="W97" s="166" t="str">
        <f>IF(W24="","",VLOOKUP(W24,社員データ!$T$7:$AB$34,8,FALSE))</f>
        <v/>
      </c>
      <c r="X97" s="166" t="str">
        <f>IF(X24="","",VLOOKUP(X24,社員データ!$T$7:$AB$34,8,FALSE))</f>
        <v/>
      </c>
      <c r="Y97" s="166" t="str">
        <f>IF(Y24="","",VLOOKUP(Y24,社員データ!$T$7:$AB$34,8,FALSE))</f>
        <v/>
      </c>
      <c r="Z97" s="166" t="str">
        <f>IF(Z24="","",VLOOKUP(Z24,社員データ!$T$7:$AB$34,8,FALSE))</f>
        <v/>
      </c>
      <c r="AA97" s="166" t="str">
        <f>IF(AA24="","",VLOOKUP(AA24,社員データ!$T$7:$AB$34,8,FALSE))</f>
        <v/>
      </c>
      <c r="AB97" s="166" t="str">
        <f>IF(AB24="","",VLOOKUP(AB24,社員データ!$T$7:$AB$34,8,FALSE))</f>
        <v/>
      </c>
      <c r="AC97" s="166" t="str">
        <f>IF(AC24="","",VLOOKUP(AC24,社員データ!$T$7:$AB$34,8,FALSE))</f>
        <v/>
      </c>
      <c r="AD97" s="166" t="str">
        <f>IF(AD24="","",VLOOKUP(AD24,社員データ!$T$7:$AB$34,8,FALSE))</f>
        <v/>
      </c>
      <c r="AE97" s="166" t="str">
        <f>IF(AE24="","",VLOOKUP(AE24,社員データ!$T$7:$AB$34,8,FALSE))</f>
        <v/>
      </c>
      <c r="AF97" s="166" t="str">
        <f>IF(AF24="","",VLOOKUP(AF24,社員データ!$T$7:$AB$34,8,FALSE))</f>
        <v/>
      </c>
      <c r="AG97" s="166" t="str">
        <f>IF(AG24="","",VLOOKUP(AG24,社員データ!$T$7:$AB$34,8,FALSE))</f>
        <v/>
      </c>
      <c r="AH97" s="166" t="str">
        <f>IF(AH24="","",VLOOKUP(AH24,社員データ!$T$7:$AB$34,8,FALSE))</f>
        <v/>
      </c>
      <c r="AI97" s="166" t="str">
        <f>IF(AI24="","",VLOOKUP(AI24,社員データ!$T$7:$AB$34,8,FALSE))</f>
        <v/>
      </c>
      <c r="AJ97" s="166" t="str">
        <f>IF(AJ24="","",VLOOKUP(AJ24,社員データ!$T$7:$AB$34,8,FALSE))</f>
        <v/>
      </c>
      <c r="AK97" s="166" t="str">
        <f>IF(AK24="","",VLOOKUP(AK24,社員データ!$T$7:$AB$34,8,FALSE))</f>
        <v/>
      </c>
      <c r="AL97" s="166" t="str">
        <f>IF(AL24="","",VLOOKUP(AL24,社員データ!$T$7:$AB$34,8,FALSE))</f>
        <v/>
      </c>
    </row>
    <row r="98" spans="7:38" x14ac:dyDescent="0.2">
      <c r="G98" s="168">
        <f>G25</f>
        <v>0</v>
      </c>
      <c r="H98" s="166" t="str">
        <f>IF(H25="","12:55",VLOOKUP(H25,社員データ!$T$7:$AB$34,6,FALSE))</f>
        <v>12:55</v>
      </c>
      <c r="I98" s="166" t="str">
        <f>IF(I25="","12:55",VLOOKUP(I25,社員データ!$T$7:$AB$34,6,FALSE))</f>
        <v>12:55</v>
      </c>
      <c r="J98" s="166" t="str">
        <f>IF(J25="","12:55",VLOOKUP(J25,社員データ!$T$7:$AB$34,6,FALSE))</f>
        <v>12:55</v>
      </c>
      <c r="K98" s="166" t="str">
        <f>IF(K25="","12:55",VLOOKUP(K25,社員データ!$T$7:$AB$34,6,FALSE))</f>
        <v>12:55</v>
      </c>
      <c r="L98" s="166" t="str">
        <f>IF(L25="","12:55",VLOOKUP(L25,社員データ!$T$7:$AB$34,6,FALSE))</f>
        <v>12:55</v>
      </c>
      <c r="M98" s="166" t="str">
        <f>IF(M25="","12:55",VLOOKUP(M25,社員データ!$T$7:$AB$34,6,FALSE))</f>
        <v>12:55</v>
      </c>
      <c r="N98" s="166" t="str">
        <f>IF(N25="","12:55",VLOOKUP(N25,社員データ!$T$7:$AB$34,6,FALSE))</f>
        <v>12:55</v>
      </c>
      <c r="O98" s="166" t="str">
        <f>IF(O25="","12:55",VLOOKUP(O25,社員データ!$T$7:$AB$34,6,FALSE))</f>
        <v>12:55</v>
      </c>
      <c r="P98" s="166" t="str">
        <f>IF(P25="","12:55",VLOOKUP(P25,社員データ!$T$7:$AB$34,6,FALSE))</f>
        <v>12:55</v>
      </c>
      <c r="Q98" s="166" t="str">
        <f>IF(Q25="","12:55",VLOOKUP(Q25,社員データ!$T$7:$AB$34,6,FALSE))</f>
        <v>12:55</v>
      </c>
      <c r="R98" s="166" t="str">
        <f>IF(R25="","12:55",VLOOKUP(R25,社員データ!$T$7:$AB$34,6,FALSE))</f>
        <v>12:55</v>
      </c>
      <c r="S98" s="166" t="str">
        <f>IF(S25="","12:55",VLOOKUP(S25,社員データ!$T$7:$AB$34,6,FALSE))</f>
        <v>12:55</v>
      </c>
      <c r="T98" s="166" t="str">
        <f>IF(T25="","12:55",VLOOKUP(T25,社員データ!$T$7:$AB$34,6,FALSE))</f>
        <v>12:55</v>
      </c>
      <c r="U98" s="166" t="str">
        <f>IF(U25="","12:55",VLOOKUP(U25,社員データ!$T$7:$AB$34,6,FALSE))</f>
        <v>12:55</v>
      </c>
      <c r="V98" s="166" t="str">
        <f>IF(V25="","12:55",VLOOKUP(V25,社員データ!$T$7:$AB$34,6,FALSE))</f>
        <v>12:55</v>
      </c>
      <c r="W98" s="166" t="str">
        <f>IF(W25="","12:55",VLOOKUP(W25,社員データ!$T$7:$AB$34,6,FALSE))</f>
        <v>12:55</v>
      </c>
      <c r="X98" s="166" t="str">
        <f>IF(X25="","12:55",VLOOKUP(X25,社員データ!$T$7:$AB$34,6,FALSE))</f>
        <v>12:55</v>
      </c>
      <c r="Y98" s="166" t="str">
        <f>IF(Y25="","12:55",VLOOKUP(Y25,社員データ!$T$7:$AB$34,6,FALSE))</f>
        <v>12:55</v>
      </c>
      <c r="Z98" s="166" t="str">
        <f>IF(Z25="","12:55",VLOOKUP(Z25,社員データ!$T$7:$AB$34,6,FALSE))</f>
        <v>12:55</v>
      </c>
      <c r="AA98" s="166" t="str">
        <f>IF(AA25="","12:55",VLOOKUP(AA25,社員データ!$T$7:$AB$34,6,FALSE))</f>
        <v>12:55</v>
      </c>
      <c r="AB98" s="166" t="str">
        <f>IF(AB25="","12:55",VLOOKUP(AB25,社員データ!$T$7:$AB$34,6,FALSE))</f>
        <v>12:55</v>
      </c>
      <c r="AC98" s="166" t="str">
        <f>IF(AC25="","12:55",VLOOKUP(AC25,社員データ!$T$7:$AB$34,6,FALSE))</f>
        <v>12:55</v>
      </c>
      <c r="AD98" s="166" t="str">
        <f>IF(AD25="","12:55",VLOOKUP(AD25,社員データ!$T$7:$AB$34,6,FALSE))</f>
        <v>12:55</v>
      </c>
      <c r="AE98" s="166" t="str">
        <f>IF(AE25="","12:55",VLOOKUP(AE25,社員データ!$T$7:$AB$34,6,FALSE))</f>
        <v>12:55</v>
      </c>
      <c r="AF98" s="166" t="str">
        <f>IF(AF25="","12:55",VLOOKUP(AF25,社員データ!$T$7:$AB$34,6,FALSE))</f>
        <v>12:55</v>
      </c>
      <c r="AG98" s="166" t="str">
        <f>IF(AG25="","12:55",VLOOKUP(AG25,社員データ!$T$7:$AB$34,6,FALSE))</f>
        <v>12:55</v>
      </c>
      <c r="AH98" s="166" t="str">
        <f>IF(AH25="","12:55",VLOOKUP(AH25,社員データ!$T$7:$AB$34,6,FALSE))</f>
        <v>12:55</v>
      </c>
      <c r="AI98" s="166" t="str">
        <f>IF(AI25="","12:55",VLOOKUP(AI25,社員データ!$T$7:$AB$34,6,FALSE))</f>
        <v>12:55</v>
      </c>
      <c r="AJ98" s="166" t="str">
        <f>IF(AJ25="","12:55",VLOOKUP(AJ25,社員データ!$T$7:$AB$34,6,FALSE))</f>
        <v>12:55</v>
      </c>
      <c r="AK98" s="166" t="str">
        <f>IF(AK25="","12:55",VLOOKUP(AK25,社員データ!$T$7:$AB$34,6,FALSE))</f>
        <v>12:55</v>
      </c>
      <c r="AL98" s="166" t="str">
        <f>IF($AL$68="","",IF(AL25="","12:55",VLOOKUP(AL25,社員データ!$T$7:$AB$34,6,FALSE)))</f>
        <v/>
      </c>
    </row>
    <row r="99" spans="7:38" x14ac:dyDescent="0.2">
      <c r="G99" s="168"/>
      <c r="H99" s="166" t="str">
        <f>IF(H25="","-",VLOOKUP(H25,社員データ!$T$7:$AB$34,8,FALSE))</f>
        <v>-</v>
      </c>
      <c r="I99" s="166" t="str">
        <f>IF(I25="","-",VLOOKUP(I25,社員データ!$T$7:$AB$34,8,FALSE))</f>
        <v>-</v>
      </c>
      <c r="J99" s="166" t="str">
        <f>IF(J25="","-",VLOOKUP(J25,社員データ!$T$7:$AB$34,8,FALSE))</f>
        <v>-</v>
      </c>
      <c r="K99" s="166" t="str">
        <f>IF(K25="","-",VLOOKUP(K25,社員データ!$T$7:$AB$34,8,FALSE))</f>
        <v>-</v>
      </c>
      <c r="L99" s="166" t="str">
        <f>IF(L25="","-",VLOOKUP(L25,社員データ!$T$7:$AB$34,8,FALSE))</f>
        <v>-</v>
      </c>
      <c r="M99" s="166" t="str">
        <f>IF(M25="","-",VLOOKUP(M25,社員データ!$T$7:$AB$34,8,FALSE))</f>
        <v>-</v>
      </c>
      <c r="N99" s="166" t="str">
        <f>IF(N25="","-",VLOOKUP(N25,社員データ!$T$7:$AB$34,8,FALSE))</f>
        <v>-</v>
      </c>
      <c r="O99" s="166" t="str">
        <f>IF(O25="","-",VLOOKUP(O25,社員データ!$T$7:$AB$34,8,FALSE))</f>
        <v>-</v>
      </c>
      <c r="P99" s="166" t="str">
        <f>IF(P25="","-",VLOOKUP(P25,社員データ!$T$7:$AB$34,8,FALSE))</f>
        <v>-</v>
      </c>
      <c r="Q99" s="166" t="str">
        <f>IF(Q25="","-",VLOOKUP(Q25,社員データ!$T$7:$AB$34,8,FALSE))</f>
        <v>-</v>
      </c>
      <c r="R99" s="166" t="str">
        <f>IF(R25="","-",VLOOKUP(R25,社員データ!$T$7:$AB$34,8,FALSE))</f>
        <v>-</v>
      </c>
      <c r="S99" s="166" t="str">
        <f>IF(S25="","-",VLOOKUP(S25,社員データ!$T$7:$AB$34,8,FALSE))</f>
        <v>-</v>
      </c>
      <c r="T99" s="166" t="str">
        <f>IF(T25="","-",VLOOKUP(T25,社員データ!$T$7:$AB$34,8,FALSE))</f>
        <v>-</v>
      </c>
      <c r="U99" s="166" t="str">
        <f>IF(U25="","-",VLOOKUP(U25,社員データ!$T$7:$AB$34,8,FALSE))</f>
        <v>-</v>
      </c>
      <c r="V99" s="166" t="str">
        <f>IF(V25="","-",VLOOKUP(V25,社員データ!$T$7:$AB$34,8,FALSE))</f>
        <v>-</v>
      </c>
      <c r="W99" s="166" t="str">
        <f>IF(W25="","-",VLOOKUP(W25,社員データ!$T$7:$AB$34,8,FALSE))</f>
        <v>-</v>
      </c>
      <c r="X99" s="166" t="str">
        <f>IF(X25="","-",VLOOKUP(X25,社員データ!$T$7:$AB$34,8,FALSE))</f>
        <v>-</v>
      </c>
      <c r="Y99" s="166" t="str">
        <f>IF(Y25="","-",VLOOKUP(Y25,社員データ!$T$7:$AB$34,8,FALSE))</f>
        <v>-</v>
      </c>
      <c r="Z99" s="166" t="str">
        <f>IF(Z25="","-",VLOOKUP(Z25,社員データ!$T$7:$AB$34,8,FALSE))</f>
        <v>-</v>
      </c>
      <c r="AA99" s="166" t="str">
        <f>IF(AA25="","-",VLOOKUP(AA25,社員データ!$T$7:$AB$34,8,FALSE))</f>
        <v>-</v>
      </c>
      <c r="AB99" s="166" t="str">
        <f>IF(AB25="","-",VLOOKUP(AB25,社員データ!$T$7:$AB$34,8,FALSE))</f>
        <v>-</v>
      </c>
      <c r="AC99" s="166" t="str">
        <f>IF(AC25="","-",VLOOKUP(AC25,社員データ!$T$7:$AB$34,8,FALSE))</f>
        <v>-</v>
      </c>
      <c r="AD99" s="166" t="str">
        <f>IF(AD25="","-",VLOOKUP(AD25,社員データ!$T$7:$AB$34,8,FALSE))</f>
        <v>-</v>
      </c>
      <c r="AE99" s="166" t="str">
        <f>IF(AE25="","-",VLOOKUP(AE25,社員データ!$T$7:$AB$34,8,FALSE))</f>
        <v>-</v>
      </c>
      <c r="AF99" s="166" t="str">
        <f>IF(AF25="","-",VLOOKUP(AF25,社員データ!$T$7:$AB$34,8,FALSE))</f>
        <v>-</v>
      </c>
      <c r="AG99" s="166" t="str">
        <f>IF(AG25="","-",VLOOKUP(AG25,社員データ!$T$7:$AB$34,8,FALSE))</f>
        <v>-</v>
      </c>
      <c r="AH99" s="166" t="str">
        <f>IF(AH25="","-",VLOOKUP(AH25,社員データ!$T$7:$AB$34,8,FALSE))</f>
        <v>-</v>
      </c>
      <c r="AI99" s="166" t="str">
        <f>IF(AI25="","-",VLOOKUP(AI25,社員データ!$T$7:$AB$34,8,FALSE))</f>
        <v>-</v>
      </c>
      <c r="AJ99" s="166" t="str">
        <f>IF(AJ25="","-",VLOOKUP(AJ25,社員データ!$T$7:$AB$34,8,FALSE))</f>
        <v>-</v>
      </c>
      <c r="AK99" s="166" t="str">
        <f>IF(AK25="","-",VLOOKUP(AK25,社員データ!$T$7:$AB$34,8,FALSE))</f>
        <v>-</v>
      </c>
      <c r="AL99" s="166" t="str">
        <f>IF($AL$68="","",IF(AL25="","-",VLOOKUP(AL25,社員データ!$T$7:$AB$34,8,FALSE)))</f>
        <v/>
      </c>
    </row>
    <row r="100" spans="7:38" x14ac:dyDescent="0.2">
      <c r="G100" s="168">
        <f>G26</f>
        <v>0</v>
      </c>
      <c r="H100" s="166" t="str">
        <f>IF(H26="","12:55",VLOOKUP(H26,社員データ!$T$7:$AB$34,6,FALSE))</f>
        <v>12:55</v>
      </c>
      <c r="I100" s="166" t="str">
        <f>IF(I26="","12:55",VLOOKUP(I26,社員データ!$T$7:$AB$34,6,FALSE))</f>
        <v>12:55</v>
      </c>
      <c r="J100" s="166" t="str">
        <f>IF(J26="","12:55",VLOOKUP(J26,社員データ!$T$7:$AB$34,6,FALSE))</f>
        <v>12:55</v>
      </c>
      <c r="K100" s="166" t="str">
        <f>IF(K26="","12:55",VLOOKUP(K26,社員データ!$T$7:$AB$34,6,FALSE))</f>
        <v>12:55</v>
      </c>
      <c r="L100" s="166" t="str">
        <f>IF(L26="","12:55",VLOOKUP(L26,社員データ!$T$7:$AB$34,6,FALSE))</f>
        <v>12:55</v>
      </c>
      <c r="M100" s="166" t="str">
        <f>IF(M26="","12:55",VLOOKUP(M26,社員データ!$T$7:$AB$34,6,FALSE))</f>
        <v>12:55</v>
      </c>
      <c r="N100" s="166" t="str">
        <f>IF(N26="","12:55",VLOOKUP(N26,社員データ!$T$7:$AB$34,6,FALSE))</f>
        <v>12:55</v>
      </c>
      <c r="O100" s="166" t="str">
        <f>IF(O26="","12:55",VLOOKUP(O26,社員データ!$T$7:$AB$34,6,FALSE))</f>
        <v>12:55</v>
      </c>
      <c r="P100" s="166" t="str">
        <f>IF(P26="","12:55",VLOOKUP(P26,社員データ!$T$7:$AB$34,6,FALSE))</f>
        <v>12:55</v>
      </c>
      <c r="Q100" s="166" t="str">
        <f>IF(Q26="","12:55",VLOOKUP(Q26,社員データ!$T$7:$AB$34,6,FALSE))</f>
        <v>12:55</v>
      </c>
      <c r="R100" s="166" t="str">
        <f>IF(R26="","12:55",VLOOKUP(R26,社員データ!$T$7:$AB$34,6,FALSE))</f>
        <v>12:55</v>
      </c>
      <c r="S100" s="166" t="str">
        <f>IF(S26="","12:55",VLOOKUP(S26,社員データ!$T$7:$AB$34,6,FALSE))</f>
        <v>12:55</v>
      </c>
      <c r="T100" s="166" t="str">
        <f>IF(T26="","12:55",VLOOKUP(T26,社員データ!$T$7:$AB$34,6,FALSE))</f>
        <v>12:55</v>
      </c>
      <c r="U100" s="166" t="str">
        <f>IF(U26="","12:55",VLOOKUP(U26,社員データ!$T$7:$AB$34,6,FALSE))</f>
        <v>12:55</v>
      </c>
      <c r="V100" s="166" t="str">
        <f>IF(V26="","12:55",VLOOKUP(V26,社員データ!$T$7:$AB$34,6,FALSE))</f>
        <v>12:55</v>
      </c>
      <c r="W100" s="166" t="str">
        <f>IF(W26="","12:55",VLOOKUP(W26,社員データ!$T$7:$AB$34,6,FALSE))</f>
        <v>12:55</v>
      </c>
      <c r="X100" s="166" t="str">
        <f>IF(X26="","12:55",VLOOKUP(X26,社員データ!$T$7:$AB$34,6,FALSE))</f>
        <v>12:55</v>
      </c>
      <c r="Y100" s="166" t="str">
        <f>IF(Y26="","12:55",VLOOKUP(Y26,社員データ!$T$7:$AB$34,6,FALSE))</f>
        <v>12:55</v>
      </c>
      <c r="Z100" s="166" t="str">
        <f>IF(Z26="","12:55",VLOOKUP(Z26,社員データ!$T$7:$AB$34,6,FALSE))</f>
        <v>12:55</v>
      </c>
      <c r="AA100" s="166" t="str">
        <f>IF(AA26="","12:55",VLOOKUP(AA26,社員データ!$T$7:$AB$34,6,FALSE))</f>
        <v>12:55</v>
      </c>
      <c r="AB100" s="166" t="str">
        <f>IF(AB26="","12:55",VLOOKUP(AB26,社員データ!$T$7:$AB$34,6,FALSE))</f>
        <v>12:55</v>
      </c>
      <c r="AC100" s="166" t="str">
        <f>IF(AC26="","12:55",VLOOKUP(AC26,社員データ!$T$7:$AB$34,6,FALSE))</f>
        <v>12:55</v>
      </c>
      <c r="AD100" s="166" t="str">
        <f>IF(AD26="","12:55",VLOOKUP(AD26,社員データ!$T$7:$AB$34,6,FALSE))</f>
        <v>12:55</v>
      </c>
      <c r="AE100" s="166" t="str">
        <f>IF(AE26="","12:55",VLOOKUP(AE26,社員データ!$T$7:$AB$34,6,FALSE))</f>
        <v>12:55</v>
      </c>
      <c r="AF100" s="166" t="str">
        <f>IF(AF26="","12:55",VLOOKUP(AF26,社員データ!$T$7:$AB$34,6,FALSE))</f>
        <v>12:55</v>
      </c>
      <c r="AG100" s="166" t="str">
        <f>IF(AG26="","12:55",VLOOKUP(AG26,社員データ!$T$7:$AB$34,6,FALSE))</f>
        <v>12:55</v>
      </c>
      <c r="AH100" s="166" t="str">
        <f>IF(AH26="","12:55",VLOOKUP(AH26,社員データ!$T$7:$AB$34,6,FALSE))</f>
        <v>12:55</v>
      </c>
      <c r="AI100" s="166" t="str">
        <f>IF(AI26="","12:55",VLOOKUP(AI26,社員データ!$T$7:$AB$34,6,FALSE))</f>
        <v>12:55</v>
      </c>
      <c r="AJ100" s="166" t="str">
        <f>IF(AJ26="","12:55",VLOOKUP(AJ26,社員データ!$T$7:$AB$34,6,FALSE))</f>
        <v>12:55</v>
      </c>
      <c r="AK100" s="166" t="str">
        <f>IF(AK26="","12:55",VLOOKUP(AK26,社員データ!$T$7:$AB$34,6,FALSE))</f>
        <v>12:55</v>
      </c>
      <c r="AL100" s="166" t="str">
        <f>IF($AL$68="","",IF(AL26="","12:55",VLOOKUP(AL26,社員データ!$T$7:$AB$34,6,FALSE)))</f>
        <v/>
      </c>
    </row>
    <row r="101" spans="7:38" x14ac:dyDescent="0.2">
      <c r="G101" s="168"/>
      <c r="H101" s="166" t="str">
        <f>IF(H26="","-",VLOOKUP(H26,社員データ!$T$7:$AB$34,8,FALSE))</f>
        <v>-</v>
      </c>
      <c r="I101" s="166" t="str">
        <f>IF(I26="","-",VLOOKUP(I26,社員データ!$T$7:$AB$34,8,FALSE))</f>
        <v>-</v>
      </c>
      <c r="J101" s="166" t="str">
        <f>IF(J26="","-",VLOOKUP(J26,社員データ!$T$7:$AB$34,8,FALSE))</f>
        <v>-</v>
      </c>
      <c r="K101" s="166" t="str">
        <f>IF(K26="","-",VLOOKUP(K26,社員データ!$T$7:$AB$34,8,FALSE))</f>
        <v>-</v>
      </c>
      <c r="L101" s="166" t="str">
        <f>IF(L26="","-",VLOOKUP(L26,社員データ!$T$7:$AB$34,8,FALSE))</f>
        <v>-</v>
      </c>
      <c r="M101" s="166" t="str">
        <f>IF(M26="","-",VLOOKUP(M26,社員データ!$T$7:$AB$34,8,FALSE))</f>
        <v>-</v>
      </c>
      <c r="N101" s="166" t="str">
        <f>IF(N26="","-",VLOOKUP(N26,社員データ!$T$7:$AB$34,8,FALSE))</f>
        <v>-</v>
      </c>
      <c r="O101" s="166" t="str">
        <f>IF(O26="","-",VLOOKUP(O26,社員データ!$T$7:$AB$34,8,FALSE))</f>
        <v>-</v>
      </c>
      <c r="P101" s="166" t="str">
        <f>IF(P26="","-",VLOOKUP(P26,社員データ!$T$7:$AB$34,8,FALSE))</f>
        <v>-</v>
      </c>
      <c r="Q101" s="166" t="str">
        <f>IF(Q26="","-",VLOOKUP(Q26,社員データ!$T$7:$AB$34,8,FALSE))</f>
        <v>-</v>
      </c>
      <c r="R101" s="166" t="str">
        <f>IF(R26="","-",VLOOKUP(R26,社員データ!$T$7:$AB$34,8,FALSE))</f>
        <v>-</v>
      </c>
      <c r="S101" s="166" t="str">
        <f>IF(S26="","-",VLOOKUP(S26,社員データ!$T$7:$AB$34,8,FALSE))</f>
        <v>-</v>
      </c>
      <c r="T101" s="166" t="str">
        <f>IF(T26="","-",VLOOKUP(T26,社員データ!$T$7:$AB$34,8,FALSE))</f>
        <v>-</v>
      </c>
      <c r="U101" s="166" t="str">
        <f>IF(U26="","-",VLOOKUP(U26,社員データ!$T$7:$AB$34,8,FALSE))</f>
        <v>-</v>
      </c>
      <c r="V101" s="166" t="str">
        <f>IF(V26="","-",VLOOKUP(V26,社員データ!$T$7:$AB$34,8,FALSE))</f>
        <v>-</v>
      </c>
      <c r="W101" s="166" t="str">
        <f>IF(W26="","-",VLOOKUP(W26,社員データ!$T$7:$AB$34,8,FALSE))</f>
        <v>-</v>
      </c>
      <c r="X101" s="166" t="str">
        <f>IF(X26="","-",VLOOKUP(X26,社員データ!$T$7:$AB$34,8,FALSE))</f>
        <v>-</v>
      </c>
      <c r="Y101" s="166" t="str">
        <f>IF(Y26="","-",VLOOKUP(Y26,社員データ!$T$7:$AB$34,8,FALSE))</f>
        <v>-</v>
      </c>
      <c r="Z101" s="166" t="str">
        <f>IF(Z26="","-",VLOOKUP(Z26,社員データ!$T$7:$AB$34,8,FALSE))</f>
        <v>-</v>
      </c>
      <c r="AA101" s="166" t="str">
        <f>IF(AA26="","-",VLOOKUP(AA26,社員データ!$T$7:$AB$34,8,FALSE))</f>
        <v>-</v>
      </c>
      <c r="AB101" s="166" t="str">
        <f>IF(AB26="","-",VLOOKUP(AB26,社員データ!$T$7:$AB$34,8,FALSE))</f>
        <v>-</v>
      </c>
      <c r="AC101" s="166" t="str">
        <f>IF(AC26="","-",VLOOKUP(AC26,社員データ!$T$7:$AB$34,8,FALSE))</f>
        <v>-</v>
      </c>
      <c r="AD101" s="166" t="str">
        <f>IF(AD26="","-",VLOOKUP(AD26,社員データ!$T$7:$AB$34,8,FALSE))</f>
        <v>-</v>
      </c>
      <c r="AE101" s="166" t="str">
        <f>IF(AE26="","-",VLOOKUP(AE26,社員データ!$T$7:$AB$34,8,FALSE))</f>
        <v>-</v>
      </c>
      <c r="AF101" s="166" t="str">
        <f>IF(AF26="","-",VLOOKUP(AF26,社員データ!$T$7:$AB$34,8,FALSE))</f>
        <v>-</v>
      </c>
      <c r="AG101" s="166" t="str">
        <f>IF(AG26="","-",VLOOKUP(AG26,社員データ!$T$7:$AB$34,8,FALSE))</f>
        <v>-</v>
      </c>
      <c r="AH101" s="166" t="str">
        <f>IF(AH26="","-",VLOOKUP(AH26,社員データ!$T$7:$AB$34,8,FALSE))</f>
        <v>-</v>
      </c>
      <c r="AI101" s="166" t="str">
        <f>IF(AI26="","-",VLOOKUP(AI26,社員データ!$T$7:$AB$34,8,FALSE))</f>
        <v>-</v>
      </c>
      <c r="AJ101" s="166" t="str">
        <f>IF(AJ26="","-",VLOOKUP(AJ26,社員データ!$T$7:$AB$34,8,FALSE))</f>
        <v>-</v>
      </c>
      <c r="AK101" s="166" t="str">
        <f>IF(AK26="","-",VLOOKUP(AK26,社員データ!$T$7:$AB$34,8,FALSE))</f>
        <v>-</v>
      </c>
      <c r="AL101" s="166" t="str">
        <f>IF($AL$68="","",IF(AL26="","-",VLOOKUP(AL26,社員データ!$T$7:$AB$34,8,FALSE)))</f>
        <v/>
      </c>
    </row>
  </sheetData>
  <sheetProtection algorithmName="SHA-512" hashValue="pSvA8jNWWCOtAYghge9q5WJlqIcceb1K8e/DhWlGT/exY8e7Iv1+PH/3qcoaEiEeGQf1CubBntpPbO7hDsjjNQ==" saltValue="+2bWXLIKL7eTlpZ/9+geZA==" spinCount="100000" sheet="1" scenarios="1"/>
  <mergeCells count="98">
    <mergeCell ref="AD67:AL67"/>
    <mergeCell ref="G66:I66"/>
    <mergeCell ref="L65:AE65"/>
    <mergeCell ref="AG65:AL65"/>
    <mergeCell ref="I7:K7"/>
    <mergeCell ref="AN8:AO8"/>
    <mergeCell ref="AC6:AO7"/>
    <mergeCell ref="H68:H69"/>
    <mergeCell ref="I68:I69"/>
    <mergeCell ref="K68:K69"/>
    <mergeCell ref="S6:V6"/>
    <mergeCell ref="N7:O7"/>
    <mergeCell ref="R7:S7"/>
    <mergeCell ref="L7:M7"/>
    <mergeCell ref="P7:Q7"/>
    <mergeCell ref="W68:W69"/>
    <mergeCell ref="X68:X69"/>
    <mergeCell ref="Y68:Y69"/>
    <mergeCell ref="Z68:Z69"/>
    <mergeCell ref="AA68:AA69"/>
    <mergeCell ref="AB68:AB69"/>
    <mergeCell ref="BJ10:BJ11"/>
    <mergeCell ref="AO10:AO11"/>
    <mergeCell ref="AN10:AN11"/>
    <mergeCell ref="H46:AL46"/>
    <mergeCell ref="AP10:AP11"/>
    <mergeCell ref="H70:H71"/>
    <mergeCell ref="G72:G73"/>
    <mergeCell ref="G74:G75"/>
    <mergeCell ref="BD10:BD11"/>
    <mergeCell ref="BI10:BI11"/>
    <mergeCell ref="L68:L69"/>
    <mergeCell ref="M68:M69"/>
    <mergeCell ref="N68:N69"/>
    <mergeCell ref="O68:O69"/>
    <mergeCell ref="P68:P69"/>
    <mergeCell ref="Q68:Q69"/>
    <mergeCell ref="R68:R69"/>
    <mergeCell ref="S68:S69"/>
    <mergeCell ref="T68:T69"/>
    <mergeCell ref="U68:U69"/>
    <mergeCell ref="V68:V69"/>
    <mergeCell ref="G96:G97"/>
    <mergeCell ref="G98:G99"/>
    <mergeCell ref="G100:G101"/>
    <mergeCell ref="J68:J69"/>
    <mergeCell ref="G86:G87"/>
    <mergeCell ref="G88:G89"/>
    <mergeCell ref="G90:G91"/>
    <mergeCell ref="G92:G93"/>
    <mergeCell ref="G94:G95"/>
    <mergeCell ref="G76:G77"/>
    <mergeCell ref="G78:G79"/>
    <mergeCell ref="G80:G81"/>
    <mergeCell ref="G82:G83"/>
    <mergeCell ref="G84:G85"/>
    <mergeCell ref="G70:G71"/>
    <mergeCell ref="G68:G69"/>
    <mergeCell ref="AC68:AC69"/>
    <mergeCell ref="AD68:AD69"/>
    <mergeCell ref="AE68:AE69"/>
    <mergeCell ref="AF68:AF69"/>
    <mergeCell ref="AG68:AG69"/>
    <mergeCell ref="AH68:AH69"/>
    <mergeCell ref="AI68:AI69"/>
    <mergeCell ref="AJ68:AJ69"/>
    <mergeCell ref="AK68:AK69"/>
    <mergeCell ref="AL68:AL69"/>
    <mergeCell ref="I70:I71"/>
    <mergeCell ref="J70:J71"/>
    <mergeCell ref="K70:K71"/>
    <mergeCell ref="L70:L71"/>
    <mergeCell ref="M70:M71"/>
    <mergeCell ref="N70:N71"/>
    <mergeCell ref="O70:O71"/>
    <mergeCell ref="P70:P71"/>
    <mergeCell ref="Q70:Q71"/>
    <mergeCell ref="R70:R71"/>
    <mergeCell ref="S70:S71"/>
    <mergeCell ref="T70:T71"/>
    <mergeCell ref="U70:U71"/>
    <mergeCell ref="V70:V71"/>
    <mergeCell ref="W70:W71"/>
    <mergeCell ref="X70:X71"/>
    <mergeCell ref="Y70:Y71"/>
    <mergeCell ref="Z70:Z71"/>
    <mergeCell ref="AA70:AA71"/>
    <mergeCell ref="AB70:AB71"/>
    <mergeCell ref="AC70:AC71"/>
    <mergeCell ref="AD70:AD71"/>
    <mergeCell ref="AE70:AE71"/>
    <mergeCell ref="AF70:AF71"/>
    <mergeCell ref="AL70:AL71"/>
    <mergeCell ref="AG70:AG71"/>
    <mergeCell ref="AH70:AH71"/>
    <mergeCell ref="AI70:AI71"/>
    <mergeCell ref="AJ70:AJ71"/>
    <mergeCell ref="AK70:AK71"/>
  </mergeCells>
  <phoneticPr fontId="2"/>
  <conditionalFormatting sqref="R6">
    <cfRule type="cellIs" dxfId="93" priority="101" stopIfTrue="1" operator="notEqual">
      <formula>""</formula>
    </cfRule>
  </conditionalFormatting>
  <conditionalFormatting sqref="AQ12:AQ39">
    <cfRule type="cellIs" dxfId="92" priority="20" stopIfTrue="1" operator="lessThan">
      <formula>0</formula>
    </cfRule>
  </conditionalFormatting>
  <conditionalFormatting sqref="S6">
    <cfRule type="expression" dxfId="91" priority="15">
      <formula>$S$6&lt;&gt;""</formula>
    </cfRule>
  </conditionalFormatting>
  <conditionalFormatting sqref="G7">
    <cfRule type="expression" dxfId="90" priority="7">
      <formula>$G$7="年月日入力"</formula>
    </cfRule>
    <cfRule type="expression" dxfId="89" priority="8">
      <formula>$G$7="年月日入力"</formula>
    </cfRule>
  </conditionalFormatting>
  <conditionalFormatting sqref="H10:AL11">
    <cfRule type="expression" dxfId="88" priority="110">
      <formula>H$9&lt;&gt;""</formula>
    </cfRule>
    <cfRule type="expression" dxfId="87" priority="111">
      <formula>AND(H$10&lt;&gt;"",H$41&amp;H$42&amp;H$43&amp;H$44&amp;H$45&lt;&gt;"OKOKOKOKOK")</formula>
    </cfRule>
  </conditionalFormatting>
  <conditionalFormatting sqref="H12:AL39">
    <cfRule type="expression" dxfId="86" priority="1">
      <formula>H12="S希"</formula>
    </cfRule>
    <cfRule type="expression" dxfId="85" priority="2">
      <formula>OR(H12="休希",H12="有休",H12="代休")</formula>
    </cfRule>
    <cfRule type="expression" dxfId="84" priority="3">
      <formula>H$9&lt;&gt;""</formula>
    </cfRule>
    <cfRule type="expression" dxfId="83" priority="31">
      <formula>OR(H12="有休",H12="休",H12="代休",H12="休希")</formula>
    </cfRule>
  </conditionalFormatting>
  <conditionalFormatting sqref="H41:AL45">
    <cfRule type="cellIs" dxfId="82" priority="102" operator="lessThan">
      <formula>0</formula>
    </cfRule>
    <cfRule type="expression" dxfId="81" priority="103">
      <formula>AND(H41&lt;&gt;"OK",H41&lt;&gt;"",H41&gt;0)</formula>
    </cfRule>
  </conditionalFormatting>
  <dataValidations count="5">
    <dataValidation imeMode="hiragana" allowBlank="1" showInputMessage="1" showErrorMessage="1" sqref="G40" xr:uid="{00000000-0002-0000-0000-000000000000}"/>
    <dataValidation type="custom" allowBlank="1" showInputMessage="1" showErrorMessage="1" sqref="AE18 AD19" xr:uid="{00000000-0002-0000-0000-000001000000}">
      <formula1>"夜２"</formula1>
    </dataValidation>
    <dataValidation type="date" imeMode="off" operator="greaterThanOrEqual" allowBlank="1" showInputMessage="1" showErrorMessage="1" error="2019年1月11日以降の日付を入力" sqref="G7" xr:uid="{00000000-0002-0000-0000-000002000000}">
      <formula1>43466</formula1>
    </dataValidation>
    <dataValidation imeMode="off" allowBlank="1" showInputMessage="1" showErrorMessage="1" sqref="G9 I7" xr:uid="{00000000-0002-0000-0000-000003000000}"/>
    <dataValidation operator="greaterThan" allowBlank="1" showInputMessage="1" showErrorMessage="1" sqref="L8 N8:AL8" xr:uid="{00000000-0002-0000-0000-000004000000}"/>
  </dataValidations>
  <printOptions horizontalCentered="1" verticalCentered="1"/>
  <pageMargins left="0.20833333333333334" right="0.20833333333333334" top="0.27777777777777779" bottom="0.1388888888888889" header="0.15748031496062992" footer="0.19685039370078741"/>
  <pageSetup paperSize="9" scale="72" orientation="landscape" errors="blank" horizontalDpi="4294967293" r:id="rId1"/>
  <headerFooter alignWithMargins="0"/>
  <rowBreaks count="2" manualBreakCount="2">
    <brk id="62" max="16383" man="1"/>
    <brk id="63" max="16383" man="1"/>
  </rowBreaks>
  <colBreaks count="1" manualBreakCount="1">
    <brk id="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80" r:id="rId4" name="Button 56">
              <controlPr defaultSize="0" print="0" autoFill="0" autoPict="0" macro="[0]!スタート">
                <anchor moveWithCells="1" sizeWithCells="1">
                  <from>
                    <xdr:col>21</xdr:col>
                    <xdr:colOff>213360</xdr:colOff>
                    <xdr:row>5</xdr:row>
                    <xdr:rowOff>144780</xdr:rowOff>
                  </from>
                  <to>
                    <xdr:col>24</xdr:col>
                    <xdr:colOff>30480</xdr:colOff>
                    <xdr:row>6</xdr:row>
                    <xdr:rowOff>274320</xdr:rowOff>
                  </to>
                </anchor>
              </controlPr>
            </control>
          </mc:Choice>
        </mc:AlternateContent>
        <mc:AlternateContent xmlns:mc="http://schemas.openxmlformats.org/markup-compatibility/2006">
          <mc:Choice Requires="x14">
            <control shapeId="1081" r:id="rId5" name="Button 57">
              <controlPr defaultSize="0" print="0" autoFill="0" autoPict="0" macro="[0]!記録Main">
                <anchor moveWithCells="1" sizeWithCells="1">
                  <from>
                    <xdr:col>19</xdr:col>
                    <xdr:colOff>45720</xdr:colOff>
                    <xdr:row>5</xdr:row>
                    <xdr:rowOff>144780</xdr:rowOff>
                  </from>
                  <to>
                    <xdr:col>21</xdr:col>
                    <xdr:colOff>220980</xdr:colOff>
                    <xdr:row>6</xdr:row>
                    <xdr:rowOff>274320</xdr:rowOff>
                  </to>
                </anchor>
              </controlPr>
            </control>
          </mc:Choice>
        </mc:AlternateContent>
        <mc:AlternateContent xmlns:mc="http://schemas.openxmlformats.org/markup-compatibility/2006">
          <mc:Choice Requires="x14">
            <control shapeId="1082" r:id="rId6" name="Button 58">
              <controlPr defaultSize="0" print="0" autoFill="0" autoPict="0" macro="[0]!注意事項">
                <anchor moveWithCells="1" sizeWithCells="1">
                  <from>
                    <xdr:col>24</xdr:col>
                    <xdr:colOff>60960</xdr:colOff>
                    <xdr:row>5</xdr:row>
                    <xdr:rowOff>121920</xdr:rowOff>
                  </from>
                  <to>
                    <xdr:col>26</xdr:col>
                    <xdr:colOff>213360</xdr:colOff>
                    <xdr:row>6</xdr:row>
                    <xdr:rowOff>274320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AN78"/>
  <sheetViews>
    <sheetView showGridLines="0" showRowColHeaders="0" zoomScale="123" zoomScaleNormal="123" zoomScaleSheetLayoutView="75" workbookViewId="0">
      <pane xSplit="40" ySplit="11" topLeftCell="AO12" activePane="bottomRight" state="frozen"/>
      <selection pane="topRight" activeCell="AO1" sqref="AO1"/>
      <selection pane="bottomLeft" activeCell="A12" sqref="A12"/>
      <selection pane="bottomRight" activeCell="H13" sqref="H13"/>
    </sheetView>
  </sheetViews>
  <sheetFormatPr defaultColWidth="4.109375" defaultRowHeight="12" x14ac:dyDescent="0.2"/>
  <cols>
    <col min="1" max="1" width="2.33203125" style="1" customWidth="1"/>
    <col min="2" max="3" width="2.33203125" style="1" hidden="1" customWidth="1"/>
    <col min="4" max="4" width="2.77734375" style="1" hidden="1" customWidth="1"/>
    <col min="5" max="5" width="12.6640625" style="1" hidden="1" customWidth="1"/>
    <col min="6" max="6" width="8.6640625" style="1" hidden="1" customWidth="1"/>
    <col min="7" max="7" width="13.109375" style="1" customWidth="1"/>
    <col min="8" max="38" width="4.33203125" style="1" customWidth="1"/>
    <col min="39" max="39" width="6.44140625" style="1" customWidth="1"/>
    <col min="40" max="40" width="13" style="1" customWidth="1"/>
    <col min="41" max="41" width="1.44140625" style="1" customWidth="1"/>
    <col min="42" max="70" width="4.109375" style="1" customWidth="1"/>
    <col min="71" max="74" width="4.109375" style="1"/>
    <col min="75" max="91" width="0" style="1" hidden="1" customWidth="1"/>
    <col min="92" max="16384" width="4.109375" style="1"/>
  </cols>
  <sheetData>
    <row r="1" spans="1:40" x14ac:dyDescent="0.2">
      <c r="A1" s="74"/>
    </row>
    <row r="2" spans="1:40" hidden="1" x14ac:dyDescent="0.2"/>
    <row r="3" spans="1:40" ht="20.25" customHeight="1" x14ac:dyDescent="0.2">
      <c r="G3" s="7" t="s">
        <v>13</v>
      </c>
      <c r="H3" s="7"/>
      <c r="I3" s="7"/>
      <c r="J3" s="7"/>
      <c r="K3" s="195" t="str">
        <f>IF(S_Day="", "", S_Day)</f>
        <v>年月日入力</v>
      </c>
      <c r="L3" s="195"/>
      <c r="M3" s="195"/>
      <c r="N3" s="195"/>
      <c r="O3" s="195"/>
      <c r="P3" s="8" t="s">
        <v>3</v>
      </c>
      <c r="Q3" s="197">
        <f>E_day</f>
        <v>0</v>
      </c>
      <c r="R3" s="197"/>
      <c r="S3" s="197"/>
      <c r="T3" s="8" t="s">
        <v>2</v>
      </c>
      <c r="V3" s="199" t="str">
        <f>勤務計画!N7</f>
        <v/>
      </c>
      <c r="W3" s="199"/>
      <c r="X3" s="9" t="s">
        <v>1</v>
      </c>
      <c r="Z3" s="198" t="str">
        <f>勤務計画!R7</f>
        <v/>
      </c>
      <c r="AA3" s="198"/>
      <c r="AD3" s="101"/>
      <c r="AE3" s="141" t="s">
        <v>6</v>
      </c>
      <c r="AF3" s="142" t="s">
        <v>12</v>
      </c>
      <c r="AG3" s="143" t="s">
        <v>5</v>
      </c>
      <c r="AH3" s="144" t="s">
        <v>4</v>
      </c>
    </row>
    <row r="4" spans="1:40" ht="19.5" hidden="1" customHeight="1" x14ac:dyDescent="0.2"/>
    <row r="5" spans="1:40" ht="19.5" hidden="1" customHeight="1" x14ac:dyDescent="0.2">
      <c r="G5" s="5"/>
      <c r="H5" s="5"/>
      <c r="I5" s="5"/>
      <c r="J5" s="5"/>
      <c r="K5" s="5"/>
      <c r="L5" s="5"/>
      <c r="M5" s="5"/>
      <c r="N5" s="5"/>
      <c r="O5" s="5"/>
      <c r="P5" s="5"/>
      <c r="Q5" s="5"/>
      <c r="R5" s="5"/>
      <c r="S5" s="5"/>
      <c r="T5" s="5"/>
      <c r="U5" s="5"/>
      <c r="V5" s="5"/>
      <c r="W5" s="5"/>
      <c r="X5" s="5"/>
      <c r="Y5" s="5"/>
      <c r="Z5" s="5"/>
      <c r="AA5" s="5"/>
      <c r="AB5" s="5"/>
      <c r="AC5" s="5"/>
      <c r="AD5" s="5"/>
      <c r="AE5" s="5"/>
      <c r="AF5" s="5"/>
      <c r="AG5" s="5"/>
      <c r="AH5" s="5"/>
      <c r="AI5" s="37"/>
      <c r="AJ5" s="38"/>
      <c r="AK5" s="39"/>
      <c r="AL5" s="40"/>
    </row>
    <row r="6" spans="1:40" ht="19.5" hidden="1" customHeight="1" x14ac:dyDescent="0.2">
      <c r="G6" s="27"/>
      <c r="H6" s="27"/>
      <c r="I6" s="27"/>
      <c r="J6" s="27"/>
      <c r="K6" s="28"/>
      <c r="L6" s="28"/>
      <c r="M6" s="28"/>
      <c r="N6" s="28"/>
      <c r="O6" s="28"/>
      <c r="Q6" s="29"/>
      <c r="R6" s="29"/>
      <c r="S6" s="29"/>
      <c r="V6" s="30"/>
      <c r="W6" s="30"/>
      <c r="X6" s="31"/>
      <c r="Z6" s="32"/>
      <c r="AA6" s="32"/>
      <c r="AD6" s="31"/>
      <c r="AG6" s="33"/>
      <c r="AH6" s="33"/>
      <c r="AI6" s="34"/>
      <c r="AJ6" s="26"/>
      <c r="AK6" s="35"/>
      <c r="AL6" s="6"/>
    </row>
    <row r="7" spans="1:40" ht="19.5" hidden="1" customHeight="1" x14ac:dyDescent="0.2">
      <c r="G7" s="27"/>
      <c r="H7" s="97" t="str">
        <f t="shared" ref="H7:AL7" si="0">IFERROR(VLOOKUP($E8,TB_Kinmu,H$73,FALSE)&amp;"","")</f>
        <v/>
      </c>
      <c r="I7" s="97" t="str">
        <f t="shared" si="0"/>
        <v/>
      </c>
      <c r="J7" s="97" t="str">
        <f t="shared" si="0"/>
        <v/>
      </c>
      <c r="K7" s="97" t="str">
        <f t="shared" si="0"/>
        <v/>
      </c>
      <c r="L7" s="97" t="str">
        <f t="shared" si="0"/>
        <v/>
      </c>
      <c r="M7" s="97" t="str">
        <f t="shared" si="0"/>
        <v/>
      </c>
      <c r="N7" s="97" t="str">
        <f t="shared" si="0"/>
        <v/>
      </c>
      <c r="O7" s="97" t="str">
        <f t="shared" si="0"/>
        <v/>
      </c>
      <c r="P7" s="97" t="str">
        <f t="shared" si="0"/>
        <v/>
      </c>
      <c r="Q7" s="97" t="str">
        <f t="shared" si="0"/>
        <v/>
      </c>
      <c r="R7" s="97" t="str">
        <f t="shared" si="0"/>
        <v/>
      </c>
      <c r="S7" s="97" t="str">
        <f t="shared" si="0"/>
        <v/>
      </c>
      <c r="T7" s="97" t="str">
        <f t="shared" si="0"/>
        <v/>
      </c>
      <c r="U7" s="97" t="str">
        <f t="shared" si="0"/>
        <v/>
      </c>
      <c r="V7" s="97" t="str">
        <f t="shared" si="0"/>
        <v/>
      </c>
      <c r="W7" s="97" t="str">
        <f t="shared" si="0"/>
        <v/>
      </c>
      <c r="X7" s="97" t="str">
        <f t="shared" si="0"/>
        <v/>
      </c>
      <c r="Y7" s="97" t="str">
        <f t="shared" si="0"/>
        <v/>
      </c>
      <c r="Z7" s="97" t="str">
        <f t="shared" si="0"/>
        <v/>
      </c>
      <c r="AA7" s="97" t="str">
        <f t="shared" si="0"/>
        <v/>
      </c>
      <c r="AB7" s="97" t="str">
        <f t="shared" si="0"/>
        <v/>
      </c>
      <c r="AC7" s="97" t="str">
        <f t="shared" si="0"/>
        <v/>
      </c>
      <c r="AD7" s="97" t="str">
        <f t="shared" si="0"/>
        <v/>
      </c>
      <c r="AE7" s="97" t="str">
        <f t="shared" si="0"/>
        <v/>
      </c>
      <c r="AF7" s="97" t="str">
        <f t="shared" si="0"/>
        <v/>
      </c>
      <c r="AG7" s="97" t="str">
        <f t="shared" si="0"/>
        <v/>
      </c>
      <c r="AH7" s="97" t="str">
        <f t="shared" si="0"/>
        <v/>
      </c>
      <c r="AI7" s="97" t="str">
        <f t="shared" si="0"/>
        <v/>
      </c>
      <c r="AJ7" s="97" t="str">
        <f t="shared" si="0"/>
        <v/>
      </c>
      <c r="AK7" s="97" t="str">
        <f t="shared" si="0"/>
        <v/>
      </c>
      <c r="AL7" s="97" t="str">
        <f t="shared" si="0"/>
        <v/>
      </c>
    </row>
    <row r="8" spans="1:40" ht="15.75" hidden="1" customHeight="1" x14ac:dyDescent="0.2">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row>
    <row r="9" spans="1:40" ht="24" hidden="1" customHeight="1" x14ac:dyDescent="0.2">
      <c r="G9" s="44" t="s">
        <v>24</v>
      </c>
      <c r="H9" s="41" t="str">
        <f>IF(勤務計画!H9="","",勤務計画!H9)</f>
        <v/>
      </c>
      <c r="I9" s="41" t="str">
        <f>IF(勤務計画!I9="","",勤務計画!I9)</f>
        <v/>
      </c>
      <c r="J9" s="41" t="str">
        <f>IF(勤務計画!J9="","",勤務計画!J9)</f>
        <v/>
      </c>
      <c r="K9" s="41" t="str">
        <f>IF(勤務計画!K9="","",勤務計画!K9)</f>
        <v/>
      </c>
      <c r="L9" s="41" t="str">
        <f>IF(勤務計画!L9="","",勤務計画!L9)</f>
        <v/>
      </c>
      <c r="M9" s="41" t="str">
        <f>IF(勤務計画!M9="","",勤務計画!M9)</f>
        <v/>
      </c>
      <c r="N9" s="41" t="str">
        <f>IF(勤務計画!N9="","",勤務計画!N9)</f>
        <v/>
      </c>
      <c r="O9" s="41" t="str">
        <f>IF(勤務計画!O9="","",勤務計画!O9)</f>
        <v/>
      </c>
      <c r="P9" s="41" t="str">
        <f>IF(勤務計画!P9="","",勤務計画!P9)</f>
        <v/>
      </c>
      <c r="Q9" s="41" t="str">
        <f>IF(勤務計画!Q9="","",勤務計画!Q9)</f>
        <v/>
      </c>
      <c r="R9" s="41" t="str">
        <f>IF(勤務計画!R9="","",勤務計画!R9)</f>
        <v/>
      </c>
      <c r="S9" s="41" t="str">
        <f>IF(勤務計画!S9="","",勤務計画!S9)</f>
        <v/>
      </c>
      <c r="T9" s="41" t="str">
        <f>IF(勤務計画!T9="","",勤務計画!T9)</f>
        <v/>
      </c>
      <c r="U9" s="41" t="str">
        <f>IF(勤務計画!U9="","",勤務計画!U9)</f>
        <v/>
      </c>
      <c r="V9" s="41" t="str">
        <f>IF(勤務計画!V9="","",勤務計画!V9)</f>
        <v/>
      </c>
      <c r="W9" s="41" t="str">
        <f>IF(勤務計画!W9="","",勤務計画!W9)</f>
        <v/>
      </c>
      <c r="X9" s="41" t="str">
        <f>IF(勤務計画!X9="","",勤務計画!X9)</f>
        <v/>
      </c>
      <c r="Y9" s="41" t="str">
        <f>IF(勤務計画!Y9="","",勤務計画!Y9)</f>
        <v/>
      </c>
      <c r="Z9" s="41" t="str">
        <f>IF(勤務計画!Z9="","",勤務計画!Z9)</f>
        <v/>
      </c>
      <c r="AA9" s="41" t="str">
        <f>IF(勤務計画!AA9="","",勤務計画!AA9)</f>
        <v/>
      </c>
      <c r="AB9" s="41" t="str">
        <f>IF(勤務計画!AB9="","",勤務計画!AB9)</f>
        <v/>
      </c>
      <c r="AC9" s="41" t="str">
        <f>IF(勤務計画!AC9="","",勤務計画!AC9)</f>
        <v/>
      </c>
      <c r="AD9" s="41" t="str">
        <f>IF(勤務計画!AD9="","",勤務計画!AD9)</f>
        <v/>
      </c>
      <c r="AE9" s="41" t="str">
        <f>IF(勤務計画!AE9="","",勤務計画!AE9)</f>
        <v/>
      </c>
      <c r="AF9" s="41" t="str">
        <f>IF(勤務計画!AF9="","",勤務計画!AF9)</f>
        <v/>
      </c>
      <c r="AG9" s="41" t="str">
        <f>IF(勤務計画!AG9="","",勤務計画!AG9)</f>
        <v/>
      </c>
      <c r="AH9" s="41" t="str">
        <f>IF(勤務計画!AH9="","",勤務計画!AH9)</f>
        <v/>
      </c>
      <c r="AI9" s="41" t="str">
        <f>IF(勤務計画!AI9="","",勤務計画!AI9)</f>
        <v/>
      </c>
      <c r="AJ9" s="41" t="str">
        <f>IF(勤務計画!AJ9="","",勤務計画!AJ9)</f>
        <v/>
      </c>
      <c r="AK9" s="41" t="str">
        <f>IF(勤務計画!AK9="","",勤務計画!AK9)</f>
        <v/>
      </c>
      <c r="AL9" s="41" t="str">
        <f>IF(勤務計画!AL9="","",勤務計画!AL9)</f>
        <v/>
      </c>
    </row>
    <row r="10" spans="1:40" ht="14.25" customHeight="1" x14ac:dyDescent="0.2">
      <c r="E10" s="193" t="s">
        <v>25</v>
      </c>
      <c r="F10" s="193" t="s">
        <v>28</v>
      </c>
      <c r="G10" s="196" t="s">
        <v>39</v>
      </c>
      <c r="H10" s="94" t="str">
        <f>IF(勤務計画!H10=0,"",勤務計画!H10)</f>
        <v/>
      </c>
      <c r="I10" s="94" t="str">
        <f>IF(勤務計画!I10=0,"",勤務計画!I10)</f>
        <v/>
      </c>
      <c r="J10" s="94" t="str">
        <f>IF(勤務計画!J10=0,"",勤務計画!J10)</f>
        <v/>
      </c>
      <c r="K10" s="94" t="str">
        <f>IF(勤務計画!K10=0,"",勤務計画!K10)</f>
        <v/>
      </c>
      <c r="L10" s="94" t="str">
        <f>IF(勤務計画!L10=0,"",勤務計画!L10)</f>
        <v/>
      </c>
      <c r="M10" s="94" t="str">
        <f>IF(勤務計画!M10=0,"",勤務計画!M10)</f>
        <v/>
      </c>
      <c r="N10" s="94" t="str">
        <f>IF(勤務計画!N10=0,"",勤務計画!N10)</f>
        <v/>
      </c>
      <c r="O10" s="94" t="str">
        <f>IF(勤務計画!O10=0,"",勤務計画!O10)</f>
        <v/>
      </c>
      <c r="P10" s="94" t="str">
        <f>IF(勤務計画!P10=0,"",勤務計画!P10)</f>
        <v/>
      </c>
      <c r="Q10" s="94" t="str">
        <f>IF(勤務計画!Q10=0,"",勤務計画!Q10)</f>
        <v/>
      </c>
      <c r="R10" s="94" t="str">
        <f>IF(勤務計画!R10=0,"",勤務計画!R10)</f>
        <v/>
      </c>
      <c r="S10" s="94" t="str">
        <f>IF(勤務計画!S10=0,"",勤務計画!S10)</f>
        <v/>
      </c>
      <c r="T10" s="94" t="str">
        <f>IF(勤務計画!T10=0,"",勤務計画!T10)</f>
        <v/>
      </c>
      <c r="U10" s="94" t="str">
        <f>IF(勤務計画!U10=0,"",勤務計画!U10)</f>
        <v/>
      </c>
      <c r="V10" s="94" t="str">
        <f>IF(勤務計画!V10=0,"",勤務計画!V10)</f>
        <v/>
      </c>
      <c r="W10" s="94" t="str">
        <f>IF(勤務計画!W10=0,"",勤務計画!W10)</f>
        <v/>
      </c>
      <c r="X10" s="94" t="str">
        <f>IF(勤務計画!X10=0,"",勤務計画!X10)</f>
        <v/>
      </c>
      <c r="Y10" s="94" t="str">
        <f>IF(勤務計画!Y10=0,"",勤務計画!Y10)</f>
        <v/>
      </c>
      <c r="Z10" s="94" t="str">
        <f>IF(勤務計画!Z10=0,"",勤務計画!Z10)</f>
        <v/>
      </c>
      <c r="AA10" s="94" t="str">
        <f>IF(勤務計画!AA10=0,"",勤務計画!AA10)</f>
        <v/>
      </c>
      <c r="AB10" s="94" t="str">
        <f>IF(勤務計画!AB10=0,"",勤務計画!AB10)</f>
        <v/>
      </c>
      <c r="AC10" s="94" t="str">
        <f>IF(勤務計画!AC10=0,"",勤務計画!AC10)</f>
        <v/>
      </c>
      <c r="AD10" s="94" t="str">
        <f>IF(勤務計画!AD10=0,"",勤務計画!AD10)</f>
        <v/>
      </c>
      <c r="AE10" s="94" t="str">
        <f>IF(勤務計画!AE10=0,"",勤務計画!AE10)</f>
        <v/>
      </c>
      <c r="AF10" s="94" t="str">
        <f>IF(勤務計画!AF10=0,"",勤務計画!AF10)</f>
        <v/>
      </c>
      <c r="AG10" s="94" t="str">
        <f>IF(勤務計画!AG10=0,"",勤務計画!AG10)</f>
        <v/>
      </c>
      <c r="AH10" s="94" t="str">
        <f>IF(勤務計画!AH10=0,"",勤務計画!AH10)</f>
        <v/>
      </c>
      <c r="AI10" s="94" t="str">
        <f>IF(勤務計画!AI10=0,"",勤務計画!AI10)</f>
        <v/>
      </c>
      <c r="AJ10" s="94" t="str">
        <f>IF(勤務計画!AJ10=0,"",勤務計画!AJ10)</f>
        <v/>
      </c>
      <c r="AK10" s="94" t="str">
        <f>IF(勤務計画!AK10=0,"",勤務計画!AK10)</f>
        <v/>
      </c>
      <c r="AL10" s="94" t="str">
        <f>IF(勤務計画!AL10=0,"",勤務計画!AL10)</f>
        <v/>
      </c>
      <c r="AM10" s="200" t="s">
        <v>78</v>
      </c>
      <c r="AN10" s="194" t="s">
        <v>0</v>
      </c>
    </row>
    <row r="11" spans="1:40" hidden="1" x14ac:dyDescent="0.2">
      <c r="E11" s="193"/>
      <c r="F11" s="193"/>
      <c r="G11" s="196"/>
      <c r="H11" s="95" t="str">
        <f t="shared" ref="H11:AL11" si="1">H10</f>
        <v/>
      </c>
      <c r="I11" s="95" t="str">
        <f t="shared" si="1"/>
        <v/>
      </c>
      <c r="J11" s="95" t="str">
        <f t="shared" si="1"/>
        <v/>
      </c>
      <c r="K11" s="95" t="str">
        <f t="shared" si="1"/>
        <v/>
      </c>
      <c r="L11" s="95" t="str">
        <f t="shared" si="1"/>
        <v/>
      </c>
      <c r="M11" s="95" t="str">
        <f t="shared" si="1"/>
        <v/>
      </c>
      <c r="N11" s="95" t="str">
        <f t="shared" si="1"/>
        <v/>
      </c>
      <c r="O11" s="95" t="str">
        <f t="shared" si="1"/>
        <v/>
      </c>
      <c r="P11" s="95" t="str">
        <f t="shared" si="1"/>
        <v/>
      </c>
      <c r="Q11" s="95" t="str">
        <f t="shared" si="1"/>
        <v/>
      </c>
      <c r="R11" s="95" t="str">
        <f t="shared" si="1"/>
        <v/>
      </c>
      <c r="S11" s="95" t="str">
        <f t="shared" si="1"/>
        <v/>
      </c>
      <c r="T11" s="95" t="str">
        <f t="shared" si="1"/>
        <v/>
      </c>
      <c r="U11" s="95" t="str">
        <f t="shared" si="1"/>
        <v/>
      </c>
      <c r="V11" s="95" t="str">
        <f t="shared" si="1"/>
        <v/>
      </c>
      <c r="W11" s="95" t="str">
        <f t="shared" si="1"/>
        <v/>
      </c>
      <c r="X11" s="95" t="str">
        <f t="shared" si="1"/>
        <v/>
      </c>
      <c r="Y11" s="95" t="str">
        <f t="shared" si="1"/>
        <v/>
      </c>
      <c r="Z11" s="95" t="str">
        <f t="shared" si="1"/>
        <v/>
      </c>
      <c r="AA11" s="95" t="str">
        <f t="shared" si="1"/>
        <v/>
      </c>
      <c r="AB11" s="95" t="str">
        <f t="shared" si="1"/>
        <v/>
      </c>
      <c r="AC11" s="95" t="str">
        <f t="shared" si="1"/>
        <v/>
      </c>
      <c r="AD11" s="95" t="str">
        <f t="shared" si="1"/>
        <v/>
      </c>
      <c r="AE11" s="95" t="str">
        <f t="shared" si="1"/>
        <v/>
      </c>
      <c r="AF11" s="95" t="str">
        <f t="shared" si="1"/>
        <v/>
      </c>
      <c r="AG11" s="95" t="str">
        <f t="shared" si="1"/>
        <v/>
      </c>
      <c r="AH11" s="95" t="str">
        <f t="shared" si="1"/>
        <v/>
      </c>
      <c r="AI11" s="95" t="str">
        <f t="shared" si="1"/>
        <v/>
      </c>
      <c r="AJ11" s="95" t="str">
        <f t="shared" si="1"/>
        <v/>
      </c>
      <c r="AK11" s="95" t="str">
        <f t="shared" si="1"/>
        <v/>
      </c>
      <c r="AL11" s="95" t="str">
        <f t="shared" si="1"/>
        <v/>
      </c>
      <c r="AM11" s="201"/>
      <c r="AN11" s="194"/>
    </row>
    <row r="12" spans="1:40" ht="10.5" customHeight="1" x14ac:dyDescent="0.2">
      <c r="E12" s="53"/>
      <c r="F12" s="53"/>
      <c r="G12" s="8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c r="AH12" s="97"/>
      <c r="AI12" s="97"/>
      <c r="AJ12" s="97"/>
      <c r="AK12" s="97"/>
      <c r="AL12" s="97"/>
      <c r="AM12" s="64"/>
      <c r="AN12" s="96"/>
    </row>
    <row r="13" spans="1:40" ht="18" customHeight="1" x14ac:dyDescent="0.2">
      <c r="E13" s="52"/>
      <c r="F13" s="52"/>
      <c r="G13" s="90"/>
      <c r="H13" s="155"/>
      <c r="I13" s="155"/>
      <c r="J13" s="155"/>
      <c r="K13" s="155"/>
      <c r="L13" s="155"/>
      <c r="M13" s="155"/>
      <c r="N13" s="156"/>
      <c r="O13" s="155"/>
      <c r="P13" s="155"/>
      <c r="Q13" s="155"/>
      <c r="R13" s="155"/>
      <c r="S13" s="155"/>
      <c r="T13" s="155"/>
      <c r="U13" s="155"/>
      <c r="V13" s="155"/>
      <c r="W13" s="155"/>
      <c r="X13" s="155"/>
      <c r="Y13" s="155"/>
      <c r="Z13" s="155"/>
      <c r="AA13" s="155"/>
      <c r="AB13" s="155"/>
      <c r="AC13" s="155"/>
      <c r="AD13" s="155"/>
      <c r="AE13" s="155"/>
      <c r="AF13" s="155"/>
      <c r="AG13" s="155"/>
      <c r="AH13" s="155"/>
      <c r="AI13" s="155"/>
      <c r="AJ13" s="155"/>
      <c r="AK13" s="155"/>
      <c r="AL13" s="155"/>
      <c r="AM13" s="65">
        <f>COUNTA(H13:AL13)</f>
        <v>0</v>
      </c>
      <c r="AN13" s="90">
        <f>G13</f>
        <v>0</v>
      </c>
    </row>
    <row r="14" spans="1:40" ht="10.5" customHeight="1" x14ac:dyDescent="0.2">
      <c r="E14" s="53"/>
      <c r="F14" s="53"/>
      <c r="G14" s="89"/>
      <c r="H14" s="97"/>
      <c r="I14" s="97"/>
      <c r="J14" s="97"/>
      <c r="K14" s="97"/>
      <c r="L14" s="97"/>
      <c r="M14" s="97"/>
      <c r="N14" s="97"/>
      <c r="O14" s="97"/>
      <c r="P14" s="97"/>
      <c r="Q14" s="97"/>
      <c r="R14" s="97"/>
      <c r="S14" s="97"/>
      <c r="T14" s="97"/>
      <c r="U14" s="97"/>
      <c r="V14" s="97"/>
      <c r="W14" s="97"/>
      <c r="X14" s="97"/>
      <c r="Y14" s="97"/>
      <c r="Z14" s="97"/>
      <c r="AA14" s="97"/>
      <c r="AB14" s="97"/>
      <c r="AC14" s="97"/>
      <c r="AD14" s="97"/>
      <c r="AE14" s="97"/>
      <c r="AF14" s="97"/>
      <c r="AG14" s="97"/>
      <c r="AH14" s="97"/>
      <c r="AI14" s="97"/>
      <c r="AJ14" s="97"/>
      <c r="AK14" s="97"/>
      <c r="AL14" s="97"/>
      <c r="AM14" s="64"/>
      <c r="AN14" s="96"/>
    </row>
    <row r="15" spans="1:40" ht="18" customHeight="1" x14ac:dyDescent="0.2">
      <c r="E15" s="52"/>
      <c r="F15" s="52"/>
      <c r="G15" s="90"/>
      <c r="H15" s="155"/>
      <c r="I15" s="156"/>
      <c r="J15" s="155"/>
      <c r="K15" s="157"/>
      <c r="L15" s="156"/>
      <c r="M15" s="155"/>
      <c r="N15" s="155"/>
      <c r="O15" s="155"/>
      <c r="P15" s="155"/>
      <c r="Q15" s="157"/>
      <c r="R15" s="155"/>
      <c r="S15" s="155"/>
      <c r="T15" s="155"/>
      <c r="U15" s="155"/>
      <c r="V15" s="155"/>
      <c r="W15" s="155"/>
      <c r="X15" s="155"/>
      <c r="Y15" s="155"/>
      <c r="Z15" s="155"/>
      <c r="AA15" s="155"/>
      <c r="AB15" s="155"/>
      <c r="AC15" s="155"/>
      <c r="AD15" s="155"/>
      <c r="AE15" s="155"/>
      <c r="AF15" s="155"/>
      <c r="AG15" s="155"/>
      <c r="AH15" s="155"/>
      <c r="AI15" s="155"/>
      <c r="AJ15" s="155"/>
      <c r="AK15" s="155"/>
      <c r="AL15" s="155"/>
      <c r="AM15" s="65">
        <f>COUNTA(H15:AL15)</f>
        <v>0</v>
      </c>
      <c r="AN15" s="90">
        <f>G15</f>
        <v>0</v>
      </c>
    </row>
    <row r="16" spans="1:40" ht="10.5" customHeight="1" x14ac:dyDescent="0.2">
      <c r="E16" s="53"/>
      <c r="F16" s="53"/>
      <c r="G16" s="8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c r="AH16" s="97"/>
      <c r="AI16" s="97"/>
      <c r="AJ16" s="97"/>
      <c r="AK16" s="97"/>
      <c r="AL16" s="97"/>
      <c r="AM16" s="64"/>
      <c r="AN16" s="96"/>
    </row>
    <row r="17" spans="5:40" ht="18" customHeight="1" x14ac:dyDescent="0.2">
      <c r="E17" s="52"/>
      <c r="F17" s="52"/>
      <c r="G17" s="90"/>
      <c r="H17" s="156"/>
      <c r="I17" s="155"/>
      <c r="J17" s="155"/>
      <c r="K17" s="155"/>
      <c r="L17" s="155"/>
      <c r="M17" s="158"/>
      <c r="N17" s="157"/>
      <c r="O17" s="155"/>
      <c r="P17" s="155"/>
      <c r="Q17" s="155"/>
      <c r="R17" s="155"/>
      <c r="S17" s="155"/>
      <c r="T17" s="158"/>
      <c r="U17" s="155"/>
      <c r="V17" s="155"/>
      <c r="W17" s="155"/>
      <c r="X17" s="155"/>
      <c r="Y17" s="155"/>
      <c r="Z17" s="155"/>
      <c r="AA17" s="155"/>
      <c r="AB17" s="155"/>
      <c r="AC17" s="155"/>
      <c r="AD17" s="155"/>
      <c r="AE17" s="155"/>
      <c r="AF17" s="155"/>
      <c r="AG17" s="155"/>
      <c r="AH17" s="155"/>
      <c r="AI17" s="155"/>
      <c r="AJ17" s="157"/>
      <c r="AK17" s="157"/>
      <c r="AL17" s="157"/>
      <c r="AM17" s="65">
        <f>COUNTA(H17:AL17)</f>
        <v>0</v>
      </c>
      <c r="AN17" s="90">
        <f>G17</f>
        <v>0</v>
      </c>
    </row>
    <row r="18" spans="5:40" ht="10.5" customHeight="1" x14ac:dyDescent="0.2">
      <c r="E18" s="53"/>
      <c r="F18" s="53"/>
      <c r="G18" s="8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c r="AH18" s="97"/>
      <c r="AI18" s="97"/>
      <c r="AJ18" s="97"/>
      <c r="AK18" s="97"/>
      <c r="AL18" s="97"/>
      <c r="AM18" s="64"/>
      <c r="AN18" s="96"/>
    </row>
    <row r="19" spans="5:40" ht="18" customHeight="1" x14ac:dyDescent="0.2">
      <c r="E19" s="52"/>
      <c r="F19" s="52"/>
      <c r="G19" s="90"/>
      <c r="H19" s="156"/>
      <c r="I19" s="155"/>
      <c r="J19" s="157"/>
      <c r="K19" s="155"/>
      <c r="L19" s="155"/>
      <c r="M19" s="155"/>
      <c r="N19" s="155"/>
      <c r="O19" s="156"/>
      <c r="P19" s="159"/>
      <c r="Q19" s="155"/>
      <c r="R19" s="155"/>
      <c r="S19" s="155"/>
      <c r="T19" s="157"/>
      <c r="U19" s="155"/>
      <c r="V19" s="155"/>
      <c r="W19" s="155"/>
      <c r="X19" s="155"/>
      <c r="Y19" s="155"/>
      <c r="Z19" s="155"/>
      <c r="AA19" s="155"/>
      <c r="AB19" s="155"/>
      <c r="AC19" s="155"/>
      <c r="AD19" s="155"/>
      <c r="AE19" s="155"/>
      <c r="AF19" s="155"/>
      <c r="AG19" s="155"/>
      <c r="AH19" s="155"/>
      <c r="AI19" s="155"/>
      <c r="AJ19" s="155"/>
      <c r="AK19" s="155"/>
      <c r="AL19" s="155"/>
      <c r="AM19" s="65">
        <f>COUNTA(H19:AL19)</f>
        <v>0</v>
      </c>
      <c r="AN19" s="90">
        <f>G19</f>
        <v>0</v>
      </c>
    </row>
    <row r="20" spans="5:40" ht="9.75" customHeight="1" x14ac:dyDescent="0.2">
      <c r="E20" s="53"/>
      <c r="F20" s="53"/>
      <c r="G20" s="8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c r="AH20" s="97"/>
      <c r="AI20" s="97"/>
      <c r="AJ20" s="97"/>
      <c r="AK20" s="97"/>
      <c r="AL20" s="97"/>
      <c r="AM20" s="64"/>
      <c r="AN20" s="96"/>
    </row>
    <row r="21" spans="5:40" ht="18" customHeight="1" x14ac:dyDescent="0.2">
      <c r="E21" s="52"/>
      <c r="F21" s="52"/>
      <c r="G21" s="90"/>
      <c r="H21" s="155"/>
      <c r="I21" s="155"/>
      <c r="J21" s="155"/>
      <c r="K21" s="155"/>
      <c r="L21" s="155"/>
      <c r="M21" s="155"/>
      <c r="N21" s="155"/>
      <c r="O21" s="157"/>
      <c r="P21" s="155"/>
      <c r="Q21" s="155"/>
      <c r="R21" s="155"/>
      <c r="S21" s="155"/>
      <c r="T21" s="159"/>
      <c r="U21" s="155"/>
      <c r="V21" s="155"/>
      <c r="W21" s="155"/>
      <c r="X21" s="155"/>
      <c r="Y21" s="155"/>
      <c r="Z21" s="155"/>
      <c r="AA21" s="155"/>
      <c r="AB21" s="155"/>
      <c r="AC21" s="155"/>
      <c r="AD21" s="155"/>
      <c r="AE21" s="155"/>
      <c r="AF21" s="155"/>
      <c r="AG21" s="155"/>
      <c r="AH21" s="155"/>
      <c r="AI21" s="155"/>
      <c r="AJ21" s="155"/>
      <c r="AK21" s="155"/>
      <c r="AL21" s="155"/>
      <c r="AM21" s="65">
        <f>COUNTA(H21:AL21)</f>
        <v>0</v>
      </c>
      <c r="AN21" s="90">
        <f>G21</f>
        <v>0</v>
      </c>
    </row>
    <row r="22" spans="5:40" ht="10.5" customHeight="1" x14ac:dyDescent="0.2">
      <c r="E22" s="53"/>
      <c r="F22" s="53"/>
      <c r="G22" s="8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c r="AH22" s="97"/>
      <c r="AI22" s="97"/>
      <c r="AJ22" s="97"/>
      <c r="AK22" s="97"/>
      <c r="AL22" s="97"/>
      <c r="AM22" s="64"/>
      <c r="AN22" s="96"/>
    </row>
    <row r="23" spans="5:40" ht="18" customHeight="1" x14ac:dyDescent="0.2">
      <c r="E23" s="52"/>
      <c r="F23" s="52"/>
      <c r="G23" s="90"/>
      <c r="H23" s="155"/>
      <c r="I23" s="155"/>
      <c r="J23" s="159"/>
      <c r="K23" s="159"/>
      <c r="L23" s="155"/>
      <c r="M23" s="156"/>
      <c r="N23" s="155"/>
      <c r="O23" s="155"/>
      <c r="P23" s="155"/>
      <c r="Q23" s="155"/>
      <c r="R23" s="155"/>
      <c r="S23" s="155"/>
      <c r="T23" s="155"/>
      <c r="U23" s="155"/>
      <c r="V23" s="157"/>
      <c r="W23" s="159"/>
      <c r="X23" s="155"/>
      <c r="Y23" s="155"/>
      <c r="Z23" s="155"/>
      <c r="AA23" s="155"/>
      <c r="AB23" s="155"/>
      <c r="AC23" s="155"/>
      <c r="AD23" s="155"/>
      <c r="AE23" s="155"/>
      <c r="AF23" s="155"/>
      <c r="AG23" s="155"/>
      <c r="AH23" s="155"/>
      <c r="AI23" s="155"/>
      <c r="AJ23" s="155"/>
      <c r="AK23" s="155"/>
      <c r="AL23" s="155"/>
      <c r="AM23" s="65">
        <f>COUNTA(H23:AL23)</f>
        <v>0</v>
      </c>
      <c r="AN23" s="90">
        <f>G23</f>
        <v>0</v>
      </c>
    </row>
    <row r="24" spans="5:40" ht="10.5" customHeight="1" x14ac:dyDescent="0.2">
      <c r="E24" s="53"/>
      <c r="F24" s="53"/>
      <c r="G24" s="89"/>
      <c r="H24" s="97"/>
      <c r="I24" s="97"/>
      <c r="J24" s="97"/>
      <c r="K24" s="97"/>
      <c r="L24" s="97"/>
      <c r="M24" s="97"/>
      <c r="N24" s="97"/>
      <c r="O24" s="97"/>
      <c r="P24" s="97"/>
      <c r="Q24" s="97"/>
      <c r="R24" s="97"/>
      <c r="S24" s="97"/>
      <c r="T24" s="97"/>
      <c r="U24" s="97"/>
      <c r="V24" s="97"/>
      <c r="W24" s="97"/>
      <c r="X24" s="97"/>
      <c r="Y24" s="97"/>
      <c r="Z24" s="97"/>
      <c r="AA24" s="97"/>
      <c r="AB24" s="97"/>
      <c r="AC24" s="97"/>
      <c r="AD24" s="97"/>
      <c r="AE24" s="97"/>
      <c r="AF24" s="97"/>
      <c r="AG24" s="97"/>
      <c r="AH24" s="97"/>
      <c r="AI24" s="97"/>
      <c r="AJ24" s="97"/>
      <c r="AK24" s="97"/>
      <c r="AL24" s="97"/>
      <c r="AM24" s="64"/>
      <c r="AN24" s="96"/>
    </row>
    <row r="25" spans="5:40" ht="18" customHeight="1" x14ac:dyDescent="0.2">
      <c r="E25" s="52"/>
      <c r="F25" s="52"/>
      <c r="G25" s="90"/>
      <c r="H25" s="155"/>
      <c r="I25" s="155"/>
      <c r="J25" s="155"/>
      <c r="K25" s="155"/>
      <c r="L25" s="155"/>
      <c r="M25" s="155"/>
      <c r="N25" s="159"/>
      <c r="O25" s="155"/>
      <c r="P25" s="159"/>
      <c r="Q25" s="155"/>
      <c r="R25" s="155"/>
      <c r="S25" s="155"/>
      <c r="T25" s="155"/>
      <c r="U25" s="155"/>
      <c r="V25" s="155"/>
      <c r="W25" s="155"/>
      <c r="X25" s="155"/>
      <c r="Y25" s="155"/>
      <c r="Z25" s="155"/>
      <c r="AA25" s="155"/>
      <c r="AB25" s="155"/>
      <c r="AC25" s="155"/>
      <c r="AD25" s="155"/>
      <c r="AE25" s="155"/>
      <c r="AF25" s="159"/>
      <c r="AG25" s="155"/>
      <c r="AH25" s="155"/>
      <c r="AI25" s="155"/>
      <c r="AJ25" s="155"/>
      <c r="AK25" s="159"/>
      <c r="AL25" s="155"/>
      <c r="AM25" s="65">
        <f>COUNTA(H25:AL25)</f>
        <v>0</v>
      </c>
      <c r="AN25" s="90">
        <f>G25</f>
        <v>0</v>
      </c>
    </row>
    <row r="26" spans="5:40" ht="10.35" customHeight="1" x14ac:dyDescent="0.2">
      <c r="E26" s="53"/>
      <c r="F26" s="53"/>
      <c r="G26" s="89"/>
      <c r="H26" s="97"/>
      <c r="I26" s="97"/>
      <c r="J26" s="97"/>
      <c r="K26" s="97"/>
      <c r="L26" s="97"/>
      <c r="M26" s="97"/>
      <c r="N26" s="97"/>
      <c r="O26" s="97"/>
      <c r="P26" s="97"/>
      <c r="Q26" s="97"/>
      <c r="R26" s="97"/>
      <c r="S26" s="97"/>
      <c r="T26" s="97"/>
      <c r="U26" s="97"/>
      <c r="V26" s="97"/>
      <c r="W26" s="97"/>
      <c r="X26" s="97"/>
      <c r="Y26" s="97"/>
      <c r="Z26" s="97"/>
      <c r="AA26" s="97"/>
      <c r="AB26" s="97"/>
      <c r="AC26" s="97"/>
      <c r="AD26" s="97"/>
      <c r="AE26" s="97"/>
      <c r="AF26" s="97"/>
      <c r="AG26" s="97"/>
      <c r="AH26" s="97"/>
      <c r="AI26" s="97"/>
      <c r="AJ26" s="97"/>
      <c r="AK26" s="97"/>
      <c r="AL26" s="97"/>
      <c r="AM26" s="64"/>
      <c r="AN26" s="96"/>
    </row>
    <row r="27" spans="5:40" ht="18" customHeight="1" x14ac:dyDescent="0.2">
      <c r="E27" s="52"/>
      <c r="F27" s="52"/>
      <c r="G27" s="90"/>
      <c r="H27" s="155"/>
      <c r="I27" s="155"/>
      <c r="J27" s="155"/>
      <c r="K27" s="155"/>
      <c r="L27" s="155"/>
      <c r="M27" s="155"/>
      <c r="N27" s="155"/>
      <c r="O27" s="155"/>
      <c r="P27" s="155"/>
      <c r="Q27" s="155"/>
      <c r="R27" s="155"/>
      <c r="S27" s="155"/>
      <c r="T27" s="159"/>
      <c r="U27" s="155"/>
      <c r="V27" s="155"/>
      <c r="W27" s="155"/>
      <c r="X27" s="155"/>
      <c r="Y27" s="155"/>
      <c r="Z27" s="155"/>
      <c r="AA27" s="155"/>
      <c r="AB27" s="155"/>
      <c r="AC27" s="155"/>
      <c r="AD27" s="155"/>
      <c r="AE27" s="155"/>
      <c r="AF27" s="155"/>
      <c r="AG27" s="155"/>
      <c r="AH27" s="157"/>
      <c r="AI27" s="155"/>
      <c r="AJ27" s="155"/>
      <c r="AK27" s="155"/>
      <c r="AL27" s="155"/>
      <c r="AM27" s="65">
        <f>COUNTA(H27:AL27)</f>
        <v>0</v>
      </c>
      <c r="AN27" s="90">
        <f>G27</f>
        <v>0</v>
      </c>
    </row>
    <row r="28" spans="5:40" ht="10.35" customHeight="1" x14ac:dyDescent="0.2">
      <c r="E28" s="53"/>
      <c r="F28" s="53"/>
      <c r="G28" s="89"/>
      <c r="H28" s="97"/>
      <c r="I28" s="97"/>
      <c r="J28" s="97"/>
      <c r="K28" s="97"/>
      <c r="L28" s="97"/>
      <c r="M28" s="97"/>
      <c r="N28" s="97"/>
      <c r="O28" s="97"/>
      <c r="P28" s="97"/>
      <c r="Q28" s="97"/>
      <c r="R28" s="97"/>
      <c r="S28" s="97"/>
      <c r="T28" s="97"/>
      <c r="U28" s="97"/>
      <c r="V28" s="97"/>
      <c r="W28" s="97"/>
      <c r="X28" s="97"/>
      <c r="Y28" s="97"/>
      <c r="Z28" s="97"/>
      <c r="AA28" s="97"/>
      <c r="AB28" s="97"/>
      <c r="AC28" s="97"/>
      <c r="AD28" s="97"/>
      <c r="AE28" s="97"/>
      <c r="AF28" s="97"/>
      <c r="AG28" s="97"/>
      <c r="AH28" s="97"/>
      <c r="AI28" s="97"/>
      <c r="AJ28" s="97"/>
      <c r="AK28" s="97"/>
      <c r="AL28" s="97"/>
      <c r="AM28" s="64"/>
      <c r="AN28" s="96"/>
    </row>
    <row r="29" spans="5:40" ht="18" customHeight="1" x14ac:dyDescent="0.2">
      <c r="E29" s="52"/>
      <c r="F29" s="52"/>
      <c r="G29" s="90"/>
      <c r="H29" s="155"/>
      <c r="I29" s="157"/>
      <c r="J29" s="155"/>
      <c r="K29" s="155"/>
      <c r="L29" s="155"/>
      <c r="M29" s="155"/>
      <c r="N29" s="155"/>
      <c r="O29" s="155"/>
      <c r="P29" s="155"/>
      <c r="Q29" s="155"/>
      <c r="R29" s="155"/>
      <c r="S29" s="155"/>
      <c r="T29" s="155"/>
      <c r="U29" s="157"/>
      <c r="V29" s="155"/>
      <c r="W29" s="155"/>
      <c r="X29" s="155"/>
      <c r="Y29" s="155"/>
      <c r="Z29" s="155"/>
      <c r="AA29" s="155"/>
      <c r="AB29" s="155"/>
      <c r="AC29" s="155"/>
      <c r="AD29" s="155"/>
      <c r="AE29" s="155"/>
      <c r="AF29" s="155"/>
      <c r="AG29" s="155"/>
      <c r="AH29" s="155"/>
      <c r="AI29" s="155"/>
      <c r="AJ29" s="155"/>
      <c r="AK29" s="156"/>
      <c r="AL29" s="155"/>
      <c r="AM29" s="65">
        <f>COUNTA(H29:AL29)</f>
        <v>0</v>
      </c>
      <c r="AN29" s="90">
        <f>G29</f>
        <v>0</v>
      </c>
    </row>
    <row r="30" spans="5:40" ht="10.35" customHeight="1" x14ac:dyDescent="0.2">
      <c r="E30" s="53"/>
      <c r="F30" s="53"/>
      <c r="G30" s="89"/>
      <c r="H30" s="97"/>
      <c r="I30" s="97"/>
      <c r="J30" s="97"/>
      <c r="K30" s="97"/>
      <c r="L30" s="97"/>
      <c r="M30" s="97"/>
      <c r="N30" s="97"/>
      <c r="O30" s="97"/>
      <c r="P30" s="97"/>
      <c r="Q30" s="97"/>
      <c r="R30" s="97"/>
      <c r="S30" s="97"/>
      <c r="T30" s="97"/>
      <c r="U30" s="97"/>
      <c r="V30" s="97"/>
      <c r="W30" s="97"/>
      <c r="X30" s="97"/>
      <c r="Y30" s="97"/>
      <c r="Z30" s="97"/>
      <c r="AA30" s="97"/>
      <c r="AB30" s="97"/>
      <c r="AC30" s="97"/>
      <c r="AD30" s="97"/>
      <c r="AE30" s="97"/>
      <c r="AF30" s="97"/>
      <c r="AG30" s="97"/>
      <c r="AH30" s="97"/>
      <c r="AI30" s="97"/>
      <c r="AJ30" s="97"/>
      <c r="AK30" s="97"/>
      <c r="AL30" s="97"/>
      <c r="AM30" s="64"/>
      <c r="AN30" s="96"/>
    </row>
    <row r="31" spans="5:40" ht="18" customHeight="1" x14ac:dyDescent="0.2">
      <c r="E31" s="52"/>
      <c r="F31" s="52"/>
      <c r="G31" s="90"/>
      <c r="H31" s="155"/>
      <c r="I31" s="155"/>
      <c r="J31" s="155"/>
      <c r="K31" s="155"/>
      <c r="L31" s="156"/>
      <c r="M31" s="155"/>
      <c r="N31" s="155"/>
      <c r="O31" s="155"/>
      <c r="P31" s="155"/>
      <c r="Q31" s="155"/>
      <c r="R31" s="155"/>
      <c r="S31" s="155"/>
      <c r="T31" s="155"/>
      <c r="U31" s="155"/>
      <c r="V31" s="155"/>
      <c r="W31" s="155"/>
      <c r="X31" s="155"/>
      <c r="Y31" s="155"/>
      <c r="Z31" s="155"/>
      <c r="AA31" s="155"/>
      <c r="AB31" s="155"/>
      <c r="AC31" s="155"/>
      <c r="AD31" s="155"/>
      <c r="AE31" s="155"/>
      <c r="AF31" s="155"/>
      <c r="AG31" s="155"/>
      <c r="AH31" s="155"/>
      <c r="AI31" s="157"/>
      <c r="AJ31" s="155"/>
      <c r="AK31" s="155"/>
      <c r="AL31" s="156"/>
      <c r="AM31" s="65">
        <f>COUNTA(H31:AL31)</f>
        <v>0</v>
      </c>
      <c r="AN31" s="90">
        <f>G31</f>
        <v>0</v>
      </c>
    </row>
    <row r="32" spans="5:40" ht="10.35" customHeight="1" x14ac:dyDescent="0.2">
      <c r="E32" s="53"/>
      <c r="F32" s="53"/>
      <c r="G32" s="89"/>
      <c r="H32" s="97"/>
      <c r="I32" s="97"/>
      <c r="J32" s="97"/>
      <c r="K32" s="97"/>
      <c r="L32" s="97"/>
      <c r="M32" s="97"/>
      <c r="N32" s="97"/>
      <c r="O32" s="97"/>
      <c r="P32" s="97"/>
      <c r="Q32" s="97"/>
      <c r="R32" s="97"/>
      <c r="S32" s="97"/>
      <c r="T32" s="97"/>
      <c r="U32" s="97"/>
      <c r="V32" s="97"/>
      <c r="W32" s="97"/>
      <c r="X32" s="97"/>
      <c r="Y32" s="97"/>
      <c r="Z32" s="97"/>
      <c r="AA32" s="97"/>
      <c r="AB32" s="97"/>
      <c r="AC32" s="97"/>
      <c r="AD32" s="97"/>
      <c r="AE32" s="97"/>
      <c r="AF32" s="97"/>
      <c r="AG32" s="97"/>
      <c r="AH32" s="97"/>
      <c r="AI32" s="97"/>
      <c r="AJ32" s="97"/>
      <c r="AK32" s="97"/>
      <c r="AL32" s="97"/>
      <c r="AM32" s="64"/>
      <c r="AN32" s="96"/>
    </row>
    <row r="33" spans="5:40" ht="18" customHeight="1" x14ac:dyDescent="0.2">
      <c r="E33" s="52"/>
      <c r="F33" s="52"/>
      <c r="G33" s="90"/>
      <c r="H33" s="155"/>
      <c r="I33" s="155"/>
      <c r="J33" s="155"/>
      <c r="K33" s="157"/>
      <c r="L33" s="155"/>
      <c r="M33" s="155"/>
      <c r="N33" s="155"/>
      <c r="O33" s="155"/>
      <c r="P33" s="157"/>
      <c r="Q33" s="155"/>
      <c r="R33" s="155"/>
      <c r="S33" s="155"/>
      <c r="T33" s="155"/>
      <c r="U33" s="155"/>
      <c r="V33" s="155"/>
      <c r="W33" s="155"/>
      <c r="X33" s="155"/>
      <c r="Y33" s="155"/>
      <c r="Z33" s="155"/>
      <c r="AA33" s="155"/>
      <c r="AB33" s="155"/>
      <c r="AC33" s="155"/>
      <c r="AD33" s="155"/>
      <c r="AE33" s="155"/>
      <c r="AF33" s="155"/>
      <c r="AG33" s="155"/>
      <c r="AH33" s="158"/>
      <c r="AI33" s="155"/>
      <c r="AJ33" s="155"/>
      <c r="AK33" s="155"/>
      <c r="AL33" s="159"/>
      <c r="AM33" s="65">
        <f>COUNTA(H33:AL33)</f>
        <v>0</v>
      </c>
      <c r="AN33" s="90">
        <f>G33</f>
        <v>0</v>
      </c>
    </row>
    <row r="34" spans="5:40" ht="10.35" customHeight="1" x14ac:dyDescent="0.2">
      <c r="E34" s="53"/>
      <c r="F34" s="53"/>
      <c r="G34" s="89"/>
      <c r="H34" s="97"/>
      <c r="I34" s="97"/>
      <c r="J34" s="97"/>
      <c r="K34" s="97"/>
      <c r="L34" s="97"/>
      <c r="M34" s="97"/>
      <c r="N34" s="97"/>
      <c r="O34" s="97"/>
      <c r="P34" s="97"/>
      <c r="Q34" s="97"/>
      <c r="R34" s="97"/>
      <c r="S34" s="97"/>
      <c r="T34" s="97"/>
      <c r="U34" s="97"/>
      <c r="V34" s="97"/>
      <c r="W34" s="97"/>
      <c r="X34" s="97"/>
      <c r="Y34" s="97"/>
      <c r="Z34" s="97"/>
      <c r="AA34" s="97"/>
      <c r="AB34" s="97"/>
      <c r="AC34" s="97"/>
      <c r="AD34" s="97"/>
      <c r="AE34" s="97"/>
      <c r="AF34" s="97"/>
      <c r="AG34" s="97"/>
      <c r="AH34" s="97"/>
      <c r="AI34" s="97"/>
      <c r="AJ34" s="97"/>
      <c r="AK34" s="97"/>
      <c r="AL34" s="97"/>
      <c r="AM34" s="64"/>
      <c r="AN34" s="96"/>
    </row>
    <row r="35" spans="5:40" ht="18" customHeight="1" x14ac:dyDescent="0.2">
      <c r="E35" s="52"/>
      <c r="F35" s="52"/>
      <c r="G35" s="90"/>
      <c r="H35" s="155"/>
      <c r="I35" s="155"/>
      <c r="J35" s="155"/>
      <c r="K35" s="157"/>
      <c r="L35" s="157"/>
      <c r="M35" s="157"/>
      <c r="N35" s="155"/>
      <c r="O35" s="155"/>
      <c r="P35" s="155"/>
      <c r="Q35" s="155"/>
      <c r="R35" s="159"/>
      <c r="S35" s="155"/>
      <c r="T35" s="157"/>
      <c r="U35" s="155"/>
      <c r="V35" s="155"/>
      <c r="W35" s="155"/>
      <c r="X35" s="155"/>
      <c r="Y35" s="155"/>
      <c r="Z35" s="155"/>
      <c r="AA35" s="155"/>
      <c r="AB35" s="155"/>
      <c r="AC35" s="155"/>
      <c r="AD35" s="155"/>
      <c r="AE35" s="155"/>
      <c r="AF35" s="155"/>
      <c r="AG35" s="155"/>
      <c r="AH35" s="155"/>
      <c r="AI35" s="159"/>
      <c r="AJ35" s="155"/>
      <c r="AK35" s="155"/>
      <c r="AL35" s="155"/>
      <c r="AM35" s="65">
        <f>COUNTA(H35:AL35)</f>
        <v>0</v>
      </c>
      <c r="AN35" s="90">
        <f>G35</f>
        <v>0</v>
      </c>
    </row>
    <row r="36" spans="5:40" ht="10.35" customHeight="1" x14ac:dyDescent="0.2">
      <c r="E36" s="53"/>
      <c r="F36" s="53"/>
      <c r="G36" s="89"/>
      <c r="H36" s="97"/>
      <c r="I36" s="97"/>
      <c r="J36" s="97"/>
      <c r="K36" s="97"/>
      <c r="L36" s="97"/>
      <c r="M36" s="97"/>
      <c r="N36" s="97"/>
      <c r="O36" s="97"/>
      <c r="P36" s="97"/>
      <c r="Q36" s="97"/>
      <c r="R36" s="97"/>
      <c r="S36" s="97"/>
      <c r="T36" s="97"/>
      <c r="U36" s="97"/>
      <c r="V36" s="97"/>
      <c r="W36" s="97"/>
      <c r="X36" s="97"/>
      <c r="Y36" s="97"/>
      <c r="Z36" s="97"/>
      <c r="AA36" s="97"/>
      <c r="AB36" s="97"/>
      <c r="AC36" s="97"/>
      <c r="AD36" s="97"/>
      <c r="AE36" s="97"/>
      <c r="AF36" s="97"/>
      <c r="AG36" s="97"/>
      <c r="AH36" s="97"/>
      <c r="AI36" s="97"/>
      <c r="AJ36" s="97"/>
      <c r="AK36" s="97"/>
      <c r="AL36" s="97"/>
      <c r="AM36" s="64"/>
      <c r="AN36" s="96"/>
    </row>
    <row r="37" spans="5:40" ht="18" customHeight="1" x14ac:dyDescent="0.2">
      <c r="E37" s="52"/>
      <c r="F37" s="52"/>
      <c r="G37" s="90"/>
      <c r="H37" s="155"/>
      <c r="I37" s="155"/>
      <c r="J37" s="156"/>
      <c r="K37" s="155"/>
      <c r="L37" s="155"/>
      <c r="M37" s="157"/>
      <c r="N37" s="155"/>
      <c r="O37" s="155"/>
      <c r="P37" s="155"/>
      <c r="Q37" s="155"/>
      <c r="R37" s="155"/>
      <c r="S37" s="155"/>
      <c r="T37" s="159"/>
      <c r="U37" s="155"/>
      <c r="V37" s="155"/>
      <c r="W37" s="155"/>
      <c r="X37" s="155"/>
      <c r="Y37" s="155"/>
      <c r="Z37" s="155"/>
      <c r="AA37" s="155"/>
      <c r="AB37" s="155"/>
      <c r="AC37" s="155"/>
      <c r="AD37" s="159"/>
      <c r="AE37" s="159"/>
      <c r="AF37" s="155"/>
      <c r="AG37" s="155"/>
      <c r="AH37" s="155"/>
      <c r="AI37" s="155"/>
      <c r="AJ37" s="155"/>
      <c r="AK37" s="155"/>
      <c r="AL37" s="159"/>
      <c r="AM37" s="65">
        <f>COUNTA(H37:AL37)</f>
        <v>0</v>
      </c>
      <c r="AN37" s="90">
        <f>G37</f>
        <v>0</v>
      </c>
    </row>
    <row r="38" spans="5:40" ht="10.35" customHeight="1" x14ac:dyDescent="0.2">
      <c r="E38" s="53"/>
      <c r="F38" s="53"/>
      <c r="G38" s="89"/>
      <c r="H38" s="97"/>
      <c r="I38" s="97"/>
      <c r="J38" s="97"/>
      <c r="K38" s="97"/>
      <c r="L38" s="97"/>
      <c r="M38" s="97"/>
      <c r="N38" s="97"/>
      <c r="O38" s="97"/>
      <c r="P38" s="97"/>
      <c r="Q38" s="97"/>
      <c r="R38" s="97"/>
      <c r="S38" s="97"/>
      <c r="T38" s="97"/>
      <c r="U38" s="97"/>
      <c r="V38" s="97"/>
      <c r="W38" s="97"/>
      <c r="X38" s="97"/>
      <c r="Y38" s="97"/>
      <c r="Z38" s="97"/>
      <c r="AA38" s="97"/>
      <c r="AB38" s="97"/>
      <c r="AC38" s="97"/>
      <c r="AD38" s="97"/>
      <c r="AE38" s="97"/>
      <c r="AF38" s="97"/>
      <c r="AG38" s="97"/>
      <c r="AH38" s="97"/>
      <c r="AI38" s="97"/>
      <c r="AJ38" s="97"/>
      <c r="AK38" s="97"/>
      <c r="AL38" s="97"/>
      <c r="AM38" s="64"/>
      <c r="AN38" s="96"/>
    </row>
    <row r="39" spans="5:40" ht="18" customHeight="1" x14ac:dyDescent="0.2">
      <c r="E39" s="52"/>
      <c r="F39" s="52"/>
      <c r="G39" s="90"/>
      <c r="H39" s="157"/>
      <c r="I39" s="155"/>
      <c r="J39" s="155"/>
      <c r="K39" s="155"/>
      <c r="L39" s="155"/>
      <c r="M39" s="155"/>
      <c r="N39" s="155"/>
      <c r="O39" s="155"/>
      <c r="P39" s="158"/>
      <c r="Q39" s="155"/>
      <c r="R39" s="155"/>
      <c r="S39" s="155"/>
      <c r="T39" s="155"/>
      <c r="U39" s="155"/>
      <c r="V39" s="155"/>
      <c r="W39" s="155"/>
      <c r="X39" s="155"/>
      <c r="Y39" s="155"/>
      <c r="Z39" s="155"/>
      <c r="AA39" s="155"/>
      <c r="AB39" s="155"/>
      <c r="AC39" s="159"/>
      <c r="AD39" s="155"/>
      <c r="AE39" s="159"/>
      <c r="AF39" s="159"/>
      <c r="AG39" s="155"/>
      <c r="AH39" s="159"/>
      <c r="AI39" s="159"/>
      <c r="AJ39" s="155"/>
      <c r="AK39" s="159"/>
      <c r="AL39" s="155"/>
      <c r="AM39" s="65">
        <f>COUNTA(H39:AL39)</f>
        <v>0</v>
      </c>
      <c r="AN39" s="90">
        <f>G39</f>
        <v>0</v>
      </c>
    </row>
    <row r="40" spans="5:40" ht="10.35" customHeight="1" x14ac:dyDescent="0.2">
      <c r="E40" s="53"/>
      <c r="F40" s="53"/>
      <c r="G40" s="89"/>
      <c r="H40" s="97"/>
      <c r="I40" s="97"/>
      <c r="J40" s="97"/>
      <c r="K40" s="97"/>
      <c r="L40" s="97"/>
      <c r="M40" s="97"/>
      <c r="N40" s="97"/>
      <c r="O40" s="97"/>
      <c r="P40" s="97"/>
      <c r="Q40" s="97"/>
      <c r="R40" s="97"/>
      <c r="S40" s="97"/>
      <c r="T40" s="97"/>
      <c r="U40" s="97"/>
      <c r="V40" s="97"/>
      <c r="W40" s="97"/>
      <c r="X40" s="97"/>
      <c r="Y40" s="97"/>
      <c r="Z40" s="97"/>
      <c r="AA40" s="97"/>
      <c r="AB40" s="97"/>
      <c r="AC40" s="97"/>
      <c r="AD40" s="97"/>
      <c r="AE40" s="97"/>
      <c r="AF40" s="97"/>
      <c r="AG40" s="97"/>
      <c r="AH40" s="97"/>
      <c r="AI40" s="97"/>
      <c r="AJ40" s="97"/>
      <c r="AK40" s="97"/>
      <c r="AL40" s="97"/>
      <c r="AM40" s="64"/>
      <c r="AN40" s="96"/>
    </row>
    <row r="41" spans="5:40" ht="18" customHeight="1" x14ac:dyDescent="0.2">
      <c r="E41" s="52"/>
      <c r="F41" s="52"/>
      <c r="G41" s="90"/>
      <c r="H41" s="155"/>
      <c r="I41" s="155"/>
      <c r="J41" s="159"/>
      <c r="K41" s="155"/>
      <c r="L41" s="155"/>
      <c r="M41" s="155"/>
      <c r="N41" s="155"/>
      <c r="O41" s="155"/>
      <c r="P41" s="156"/>
      <c r="Q41" s="155"/>
      <c r="R41" s="155"/>
      <c r="S41" s="155"/>
      <c r="T41" s="155"/>
      <c r="U41" s="155"/>
      <c r="V41" s="155"/>
      <c r="W41" s="155"/>
      <c r="X41" s="155"/>
      <c r="Y41" s="155"/>
      <c r="Z41" s="155"/>
      <c r="AA41" s="155"/>
      <c r="AB41" s="155"/>
      <c r="AC41" s="159"/>
      <c r="AD41" s="155"/>
      <c r="AE41" s="155"/>
      <c r="AF41" s="159"/>
      <c r="AG41" s="155"/>
      <c r="AH41" s="159"/>
      <c r="AI41" s="155"/>
      <c r="AJ41" s="155"/>
      <c r="AK41" s="159"/>
      <c r="AL41" s="159"/>
      <c r="AM41" s="65">
        <f>COUNTA(H41:AL41)</f>
        <v>0</v>
      </c>
      <c r="AN41" s="90">
        <f>G41</f>
        <v>0</v>
      </c>
    </row>
    <row r="42" spans="5:40" ht="10.35" customHeight="1" x14ac:dyDescent="0.2">
      <c r="E42" s="53"/>
      <c r="F42" s="53"/>
      <c r="G42" s="89"/>
      <c r="H42" s="97"/>
      <c r="I42" s="97"/>
      <c r="J42" s="97"/>
      <c r="K42" s="97"/>
      <c r="L42" s="97"/>
      <c r="M42" s="97"/>
      <c r="N42" s="97"/>
      <c r="O42" s="97"/>
      <c r="P42" s="97"/>
      <c r="Q42" s="97"/>
      <c r="R42" s="97"/>
      <c r="S42" s="97"/>
      <c r="T42" s="97"/>
      <c r="U42" s="97"/>
      <c r="V42" s="97"/>
      <c r="W42" s="97"/>
      <c r="X42" s="97"/>
      <c r="Y42" s="97"/>
      <c r="Z42" s="97"/>
      <c r="AA42" s="97"/>
      <c r="AB42" s="97"/>
      <c r="AC42" s="97"/>
      <c r="AD42" s="97"/>
      <c r="AE42" s="97"/>
      <c r="AF42" s="97"/>
      <c r="AG42" s="97"/>
      <c r="AH42" s="97"/>
      <c r="AI42" s="97"/>
      <c r="AJ42" s="97"/>
      <c r="AK42" s="97"/>
      <c r="AL42" s="97"/>
      <c r="AM42" s="64"/>
      <c r="AN42" s="96"/>
    </row>
    <row r="43" spans="5:40" ht="18" customHeight="1" x14ac:dyDescent="0.2">
      <c r="E43" s="52"/>
      <c r="F43" s="52"/>
      <c r="G43" s="90"/>
      <c r="H43" s="155"/>
      <c r="I43" s="155"/>
      <c r="J43" s="155"/>
      <c r="K43" s="155"/>
      <c r="L43" s="155"/>
      <c r="M43" s="155"/>
      <c r="N43" s="155"/>
      <c r="O43" s="155"/>
      <c r="P43" s="155"/>
      <c r="Q43" s="156"/>
      <c r="R43" s="155"/>
      <c r="S43" s="155"/>
      <c r="T43" s="159"/>
      <c r="U43" s="155"/>
      <c r="V43" s="155"/>
      <c r="W43" s="155"/>
      <c r="X43" s="155"/>
      <c r="Y43" s="159"/>
      <c r="Z43" s="159"/>
      <c r="AA43" s="155"/>
      <c r="AB43" s="155"/>
      <c r="AC43" s="155"/>
      <c r="AD43" s="159"/>
      <c r="AE43" s="155"/>
      <c r="AF43" s="155"/>
      <c r="AG43" s="155"/>
      <c r="AH43" s="155"/>
      <c r="AI43" s="155"/>
      <c r="AJ43" s="155"/>
      <c r="AK43" s="155"/>
      <c r="AL43" s="159"/>
      <c r="AM43" s="65">
        <f>COUNTA(H43:AL43)</f>
        <v>0</v>
      </c>
      <c r="AN43" s="90">
        <f>G43</f>
        <v>0</v>
      </c>
    </row>
    <row r="44" spans="5:40" ht="10.35" customHeight="1" x14ac:dyDescent="0.2">
      <c r="E44" s="53"/>
      <c r="F44" s="53"/>
      <c r="G44" s="89"/>
      <c r="H44" s="97"/>
      <c r="I44" s="97"/>
      <c r="J44" s="97"/>
      <c r="K44" s="97"/>
      <c r="L44" s="97"/>
      <c r="M44" s="97"/>
      <c r="N44" s="97"/>
      <c r="O44" s="97"/>
      <c r="P44" s="97"/>
      <c r="Q44" s="97"/>
      <c r="R44" s="97"/>
      <c r="S44" s="97"/>
      <c r="T44" s="97"/>
      <c r="U44" s="97"/>
      <c r="V44" s="97"/>
      <c r="W44" s="97"/>
      <c r="X44" s="97"/>
      <c r="Y44" s="97"/>
      <c r="Z44" s="97"/>
      <c r="AA44" s="97"/>
      <c r="AB44" s="97"/>
      <c r="AC44" s="97"/>
      <c r="AD44" s="97"/>
      <c r="AE44" s="97"/>
      <c r="AF44" s="97"/>
      <c r="AG44" s="97"/>
      <c r="AH44" s="97"/>
      <c r="AI44" s="97"/>
      <c r="AJ44" s="97"/>
      <c r="AK44" s="97"/>
      <c r="AL44" s="97"/>
      <c r="AM44" s="64"/>
      <c r="AN44" s="96"/>
    </row>
    <row r="45" spans="5:40" ht="18" customHeight="1" x14ac:dyDescent="0.2">
      <c r="E45" s="52"/>
      <c r="F45" s="52"/>
      <c r="G45" s="90"/>
      <c r="H45" s="155"/>
      <c r="I45" s="155"/>
      <c r="J45" s="155"/>
      <c r="K45" s="155"/>
      <c r="L45" s="159"/>
      <c r="M45" s="155"/>
      <c r="N45" s="155"/>
      <c r="O45" s="155"/>
      <c r="P45" s="155"/>
      <c r="Q45" s="155"/>
      <c r="R45" s="155"/>
      <c r="S45" s="159"/>
      <c r="T45" s="156"/>
      <c r="U45" s="155"/>
      <c r="V45" s="155"/>
      <c r="W45" s="155"/>
      <c r="X45" s="155"/>
      <c r="Y45" s="155"/>
      <c r="Z45" s="155"/>
      <c r="AA45" s="155"/>
      <c r="AB45" s="155"/>
      <c r="AC45" s="155"/>
      <c r="AD45" s="155"/>
      <c r="AE45" s="159"/>
      <c r="AF45" s="155"/>
      <c r="AG45" s="155"/>
      <c r="AH45" s="155"/>
      <c r="AI45" s="155"/>
      <c r="AJ45" s="155"/>
      <c r="AK45" s="155"/>
      <c r="AL45" s="155"/>
      <c r="AM45" s="65">
        <f>COUNTA(H45:AL45)</f>
        <v>0</v>
      </c>
      <c r="AN45" s="90">
        <f>G45</f>
        <v>0</v>
      </c>
    </row>
    <row r="46" spans="5:40" ht="10.35" customHeight="1" x14ac:dyDescent="0.2">
      <c r="E46" s="53"/>
      <c r="F46" s="53"/>
      <c r="G46" s="89"/>
      <c r="H46" s="97"/>
      <c r="I46" s="97"/>
      <c r="J46" s="97"/>
      <c r="K46" s="97"/>
      <c r="L46" s="97"/>
      <c r="M46" s="97"/>
      <c r="N46" s="97"/>
      <c r="O46" s="97"/>
      <c r="P46" s="97"/>
      <c r="Q46" s="97"/>
      <c r="R46" s="97"/>
      <c r="S46" s="97"/>
      <c r="T46" s="97"/>
      <c r="U46" s="97"/>
      <c r="V46" s="97"/>
      <c r="W46" s="97"/>
      <c r="X46" s="97"/>
      <c r="Y46" s="97"/>
      <c r="Z46" s="97"/>
      <c r="AA46" s="97"/>
      <c r="AB46" s="97"/>
      <c r="AC46" s="97"/>
      <c r="AD46" s="97"/>
      <c r="AE46" s="97"/>
      <c r="AF46" s="97"/>
      <c r="AG46" s="97"/>
      <c r="AH46" s="97"/>
      <c r="AI46" s="97"/>
      <c r="AJ46" s="97"/>
      <c r="AK46" s="97"/>
      <c r="AL46" s="97"/>
      <c r="AM46" s="64"/>
      <c r="AN46" s="96"/>
    </row>
    <row r="47" spans="5:40" ht="18" customHeight="1" x14ac:dyDescent="0.2">
      <c r="E47" s="52"/>
      <c r="F47" s="52"/>
      <c r="G47" s="90"/>
      <c r="H47" s="155"/>
      <c r="I47" s="155"/>
      <c r="J47" s="159"/>
      <c r="K47" s="155"/>
      <c r="L47" s="159"/>
      <c r="M47" s="159"/>
      <c r="N47" s="155"/>
      <c r="O47" s="155"/>
      <c r="P47" s="155"/>
      <c r="Q47" s="155"/>
      <c r="R47" s="155"/>
      <c r="S47" s="155"/>
      <c r="T47" s="155"/>
      <c r="U47" s="156"/>
      <c r="V47" s="155"/>
      <c r="W47" s="155"/>
      <c r="X47" s="155"/>
      <c r="Y47" s="155"/>
      <c r="Z47" s="159"/>
      <c r="AA47" s="159"/>
      <c r="AB47" s="159"/>
      <c r="AC47" s="155"/>
      <c r="AD47" s="155"/>
      <c r="AE47" s="155"/>
      <c r="AF47" s="155"/>
      <c r="AG47" s="155"/>
      <c r="AH47" s="155"/>
      <c r="AI47" s="155"/>
      <c r="AJ47" s="155"/>
      <c r="AK47" s="159"/>
      <c r="AL47" s="155"/>
      <c r="AM47" s="65">
        <f>COUNTA(H47:AL47)</f>
        <v>0</v>
      </c>
      <c r="AN47" s="90">
        <f>G47</f>
        <v>0</v>
      </c>
    </row>
    <row r="48" spans="5:40" ht="10.35" customHeight="1" x14ac:dyDescent="0.2">
      <c r="E48" s="53"/>
      <c r="F48" s="53"/>
      <c r="G48" s="89"/>
      <c r="H48" s="97"/>
      <c r="I48" s="97"/>
      <c r="J48" s="97"/>
      <c r="K48" s="97"/>
      <c r="L48" s="97"/>
      <c r="M48" s="97"/>
      <c r="N48" s="97"/>
      <c r="O48" s="97"/>
      <c r="P48" s="97"/>
      <c r="Q48" s="97"/>
      <c r="R48" s="97"/>
      <c r="S48" s="97"/>
      <c r="T48" s="97"/>
      <c r="U48" s="97"/>
      <c r="V48" s="97"/>
      <c r="W48" s="97"/>
      <c r="X48" s="97"/>
      <c r="Y48" s="97"/>
      <c r="Z48" s="97"/>
      <c r="AA48" s="97"/>
      <c r="AB48" s="97"/>
      <c r="AC48" s="97"/>
      <c r="AD48" s="97"/>
      <c r="AE48" s="97"/>
      <c r="AF48" s="97"/>
      <c r="AG48" s="97"/>
      <c r="AH48" s="97"/>
      <c r="AI48" s="97"/>
      <c r="AJ48" s="97"/>
      <c r="AK48" s="97"/>
      <c r="AL48" s="97"/>
      <c r="AM48" s="64"/>
      <c r="AN48" s="96"/>
    </row>
    <row r="49" spans="5:40" ht="17.25" customHeight="1" x14ac:dyDescent="0.2">
      <c r="E49" s="52"/>
      <c r="F49" s="52"/>
      <c r="G49" s="90"/>
      <c r="H49" s="155"/>
      <c r="I49" s="155"/>
      <c r="J49" s="159"/>
      <c r="K49" s="155"/>
      <c r="L49" s="155"/>
      <c r="M49" s="159"/>
      <c r="N49" s="159"/>
      <c r="O49" s="159"/>
      <c r="P49" s="159"/>
      <c r="Q49" s="159"/>
      <c r="R49" s="155"/>
      <c r="S49" s="155"/>
      <c r="T49" s="159"/>
      <c r="U49" s="155"/>
      <c r="V49" s="156"/>
      <c r="W49" s="159"/>
      <c r="X49" s="159"/>
      <c r="Y49" s="155"/>
      <c r="Z49" s="159"/>
      <c r="AA49" s="159"/>
      <c r="AB49" s="159"/>
      <c r="AC49" s="155"/>
      <c r="AD49" s="155"/>
      <c r="AE49" s="159"/>
      <c r="AF49" s="159"/>
      <c r="AG49" s="159"/>
      <c r="AH49" s="155"/>
      <c r="AI49" s="159"/>
      <c r="AJ49" s="155"/>
      <c r="AK49" s="159"/>
      <c r="AL49" s="159"/>
      <c r="AM49" s="65">
        <f>COUNTA(H49:AL49)</f>
        <v>0</v>
      </c>
      <c r="AN49" s="90">
        <f>G49</f>
        <v>0</v>
      </c>
    </row>
    <row r="50" spans="5:40" ht="10.35" customHeight="1" x14ac:dyDescent="0.2">
      <c r="E50" s="53"/>
      <c r="F50" s="53"/>
      <c r="G50" s="89"/>
      <c r="H50" s="97"/>
      <c r="I50" s="97"/>
      <c r="J50" s="97"/>
      <c r="K50" s="97"/>
      <c r="L50" s="97"/>
      <c r="M50" s="97"/>
      <c r="N50" s="97"/>
      <c r="O50" s="97"/>
      <c r="P50" s="97"/>
      <c r="Q50" s="97"/>
      <c r="R50" s="97"/>
      <c r="S50" s="97"/>
      <c r="T50" s="97"/>
      <c r="U50" s="97"/>
      <c r="V50" s="97"/>
      <c r="W50" s="97"/>
      <c r="X50" s="97"/>
      <c r="Y50" s="97"/>
      <c r="Z50" s="97"/>
      <c r="AA50" s="97"/>
      <c r="AB50" s="97"/>
      <c r="AC50" s="97"/>
      <c r="AD50" s="97"/>
      <c r="AE50" s="97"/>
      <c r="AF50" s="97"/>
      <c r="AG50" s="97"/>
      <c r="AH50" s="97"/>
      <c r="AI50" s="97"/>
      <c r="AJ50" s="97"/>
      <c r="AK50" s="97"/>
      <c r="AL50" s="97"/>
      <c r="AM50" s="64"/>
      <c r="AN50" s="96"/>
    </row>
    <row r="51" spans="5:40" ht="17.25" customHeight="1" x14ac:dyDescent="0.2">
      <c r="E51" s="52"/>
      <c r="F51" s="52"/>
      <c r="G51" s="90"/>
      <c r="H51" s="155"/>
      <c r="I51" s="155"/>
      <c r="J51" s="155"/>
      <c r="K51" s="155"/>
      <c r="L51" s="159"/>
      <c r="M51" s="159"/>
      <c r="N51" s="159"/>
      <c r="O51" s="159"/>
      <c r="P51" s="155"/>
      <c r="Q51" s="159"/>
      <c r="R51" s="159"/>
      <c r="S51" s="159"/>
      <c r="T51" s="159"/>
      <c r="U51" s="155"/>
      <c r="V51" s="155"/>
      <c r="W51" s="156"/>
      <c r="X51" s="159"/>
      <c r="Y51" s="159"/>
      <c r="Z51" s="155"/>
      <c r="AA51" s="155"/>
      <c r="AB51" s="155"/>
      <c r="AC51" s="155"/>
      <c r="AD51" s="155"/>
      <c r="AE51" s="155"/>
      <c r="AF51" s="159"/>
      <c r="AG51" s="159"/>
      <c r="AH51" s="159"/>
      <c r="AI51" s="159"/>
      <c r="AJ51" s="155"/>
      <c r="AK51" s="155"/>
      <c r="AL51" s="159"/>
      <c r="AM51" s="65">
        <f>COUNTA(H51:AL51)</f>
        <v>0</v>
      </c>
      <c r="AN51" s="90">
        <f>G51</f>
        <v>0</v>
      </c>
    </row>
    <row r="52" spans="5:40" ht="10.35" customHeight="1" x14ac:dyDescent="0.2">
      <c r="E52" s="53"/>
      <c r="F52" s="53"/>
      <c r="G52" s="89"/>
      <c r="H52" s="97"/>
      <c r="I52" s="97"/>
      <c r="J52" s="97"/>
      <c r="K52" s="97"/>
      <c r="L52" s="97"/>
      <c r="M52" s="97"/>
      <c r="N52" s="97"/>
      <c r="O52" s="97"/>
      <c r="P52" s="97"/>
      <c r="Q52" s="97"/>
      <c r="R52" s="97"/>
      <c r="S52" s="97"/>
      <c r="T52" s="97"/>
      <c r="U52" s="97"/>
      <c r="V52" s="97"/>
      <c r="W52" s="97"/>
      <c r="X52" s="97"/>
      <c r="Y52" s="97"/>
      <c r="Z52" s="97"/>
      <c r="AA52" s="97"/>
      <c r="AB52" s="97"/>
      <c r="AC52" s="97"/>
      <c r="AD52" s="97"/>
      <c r="AE52" s="97"/>
      <c r="AF52" s="97"/>
      <c r="AG52" s="97"/>
      <c r="AH52" s="97"/>
      <c r="AI52" s="97"/>
      <c r="AJ52" s="97"/>
      <c r="AK52" s="97"/>
      <c r="AL52" s="97"/>
      <c r="AM52" s="64"/>
      <c r="AN52" s="96"/>
    </row>
    <row r="53" spans="5:40" ht="17.25" customHeight="1" x14ac:dyDescent="0.2">
      <c r="E53" s="52"/>
      <c r="F53" s="52"/>
      <c r="G53" s="90"/>
      <c r="H53" s="155"/>
      <c r="I53" s="155"/>
      <c r="J53" s="159"/>
      <c r="K53" s="155"/>
      <c r="L53" s="159"/>
      <c r="M53" s="159"/>
      <c r="N53" s="159"/>
      <c r="O53" s="159"/>
      <c r="P53" s="159"/>
      <c r="Q53" s="159"/>
      <c r="R53" s="159"/>
      <c r="S53" s="159"/>
      <c r="T53" s="159"/>
      <c r="U53" s="155"/>
      <c r="V53" s="159"/>
      <c r="W53" s="159"/>
      <c r="X53" s="160"/>
      <c r="Y53" s="159"/>
      <c r="Z53" s="159"/>
      <c r="AA53" s="159"/>
      <c r="AB53" s="159"/>
      <c r="AC53" s="159"/>
      <c r="AD53" s="159"/>
      <c r="AE53" s="159"/>
      <c r="AF53" s="159"/>
      <c r="AG53" s="159"/>
      <c r="AH53" s="159"/>
      <c r="AI53" s="159"/>
      <c r="AJ53" s="155"/>
      <c r="AK53" s="159"/>
      <c r="AL53" s="159"/>
      <c r="AM53" s="65">
        <f>COUNTA(H53:AL53)</f>
        <v>0</v>
      </c>
      <c r="AN53" s="90">
        <f>G53</f>
        <v>0</v>
      </c>
    </row>
    <row r="54" spans="5:40" ht="10.35" customHeight="1" x14ac:dyDescent="0.2">
      <c r="E54" s="53"/>
      <c r="F54" s="53"/>
      <c r="G54" s="89"/>
      <c r="H54" s="97"/>
      <c r="I54" s="97"/>
      <c r="J54" s="97"/>
      <c r="K54" s="97"/>
      <c r="L54" s="97"/>
      <c r="M54" s="97"/>
      <c r="N54" s="97"/>
      <c r="O54" s="97"/>
      <c r="P54" s="97"/>
      <c r="Q54" s="97"/>
      <c r="R54" s="97"/>
      <c r="S54" s="97"/>
      <c r="T54" s="97"/>
      <c r="U54" s="97"/>
      <c r="V54" s="97"/>
      <c r="W54" s="97"/>
      <c r="X54" s="97"/>
      <c r="Y54" s="97"/>
      <c r="Z54" s="97"/>
      <c r="AA54" s="97"/>
      <c r="AB54" s="97"/>
      <c r="AC54" s="97"/>
      <c r="AD54" s="97"/>
      <c r="AE54" s="97"/>
      <c r="AF54" s="97"/>
      <c r="AG54" s="97"/>
      <c r="AH54" s="97"/>
      <c r="AI54" s="97"/>
      <c r="AJ54" s="97"/>
      <c r="AK54" s="97"/>
      <c r="AL54" s="97"/>
      <c r="AM54" s="64"/>
      <c r="AN54" s="96"/>
    </row>
    <row r="55" spans="5:40" ht="17.25" customHeight="1" x14ac:dyDescent="0.2">
      <c r="E55" s="52"/>
      <c r="F55" s="52"/>
      <c r="G55" s="90"/>
      <c r="H55" s="155"/>
      <c r="I55" s="155"/>
      <c r="J55" s="155"/>
      <c r="K55" s="155"/>
      <c r="L55" s="159"/>
      <c r="M55" s="159"/>
      <c r="N55" s="159"/>
      <c r="O55" s="159"/>
      <c r="P55" s="155"/>
      <c r="Q55" s="159"/>
      <c r="R55" s="159"/>
      <c r="S55" s="159"/>
      <c r="T55" s="159"/>
      <c r="U55" s="155"/>
      <c r="V55" s="155"/>
      <c r="W55" s="155"/>
      <c r="X55" s="159"/>
      <c r="Y55" s="159"/>
      <c r="Z55" s="155"/>
      <c r="AA55" s="155"/>
      <c r="AB55" s="155"/>
      <c r="AC55" s="155"/>
      <c r="AD55" s="155"/>
      <c r="AE55" s="155"/>
      <c r="AF55" s="159"/>
      <c r="AG55" s="159"/>
      <c r="AH55" s="160"/>
      <c r="AI55" s="159"/>
      <c r="AJ55" s="155"/>
      <c r="AK55" s="159"/>
      <c r="AL55" s="159"/>
      <c r="AM55" s="65">
        <f>COUNTA(H55:AL55)</f>
        <v>0</v>
      </c>
      <c r="AN55" s="90">
        <f>G55</f>
        <v>0</v>
      </c>
    </row>
    <row r="56" spans="5:40" ht="9.75" customHeight="1" x14ac:dyDescent="0.2">
      <c r="E56" s="53"/>
      <c r="F56" s="53"/>
      <c r="G56" s="89"/>
      <c r="H56" s="97"/>
      <c r="I56" s="97"/>
      <c r="J56" s="97"/>
      <c r="K56" s="97"/>
      <c r="L56" s="97"/>
      <c r="M56" s="97"/>
      <c r="N56" s="97"/>
      <c r="O56" s="97"/>
      <c r="P56" s="97"/>
      <c r="Q56" s="97"/>
      <c r="R56" s="97"/>
      <c r="S56" s="97"/>
      <c r="T56" s="97"/>
      <c r="U56" s="97"/>
      <c r="V56" s="97"/>
      <c r="W56" s="97"/>
      <c r="X56" s="97"/>
      <c r="Y56" s="97"/>
      <c r="Z56" s="97"/>
      <c r="AA56" s="97"/>
      <c r="AB56" s="97"/>
      <c r="AC56" s="97"/>
      <c r="AD56" s="97"/>
      <c r="AE56" s="97"/>
      <c r="AF56" s="97"/>
      <c r="AG56" s="97"/>
      <c r="AH56" s="97"/>
      <c r="AI56" s="97"/>
      <c r="AJ56" s="97"/>
      <c r="AK56" s="97"/>
      <c r="AL56" s="97"/>
      <c r="AM56" s="64"/>
      <c r="AN56" s="96"/>
    </row>
    <row r="57" spans="5:40" ht="17.25" customHeight="1" x14ac:dyDescent="0.2">
      <c r="E57" s="52"/>
      <c r="F57" s="52"/>
      <c r="G57" s="90"/>
      <c r="H57" s="155"/>
      <c r="I57" s="155"/>
      <c r="J57" s="155"/>
      <c r="K57" s="155"/>
      <c r="L57" s="159"/>
      <c r="M57" s="159"/>
      <c r="N57" s="159"/>
      <c r="O57" s="159"/>
      <c r="P57" s="155"/>
      <c r="Q57" s="159"/>
      <c r="R57" s="159"/>
      <c r="S57" s="159"/>
      <c r="T57" s="159"/>
      <c r="U57" s="155"/>
      <c r="V57" s="155"/>
      <c r="W57" s="155"/>
      <c r="X57" s="159"/>
      <c r="Y57" s="159"/>
      <c r="Z57" s="155"/>
      <c r="AA57" s="155"/>
      <c r="AB57" s="155"/>
      <c r="AC57" s="155"/>
      <c r="AD57" s="155"/>
      <c r="AE57" s="155"/>
      <c r="AF57" s="159"/>
      <c r="AG57" s="159"/>
      <c r="AH57" s="159"/>
      <c r="AI57" s="160"/>
      <c r="AJ57" s="155"/>
      <c r="AK57" s="159"/>
      <c r="AL57" s="159"/>
      <c r="AM57" s="65">
        <f>COUNTA(H57:AL57)</f>
        <v>0</v>
      </c>
      <c r="AN57" s="90">
        <f>G57</f>
        <v>0</v>
      </c>
    </row>
    <row r="58" spans="5:40" ht="9.75" customHeight="1" x14ac:dyDescent="0.2">
      <c r="E58" s="53"/>
      <c r="F58" s="53"/>
      <c r="G58" s="89"/>
      <c r="H58" s="97"/>
      <c r="I58" s="97"/>
      <c r="J58" s="97"/>
      <c r="K58" s="97"/>
      <c r="L58" s="97"/>
      <c r="M58" s="97"/>
      <c r="N58" s="97"/>
      <c r="O58" s="97"/>
      <c r="P58" s="97"/>
      <c r="Q58" s="97"/>
      <c r="R58" s="97"/>
      <c r="S58" s="97"/>
      <c r="T58" s="97"/>
      <c r="U58" s="97"/>
      <c r="V58" s="97"/>
      <c r="W58" s="97"/>
      <c r="X58" s="97"/>
      <c r="Y58" s="97"/>
      <c r="Z58" s="97"/>
      <c r="AA58" s="97"/>
      <c r="AB58" s="97"/>
      <c r="AC58" s="97"/>
      <c r="AD58" s="97"/>
      <c r="AE58" s="97"/>
      <c r="AF58" s="97"/>
      <c r="AG58" s="97"/>
      <c r="AH58" s="97"/>
      <c r="AI58" s="97"/>
      <c r="AJ58" s="97"/>
      <c r="AK58" s="97"/>
      <c r="AL58" s="97"/>
      <c r="AM58" s="64"/>
      <c r="AN58" s="96"/>
    </row>
    <row r="59" spans="5:40" ht="17.25" customHeight="1" x14ac:dyDescent="0.2">
      <c r="E59" s="52"/>
      <c r="F59" s="52"/>
      <c r="G59" s="90"/>
      <c r="H59" s="155"/>
      <c r="I59" s="155"/>
      <c r="J59" s="155"/>
      <c r="K59" s="155"/>
      <c r="L59" s="159"/>
      <c r="M59" s="159"/>
      <c r="N59" s="159"/>
      <c r="O59" s="159"/>
      <c r="P59" s="155"/>
      <c r="Q59" s="159"/>
      <c r="R59" s="159"/>
      <c r="S59" s="159"/>
      <c r="T59" s="159"/>
      <c r="U59" s="155"/>
      <c r="V59" s="155"/>
      <c r="W59" s="155"/>
      <c r="X59" s="159"/>
      <c r="Y59" s="159"/>
      <c r="Z59" s="155"/>
      <c r="AA59" s="155"/>
      <c r="AB59" s="155"/>
      <c r="AC59" s="155"/>
      <c r="AD59" s="155"/>
      <c r="AE59" s="155"/>
      <c r="AF59" s="159"/>
      <c r="AG59" s="159"/>
      <c r="AH59" s="159"/>
      <c r="AI59" s="159"/>
      <c r="AJ59" s="156"/>
      <c r="AK59" s="159"/>
      <c r="AL59" s="159"/>
      <c r="AM59" s="65">
        <f>COUNTA(H59:AL59)</f>
        <v>0</v>
      </c>
      <c r="AN59" s="90">
        <f>G59</f>
        <v>0</v>
      </c>
    </row>
    <row r="60" spans="5:40" ht="9.75" customHeight="1" x14ac:dyDescent="0.2">
      <c r="E60" s="53"/>
      <c r="F60" s="53"/>
      <c r="G60" s="89"/>
      <c r="H60" s="97"/>
      <c r="I60" s="97"/>
      <c r="J60" s="97"/>
      <c r="K60" s="97"/>
      <c r="L60" s="97"/>
      <c r="M60" s="97"/>
      <c r="N60" s="97"/>
      <c r="O60" s="97"/>
      <c r="P60" s="97"/>
      <c r="Q60" s="97"/>
      <c r="R60" s="97"/>
      <c r="S60" s="97"/>
      <c r="T60" s="97"/>
      <c r="U60" s="97"/>
      <c r="V60" s="97"/>
      <c r="W60" s="97"/>
      <c r="X60" s="97"/>
      <c r="Y60" s="97"/>
      <c r="Z60" s="97"/>
      <c r="AA60" s="97"/>
      <c r="AB60" s="97"/>
      <c r="AC60" s="97"/>
      <c r="AD60" s="97"/>
      <c r="AE60" s="97"/>
      <c r="AF60" s="97"/>
      <c r="AG60" s="97"/>
      <c r="AH60" s="97"/>
      <c r="AI60" s="97"/>
      <c r="AJ60" s="97"/>
      <c r="AK60" s="97"/>
      <c r="AL60" s="97"/>
      <c r="AM60" s="64"/>
      <c r="AN60" s="96"/>
    </row>
    <row r="61" spans="5:40" ht="17.25" customHeight="1" x14ac:dyDescent="0.2">
      <c r="E61" s="52"/>
      <c r="F61" s="52"/>
      <c r="G61" s="90"/>
      <c r="H61" s="155"/>
      <c r="I61" s="155"/>
      <c r="J61" s="155"/>
      <c r="K61" s="155"/>
      <c r="L61" s="161"/>
      <c r="M61" s="161"/>
      <c r="N61" s="161"/>
      <c r="O61" s="161"/>
      <c r="P61" s="155"/>
      <c r="Q61" s="161"/>
      <c r="R61" s="161"/>
      <c r="S61" s="159"/>
      <c r="T61" s="159"/>
      <c r="U61" s="155"/>
      <c r="V61" s="155"/>
      <c r="W61" s="155"/>
      <c r="X61" s="161"/>
      <c r="Y61" s="161"/>
      <c r="Z61" s="155"/>
      <c r="AA61" s="155"/>
      <c r="AB61" s="155"/>
      <c r="AC61" s="155"/>
      <c r="AD61" s="155"/>
      <c r="AE61" s="155"/>
      <c r="AF61" s="161"/>
      <c r="AG61" s="161"/>
      <c r="AH61" s="161"/>
      <c r="AI61" s="161"/>
      <c r="AJ61" s="155"/>
      <c r="AK61" s="161"/>
      <c r="AL61" s="161"/>
      <c r="AM61" s="65">
        <f>COUNTA(H61:AL61)</f>
        <v>0</v>
      </c>
      <c r="AN61" s="90">
        <f>G61</f>
        <v>0</v>
      </c>
    </row>
    <row r="62" spans="5:40" ht="9.75" customHeight="1" x14ac:dyDescent="0.2">
      <c r="E62" s="53"/>
      <c r="F62" s="53"/>
      <c r="G62" s="89"/>
      <c r="H62" s="97"/>
      <c r="I62" s="97"/>
      <c r="J62" s="97"/>
      <c r="K62" s="97"/>
      <c r="L62" s="97"/>
      <c r="M62" s="97"/>
      <c r="N62" s="97"/>
      <c r="O62" s="97"/>
      <c r="P62" s="97"/>
      <c r="Q62" s="97"/>
      <c r="R62" s="97"/>
      <c r="S62" s="97"/>
      <c r="T62" s="97"/>
      <c r="U62" s="97"/>
      <c r="V62" s="97"/>
      <c r="W62" s="97"/>
      <c r="X62" s="97"/>
      <c r="Y62" s="97"/>
      <c r="Z62" s="97"/>
      <c r="AA62" s="97"/>
      <c r="AB62" s="97"/>
      <c r="AC62" s="97"/>
      <c r="AD62" s="97"/>
      <c r="AE62" s="97"/>
      <c r="AF62" s="97"/>
      <c r="AG62" s="97"/>
      <c r="AH62" s="97"/>
      <c r="AI62" s="97"/>
      <c r="AJ62" s="97"/>
      <c r="AK62" s="97"/>
      <c r="AL62" s="97"/>
      <c r="AM62" s="64"/>
      <c r="AN62" s="96"/>
    </row>
    <row r="63" spans="5:40" ht="17.25" customHeight="1" x14ac:dyDescent="0.2">
      <c r="E63" s="52"/>
      <c r="F63" s="52"/>
      <c r="G63" s="90"/>
      <c r="H63" s="155"/>
      <c r="I63" s="155"/>
      <c r="J63" s="155"/>
      <c r="K63" s="155"/>
      <c r="L63" s="161"/>
      <c r="M63" s="161"/>
      <c r="N63" s="161"/>
      <c r="O63" s="161"/>
      <c r="P63" s="155"/>
      <c r="Q63" s="161"/>
      <c r="R63" s="161"/>
      <c r="S63" s="159"/>
      <c r="T63" s="159"/>
      <c r="U63" s="155"/>
      <c r="V63" s="155"/>
      <c r="W63" s="155"/>
      <c r="X63" s="161"/>
      <c r="Y63" s="161"/>
      <c r="Z63" s="155"/>
      <c r="AA63" s="155"/>
      <c r="AB63" s="155"/>
      <c r="AC63" s="155"/>
      <c r="AD63" s="155"/>
      <c r="AE63" s="155"/>
      <c r="AF63" s="161"/>
      <c r="AG63" s="161"/>
      <c r="AH63" s="161"/>
      <c r="AI63" s="161"/>
      <c r="AJ63" s="155"/>
      <c r="AK63" s="161"/>
      <c r="AL63" s="161"/>
      <c r="AM63" s="65">
        <f>COUNTA(H63:AL63)</f>
        <v>0</v>
      </c>
      <c r="AN63" s="90">
        <f>G63</f>
        <v>0</v>
      </c>
    </row>
    <row r="64" spans="5:40" ht="9.75" customHeight="1" x14ac:dyDescent="0.2">
      <c r="E64" s="53"/>
      <c r="F64" s="53"/>
      <c r="G64" s="89"/>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64"/>
      <c r="AN64" s="96"/>
    </row>
    <row r="65" spans="5:40" ht="17.25" customHeight="1" x14ac:dyDescent="0.2">
      <c r="E65" s="52"/>
      <c r="F65" s="52"/>
      <c r="G65" s="90"/>
      <c r="H65" s="155"/>
      <c r="I65" s="155"/>
      <c r="J65" s="155"/>
      <c r="K65" s="155"/>
      <c r="L65" s="161"/>
      <c r="M65" s="161"/>
      <c r="N65" s="161"/>
      <c r="O65" s="161"/>
      <c r="P65" s="155"/>
      <c r="Q65" s="161"/>
      <c r="R65" s="161"/>
      <c r="S65" s="159"/>
      <c r="T65" s="159"/>
      <c r="U65" s="155"/>
      <c r="V65" s="155"/>
      <c r="W65" s="155"/>
      <c r="X65" s="161"/>
      <c r="Y65" s="161"/>
      <c r="Z65" s="155"/>
      <c r="AA65" s="155"/>
      <c r="AB65" s="155"/>
      <c r="AC65" s="155"/>
      <c r="AD65" s="155"/>
      <c r="AE65" s="155"/>
      <c r="AF65" s="161"/>
      <c r="AG65" s="161"/>
      <c r="AH65" s="161"/>
      <c r="AI65" s="161"/>
      <c r="AJ65" s="155"/>
      <c r="AK65" s="161"/>
      <c r="AL65" s="161"/>
      <c r="AM65" s="65">
        <f>COUNTA(H65:AL65)</f>
        <v>0</v>
      </c>
      <c r="AN65" s="90">
        <f>G65</f>
        <v>0</v>
      </c>
    </row>
    <row r="66" spans="5:40" ht="9.75" customHeight="1" x14ac:dyDescent="0.2">
      <c r="E66" s="53"/>
      <c r="F66" s="53"/>
      <c r="G66" s="89"/>
      <c r="H66" s="97"/>
      <c r="I66" s="97"/>
      <c r="J66" s="97"/>
      <c r="K66" s="97"/>
      <c r="L66" s="97"/>
      <c r="M66" s="97"/>
      <c r="N66" s="97"/>
      <c r="O66" s="97"/>
      <c r="P66" s="97"/>
      <c r="Q66" s="97"/>
      <c r="R66" s="97"/>
      <c r="S66" s="97"/>
      <c r="T66" s="97"/>
      <c r="U66" s="97"/>
      <c r="V66" s="97"/>
      <c r="W66" s="97"/>
      <c r="X66" s="97"/>
      <c r="Y66" s="97"/>
      <c r="Z66" s="97"/>
      <c r="AA66" s="97"/>
      <c r="AB66" s="97"/>
      <c r="AC66" s="97"/>
      <c r="AD66" s="97"/>
      <c r="AE66" s="97"/>
      <c r="AF66" s="97"/>
      <c r="AG66" s="97"/>
      <c r="AH66" s="97"/>
      <c r="AI66" s="97"/>
      <c r="AJ66" s="97"/>
      <c r="AK66" s="97"/>
      <c r="AL66" s="97"/>
      <c r="AM66" s="64"/>
      <c r="AN66" s="96"/>
    </row>
    <row r="67" spans="5:40" ht="17.25" customHeight="1" x14ac:dyDescent="0.2">
      <c r="E67" s="52"/>
      <c r="F67" s="52"/>
      <c r="G67" s="90"/>
      <c r="H67" s="155"/>
      <c r="I67" s="155"/>
      <c r="J67" s="155"/>
      <c r="K67" s="155"/>
      <c r="L67" s="161"/>
      <c r="M67" s="161"/>
      <c r="N67" s="161"/>
      <c r="O67" s="161"/>
      <c r="P67" s="155"/>
      <c r="Q67" s="161"/>
      <c r="R67" s="161"/>
      <c r="S67" s="159"/>
      <c r="T67" s="159"/>
      <c r="U67" s="155"/>
      <c r="V67" s="155"/>
      <c r="W67" s="155"/>
      <c r="X67" s="161"/>
      <c r="Y67" s="161"/>
      <c r="Z67" s="155"/>
      <c r="AA67" s="155"/>
      <c r="AB67" s="155"/>
      <c r="AC67" s="155"/>
      <c r="AD67" s="155"/>
      <c r="AE67" s="155"/>
      <c r="AF67" s="161"/>
      <c r="AG67" s="161"/>
      <c r="AH67" s="161"/>
      <c r="AI67" s="161"/>
      <c r="AJ67" s="155"/>
      <c r="AK67" s="161"/>
      <c r="AL67" s="161"/>
      <c r="AM67" s="65">
        <f>COUNTA(H67:AL67)</f>
        <v>0</v>
      </c>
      <c r="AN67" s="90">
        <f>G67</f>
        <v>0</v>
      </c>
    </row>
    <row r="68" spans="5:40" ht="9.75" customHeight="1" x14ac:dyDescent="0.2">
      <c r="E68" s="53"/>
      <c r="F68" s="53"/>
      <c r="G68" s="89"/>
      <c r="H68" s="97"/>
      <c r="I68" s="97"/>
      <c r="J68" s="97"/>
      <c r="K68" s="97"/>
      <c r="L68" s="97"/>
      <c r="M68" s="97"/>
      <c r="N68" s="97"/>
      <c r="O68" s="97"/>
      <c r="P68" s="97"/>
      <c r="Q68" s="97"/>
      <c r="R68" s="97"/>
      <c r="S68" s="97"/>
      <c r="T68" s="97"/>
      <c r="U68" s="97"/>
      <c r="V68" s="97"/>
      <c r="W68" s="97"/>
      <c r="X68" s="97"/>
      <c r="Y68" s="97"/>
      <c r="Z68" s="97"/>
      <c r="AA68" s="97"/>
      <c r="AB68" s="97"/>
      <c r="AC68" s="97"/>
      <c r="AD68" s="97"/>
      <c r="AE68" s="97"/>
      <c r="AF68" s="97"/>
      <c r="AG68" s="97"/>
      <c r="AH68" s="97"/>
      <c r="AI68" s="97"/>
      <c r="AJ68" s="97"/>
      <c r="AK68" s="97"/>
      <c r="AL68" s="97"/>
      <c r="AM68" s="64"/>
      <c r="AN68" s="96"/>
    </row>
    <row r="69" spans="5:40" ht="17.25" customHeight="1" x14ac:dyDescent="0.2">
      <c r="E69" s="52"/>
      <c r="F69" s="52"/>
      <c r="G69" s="90"/>
      <c r="H69" s="155"/>
      <c r="I69" s="155"/>
      <c r="J69" s="155"/>
      <c r="K69" s="155"/>
      <c r="L69" s="161"/>
      <c r="M69" s="161"/>
      <c r="N69" s="161"/>
      <c r="O69" s="161"/>
      <c r="P69" s="155"/>
      <c r="Q69" s="161"/>
      <c r="R69" s="161"/>
      <c r="S69" s="159"/>
      <c r="T69" s="159"/>
      <c r="U69" s="155"/>
      <c r="V69" s="155"/>
      <c r="W69" s="155"/>
      <c r="X69" s="161"/>
      <c r="Y69" s="161"/>
      <c r="Z69" s="155"/>
      <c r="AA69" s="155"/>
      <c r="AB69" s="155"/>
      <c r="AC69" s="155"/>
      <c r="AD69" s="155"/>
      <c r="AE69" s="155"/>
      <c r="AF69" s="161"/>
      <c r="AG69" s="161"/>
      <c r="AH69" s="161"/>
      <c r="AI69" s="161"/>
      <c r="AJ69" s="155"/>
      <c r="AK69" s="161"/>
      <c r="AL69" s="161"/>
      <c r="AM69" s="65">
        <f>COUNTA(H69:AL69)</f>
        <v>0</v>
      </c>
      <c r="AN69" s="90">
        <f>G69</f>
        <v>0</v>
      </c>
    </row>
    <row r="70" spans="5:40" ht="9.75" customHeight="1" x14ac:dyDescent="0.2">
      <c r="E70" s="53"/>
      <c r="F70" s="53"/>
      <c r="G70" s="89"/>
      <c r="H70" s="97"/>
      <c r="I70" s="97"/>
      <c r="J70" s="97"/>
      <c r="K70" s="97"/>
      <c r="L70" s="97"/>
      <c r="M70" s="97"/>
      <c r="N70" s="97"/>
      <c r="O70" s="97"/>
      <c r="P70" s="97"/>
      <c r="Q70" s="97"/>
      <c r="R70" s="97"/>
      <c r="S70" s="97"/>
      <c r="T70" s="97"/>
      <c r="U70" s="97"/>
      <c r="V70" s="97"/>
      <c r="W70" s="97"/>
      <c r="X70" s="97"/>
      <c r="Y70" s="97"/>
      <c r="Z70" s="97"/>
      <c r="AA70" s="97"/>
      <c r="AB70" s="97"/>
      <c r="AC70" s="97"/>
      <c r="AD70" s="97"/>
      <c r="AE70" s="97"/>
      <c r="AF70" s="97"/>
      <c r="AG70" s="97"/>
      <c r="AH70" s="97"/>
      <c r="AI70" s="97"/>
      <c r="AJ70" s="97"/>
      <c r="AK70" s="97"/>
      <c r="AL70" s="97"/>
      <c r="AM70" s="64"/>
      <c r="AN70" s="96"/>
    </row>
    <row r="71" spans="5:40" ht="17.25" customHeight="1" x14ac:dyDescent="0.2">
      <c r="E71" s="52"/>
      <c r="F71" s="52"/>
      <c r="G71" s="90"/>
      <c r="H71" s="155"/>
      <c r="I71" s="155"/>
      <c r="J71" s="155"/>
      <c r="K71" s="155"/>
      <c r="L71" s="161"/>
      <c r="M71" s="161"/>
      <c r="N71" s="161"/>
      <c r="O71" s="161"/>
      <c r="P71" s="155"/>
      <c r="Q71" s="161"/>
      <c r="R71" s="161"/>
      <c r="S71" s="159"/>
      <c r="T71" s="159"/>
      <c r="U71" s="155"/>
      <c r="V71" s="155"/>
      <c r="W71" s="155"/>
      <c r="X71" s="161"/>
      <c r="Y71" s="161"/>
      <c r="Z71" s="155"/>
      <c r="AA71" s="155"/>
      <c r="AB71" s="155"/>
      <c r="AC71" s="155"/>
      <c r="AD71" s="155"/>
      <c r="AE71" s="155"/>
      <c r="AF71" s="161"/>
      <c r="AG71" s="161"/>
      <c r="AH71" s="161"/>
      <c r="AI71" s="161"/>
      <c r="AJ71" s="155"/>
      <c r="AK71" s="161"/>
      <c r="AL71" s="161"/>
      <c r="AM71" s="65">
        <f>COUNTA(H71:AL71)</f>
        <v>0</v>
      </c>
      <c r="AN71" s="90">
        <f>G71</f>
        <v>0</v>
      </c>
    </row>
    <row r="72" spans="5:40" hidden="1" x14ac:dyDescent="0.2">
      <c r="E72" s="50"/>
      <c r="G72" s="91"/>
      <c r="H72" s="97" t="str">
        <f t="shared" ref="H72:AL72" si="2">IFERROR(VLOOKUP($E73,TB_Kinmu,H$73,FALSE)&amp;"","")</f>
        <v/>
      </c>
      <c r="I72" s="97" t="str">
        <f t="shared" si="2"/>
        <v/>
      </c>
      <c r="J72" s="97" t="str">
        <f t="shared" si="2"/>
        <v/>
      </c>
      <c r="K72" s="97" t="str">
        <f t="shared" si="2"/>
        <v/>
      </c>
      <c r="L72" s="97" t="str">
        <f t="shared" si="2"/>
        <v/>
      </c>
      <c r="M72" s="97" t="str">
        <f t="shared" si="2"/>
        <v/>
      </c>
      <c r="N72" s="97" t="str">
        <f t="shared" si="2"/>
        <v/>
      </c>
      <c r="O72" s="97" t="str">
        <f t="shared" si="2"/>
        <v/>
      </c>
      <c r="P72" s="97" t="str">
        <f t="shared" si="2"/>
        <v/>
      </c>
      <c r="Q72" s="97" t="str">
        <f t="shared" si="2"/>
        <v/>
      </c>
      <c r="R72" s="97" t="str">
        <f t="shared" si="2"/>
        <v/>
      </c>
      <c r="S72" s="97" t="str">
        <f t="shared" si="2"/>
        <v/>
      </c>
      <c r="T72" s="97" t="str">
        <f t="shared" si="2"/>
        <v/>
      </c>
      <c r="U72" s="97" t="str">
        <f t="shared" si="2"/>
        <v/>
      </c>
      <c r="V72" s="97" t="str">
        <f t="shared" si="2"/>
        <v/>
      </c>
      <c r="W72" s="97" t="str">
        <f t="shared" si="2"/>
        <v/>
      </c>
      <c r="X72" s="97" t="str">
        <f t="shared" si="2"/>
        <v/>
      </c>
      <c r="Y72" s="97" t="str">
        <f t="shared" si="2"/>
        <v/>
      </c>
      <c r="Z72" s="97" t="str">
        <f t="shared" si="2"/>
        <v/>
      </c>
      <c r="AA72" s="97" t="str">
        <f t="shared" si="2"/>
        <v/>
      </c>
      <c r="AB72" s="97" t="str">
        <f t="shared" si="2"/>
        <v/>
      </c>
      <c r="AC72" s="97" t="str">
        <f t="shared" si="2"/>
        <v/>
      </c>
      <c r="AD72" s="97" t="str">
        <f t="shared" si="2"/>
        <v/>
      </c>
      <c r="AE72" s="97" t="str">
        <f t="shared" si="2"/>
        <v/>
      </c>
      <c r="AF72" s="97" t="str">
        <f t="shared" si="2"/>
        <v/>
      </c>
      <c r="AG72" s="97" t="str">
        <f t="shared" si="2"/>
        <v/>
      </c>
      <c r="AH72" s="97" t="str">
        <f t="shared" si="2"/>
        <v/>
      </c>
      <c r="AI72" s="97" t="str">
        <f t="shared" si="2"/>
        <v/>
      </c>
      <c r="AJ72" s="97" t="str">
        <f t="shared" si="2"/>
        <v/>
      </c>
      <c r="AK72" s="97" t="str">
        <f t="shared" si="2"/>
        <v/>
      </c>
      <c r="AL72" s="97" t="str">
        <f t="shared" si="2"/>
        <v/>
      </c>
      <c r="AN72" s="91"/>
    </row>
    <row r="73" spans="5:40" ht="26.25" hidden="1" customHeight="1" x14ac:dyDescent="0.2">
      <c r="E73" s="36"/>
      <c r="F73" s="36"/>
      <c r="G73" s="92" t="s">
        <v>29</v>
      </c>
      <c r="H73" s="51">
        <v>4</v>
      </c>
      <c r="I73" s="51">
        <v>5</v>
      </c>
      <c r="J73" s="51">
        <v>6</v>
      </c>
      <c r="K73" s="51">
        <v>7</v>
      </c>
      <c r="L73" s="51">
        <v>8</v>
      </c>
      <c r="M73" s="51">
        <v>9</v>
      </c>
      <c r="N73" s="51">
        <v>10</v>
      </c>
      <c r="O73" s="51">
        <v>11</v>
      </c>
      <c r="P73" s="51">
        <v>12</v>
      </c>
      <c r="Q73" s="51">
        <v>13</v>
      </c>
      <c r="R73" s="51">
        <v>14</v>
      </c>
      <c r="S73" s="51">
        <v>15</v>
      </c>
      <c r="T73" s="51">
        <v>16</v>
      </c>
      <c r="U73" s="51">
        <v>17</v>
      </c>
      <c r="V73" s="51">
        <v>18</v>
      </c>
      <c r="W73" s="51">
        <v>19</v>
      </c>
      <c r="X73" s="51">
        <v>20</v>
      </c>
      <c r="Y73" s="51">
        <v>21</v>
      </c>
      <c r="Z73" s="51">
        <v>22</v>
      </c>
      <c r="AA73" s="51">
        <v>23</v>
      </c>
      <c r="AB73" s="51">
        <v>24</v>
      </c>
      <c r="AC73" s="51">
        <v>25</v>
      </c>
      <c r="AD73" s="51">
        <v>26</v>
      </c>
      <c r="AE73" s="51">
        <v>27</v>
      </c>
      <c r="AF73" s="51">
        <v>28</v>
      </c>
      <c r="AG73" s="51">
        <v>29</v>
      </c>
      <c r="AH73" s="51">
        <v>30</v>
      </c>
      <c r="AI73" s="51">
        <v>31</v>
      </c>
      <c r="AJ73" s="51">
        <v>32</v>
      </c>
      <c r="AK73" s="51">
        <v>33</v>
      </c>
      <c r="AL73" s="51">
        <v>34</v>
      </c>
      <c r="AN73" s="91"/>
    </row>
    <row r="74" spans="5:40" ht="26.25" hidden="1" customHeight="1" x14ac:dyDescent="0.2">
      <c r="G74" s="93" t="s">
        <v>37</v>
      </c>
      <c r="H74" s="51">
        <f>COUNTIF(H$12:H$71,"T3")</f>
        <v>0</v>
      </c>
      <c r="I74" s="51">
        <f t="shared" ref="I74:AL74" si="3">COUNTIF(I$12:I$71,"T3")</f>
        <v>0</v>
      </c>
      <c r="J74" s="51">
        <f t="shared" si="3"/>
        <v>0</v>
      </c>
      <c r="K74" s="51">
        <f t="shared" si="3"/>
        <v>0</v>
      </c>
      <c r="L74" s="51">
        <f t="shared" si="3"/>
        <v>0</v>
      </c>
      <c r="M74" s="51">
        <f t="shared" si="3"/>
        <v>0</v>
      </c>
      <c r="N74" s="51">
        <f t="shared" si="3"/>
        <v>0</v>
      </c>
      <c r="O74" s="51">
        <f t="shared" si="3"/>
        <v>0</v>
      </c>
      <c r="P74" s="51">
        <f t="shared" si="3"/>
        <v>0</v>
      </c>
      <c r="Q74" s="51">
        <f t="shared" si="3"/>
        <v>0</v>
      </c>
      <c r="R74" s="51">
        <f t="shared" si="3"/>
        <v>0</v>
      </c>
      <c r="S74" s="51">
        <f t="shared" si="3"/>
        <v>0</v>
      </c>
      <c r="T74" s="51">
        <f t="shared" si="3"/>
        <v>0</v>
      </c>
      <c r="U74" s="51">
        <f t="shared" si="3"/>
        <v>0</v>
      </c>
      <c r="V74" s="51">
        <f t="shared" si="3"/>
        <v>0</v>
      </c>
      <c r="W74" s="51">
        <f t="shared" si="3"/>
        <v>0</v>
      </c>
      <c r="X74" s="51">
        <f t="shared" si="3"/>
        <v>0</v>
      </c>
      <c r="Y74" s="51">
        <f t="shared" si="3"/>
        <v>0</v>
      </c>
      <c r="Z74" s="51">
        <f t="shared" si="3"/>
        <v>0</v>
      </c>
      <c r="AA74" s="51">
        <f t="shared" si="3"/>
        <v>0</v>
      </c>
      <c r="AB74" s="51">
        <f t="shared" si="3"/>
        <v>0</v>
      </c>
      <c r="AC74" s="51">
        <f t="shared" si="3"/>
        <v>0</v>
      </c>
      <c r="AD74" s="51">
        <f t="shared" si="3"/>
        <v>0</v>
      </c>
      <c r="AE74" s="51">
        <f t="shared" si="3"/>
        <v>0</v>
      </c>
      <c r="AF74" s="51">
        <f t="shared" si="3"/>
        <v>0</v>
      </c>
      <c r="AG74" s="51">
        <f t="shared" si="3"/>
        <v>0</v>
      </c>
      <c r="AH74" s="51">
        <f t="shared" si="3"/>
        <v>0</v>
      </c>
      <c r="AI74" s="51">
        <f t="shared" si="3"/>
        <v>0</v>
      </c>
      <c r="AJ74" s="51">
        <f t="shared" si="3"/>
        <v>0</v>
      </c>
      <c r="AK74" s="51">
        <f t="shared" si="3"/>
        <v>0</v>
      </c>
      <c r="AL74" s="51">
        <f t="shared" si="3"/>
        <v>0</v>
      </c>
      <c r="AN74" s="91"/>
    </row>
    <row r="75" spans="5:40" ht="21.75" hidden="1" customHeight="1" x14ac:dyDescent="0.2">
      <c r="E75" s="2"/>
      <c r="F75" s="2"/>
      <c r="G75" s="93" t="s">
        <v>38</v>
      </c>
      <c r="H75" s="51">
        <f>COUNTIF(H$12:H$71,"桜")</f>
        <v>0</v>
      </c>
      <c r="I75" s="51">
        <f t="shared" ref="I75:AL75" si="4">COUNTIF(I$12:I$71,"桜")</f>
        <v>0</v>
      </c>
      <c r="J75" s="51">
        <f t="shared" si="4"/>
        <v>0</v>
      </c>
      <c r="K75" s="51">
        <f t="shared" si="4"/>
        <v>0</v>
      </c>
      <c r="L75" s="51">
        <f t="shared" si="4"/>
        <v>0</v>
      </c>
      <c r="M75" s="51">
        <f t="shared" si="4"/>
        <v>0</v>
      </c>
      <c r="N75" s="51">
        <f t="shared" si="4"/>
        <v>0</v>
      </c>
      <c r="O75" s="51">
        <f t="shared" si="4"/>
        <v>0</v>
      </c>
      <c r="P75" s="51">
        <f t="shared" si="4"/>
        <v>0</v>
      </c>
      <c r="Q75" s="51">
        <f t="shared" si="4"/>
        <v>0</v>
      </c>
      <c r="R75" s="51">
        <f t="shared" si="4"/>
        <v>0</v>
      </c>
      <c r="S75" s="51">
        <f t="shared" si="4"/>
        <v>0</v>
      </c>
      <c r="T75" s="51">
        <f t="shared" si="4"/>
        <v>0</v>
      </c>
      <c r="U75" s="51">
        <f t="shared" si="4"/>
        <v>0</v>
      </c>
      <c r="V75" s="51">
        <f t="shared" si="4"/>
        <v>0</v>
      </c>
      <c r="W75" s="51">
        <f t="shared" si="4"/>
        <v>0</v>
      </c>
      <c r="X75" s="51">
        <f t="shared" si="4"/>
        <v>0</v>
      </c>
      <c r="Y75" s="51">
        <f t="shared" si="4"/>
        <v>0</v>
      </c>
      <c r="Z75" s="51">
        <f t="shared" si="4"/>
        <v>0</v>
      </c>
      <c r="AA75" s="51">
        <f t="shared" si="4"/>
        <v>0</v>
      </c>
      <c r="AB75" s="51">
        <f t="shared" si="4"/>
        <v>0</v>
      </c>
      <c r="AC75" s="51">
        <f t="shared" si="4"/>
        <v>0</v>
      </c>
      <c r="AD75" s="51">
        <f t="shared" si="4"/>
        <v>0</v>
      </c>
      <c r="AE75" s="51">
        <f t="shared" si="4"/>
        <v>0</v>
      </c>
      <c r="AF75" s="51">
        <f t="shared" si="4"/>
        <v>0</v>
      </c>
      <c r="AG75" s="51">
        <f t="shared" si="4"/>
        <v>0</v>
      </c>
      <c r="AH75" s="51">
        <f t="shared" si="4"/>
        <v>0</v>
      </c>
      <c r="AI75" s="51">
        <f t="shared" si="4"/>
        <v>0</v>
      </c>
      <c r="AJ75" s="51">
        <f t="shared" si="4"/>
        <v>0</v>
      </c>
      <c r="AK75" s="51">
        <f t="shared" si="4"/>
        <v>0</v>
      </c>
      <c r="AL75" s="51">
        <f t="shared" si="4"/>
        <v>0</v>
      </c>
      <c r="AN75" s="91"/>
    </row>
    <row r="76" spans="5:40" ht="72" customHeight="1" x14ac:dyDescent="0.2">
      <c r="E76" s="2"/>
      <c r="F76" s="2"/>
      <c r="G76" s="93" t="s">
        <v>36</v>
      </c>
      <c r="H76" s="63" t="str">
        <f>IF(H74=1,INDEX($G$12:$G$71,MATCH("T3",H12:H71,0)),"*")</f>
        <v>*</v>
      </c>
      <c r="I76" s="63" t="str">
        <f t="shared" ref="I76:AL76" si="5">IF(I74=1,INDEX($G$12:$G$71,MATCH("T3",I12:I71,0)),"*")</f>
        <v>*</v>
      </c>
      <c r="J76" s="63" t="str">
        <f t="shared" si="5"/>
        <v>*</v>
      </c>
      <c r="K76" s="63" t="str">
        <f t="shared" si="5"/>
        <v>*</v>
      </c>
      <c r="L76" s="63" t="str">
        <f t="shared" si="5"/>
        <v>*</v>
      </c>
      <c r="M76" s="63" t="str">
        <f t="shared" si="5"/>
        <v>*</v>
      </c>
      <c r="N76" s="63" t="str">
        <f t="shared" si="5"/>
        <v>*</v>
      </c>
      <c r="O76" s="63" t="str">
        <f t="shared" si="5"/>
        <v>*</v>
      </c>
      <c r="P76" s="63" t="str">
        <f t="shared" si="5"/>
        <v>*</v>
      </c>
      <c r="Q76" s="63" t="str">
        <f t="shared" si="5"/>
        <v>*</v>
      </c>
      <c r="R76" s="63" t="str">
        <f t="shared" si="5"/>
        <v>*</v>
      </c>
      <c r="S76" s="63" t="str">
        <f t="shared" si="5"/>
        <v>*</v>
      </c>
      <c r="T76" s="63" t="str">
        <f t="shared" si="5"/>
        <v>*</v>
      </c>
      <c r="U76" s="63" t="str">
        <f t="shared" si="5"/>
        <v>*</v>
      </c>
      <c r="V76" s="63" t="str">
        <f t="shared" si="5"/>
        <v>*</v>
      </c>
      <c r="W76" s="63" t="str">
        <f t="shared" si="5"/>
        <v>*</v>
      </c>
      <c r="X76" s="63" t="str">
        <f t="shared" si="5"/>
        <v>*</v>
      </c>
      <c r="Y76" s="63" t="str">
        <f t="shared" si="5"/>
        <v>*</v>
      </c>
      <c r="Z76" s="63" t="str">
        <f t="shared" si="5"/>
        <v>*</v>
      </c>
      <c r="AA76" s="63" t="str">
        <f t="shared" si="5"/>
        <v>*</v>
      </c>
      <c r="AB76" s="63" t="str">
        <f t="shared" si="5"/>
        <v>*</v>
      </c>
      <c r="AC76" s="63" t="str">
        <f t="shared" si="5"/>
        <v>*</v>
      </c>
      <c r="AD76" s="63" t="str">
        <f t="shared" si="5"/>
        <v>*</v>
      </c>
      <c r="AE76" s="63" t="str">
        <f t="shared" si="5"/>
        <v>*</v>
      </c>
      <c r="AF76" s="63" t="str">
        <f t="shared" si="5"/>
        <v>*</v>
      </c>
      <c r="AG76" s="63" t="str">
        <f t="shared" si="5"/>
        <v>*</v>
      </c>
      <c r="AH76" s="63" t="str">
        <f t="shared" si="5"/>
        <v>*</v>
      </c>
      <c r="AI76" s="63" t="str">
        <f t="shared" si="5"/>
        <v>*</v>
      </c>
      <c r="AJ76" s="63" t="str">
        <f t="shared" si="5"/>
        <v>*</v>
      </c>
      <c r="AK76" s="63" t="str">
        <f t="shared" si="5"/>
        <v>*</v>
      </c>
      <c r="AL76" s="63" t="str">
        <f t="shared" si="5"/>
        <v>*</v>
      </c>
      <c r="AN76" s="91"/>
    </row>
    <row r="78" spans="5:40" ht="14.25" customHeight="1" x14ac:dyDescent="0.2">
      <c r="E78" s="2"/>
      <c r="F78" s="2"/>
    </row>
  </sheetData>
  <sheetProtection algorithmName="SHA-512" hashValue="ZLWwzR3hhS9jm7tZ44ShZGAZUcjIk7BKsTyrEGA4ZjZykM+7GdS94UmDp+N7f2NSnLv7UtTRhxPPBVU0eRO4qQ==" saltValue="9kCu301jShLZrUCfzXulOQ==" spinCount="100000" sheet="1" scenarios="1"/>
  <mergeCells count="9">
    <mergeCell ref="E10:E11"/>
    <mergeCell ref="AN10:AN11"/>
    <mergeCell ref="K3:O3"/>
    <mergeCell ref="G10:G11"/>
    <mergeCell ref="Q3:S3"/>
    <mergeCell ref="Z3:AA3"/>
    <mergeCell ref="V3:W3"/>
    <mergeCell ref="F10:F11"/>
    <mergeCell ref="AM10:AM11"/>
  </mergeCells>
  <phoneticPr fontId="2"/>
  <conditionalFormatting sqref="H10:AL11">
    <cfRule type="expression" dxfId="80" priority="18283">
      <formula>H$9&lt;&gt;""</formula>
    </cfRule>
  </conditionalFormatting>
  <conditionalFormatting sqref="H11:AL11">
    <cfRule type="expression" dxfId="79" priority="18266">
      <formula>AND(H$9="",H$74&lt;&gt;1,H$11&lt;&gt;"",H$74&lt;&gt;1)</formula>
    </cfRule>
  </conditionalFormatting>
  <conditionalFormatting sqref="H10:AL10">
    <cfRule type="expression" dxfId="78" priority="18264">
      <formula>AND(H$75&lt;&gt;0,H$75&lt;&gt;2)</formula>
    </cfRule>
  </conditionalFormatting>
  <conditionalFormatting sqref="H13:AL13 H15:AL15 H17:AL17 H19:AL19 H21:AL21 H23:AL23 H25:AL25 H27:AL27 H29:AL29 H31:AL31 H33:AL33 H35:AL35 H37:AL37 H39:AL39 H41:AL41 H43:AL43 H45:AL45 H47:AL47 H49:AL49 H51:AL51 H53:AL53 H55:AL55 H57:AL57 H59:AL59 H61:AL61 H63:AL63 H65:AL65 H67:AL67 H69:AL69 H71:AL71 H73:AL76">
    <cfRule type="expression" dxfId="77" priority="18263">
      <formula>H$9&lt;&gt;""</formula>
    </cfRule>
  </conditionalFormatting>
  <conditionalFormatting sqref="H13:AL13 H15:AL15 H17:AL17 H19:AL19 H21:AL21 H23:AL23 H25:AL25 H27:AL27 H29:AL29 H31:AL31 H33:AL33 H35:AL35 H37:AL37 H39:AL39 H41:AL41 H43:AL43 H45:AL45 H47:AL47 H49:AL49 H51:AL51 H53:AL53 H55:AL55 H57:AL57 H59:AL59 H61:AL61 H63:AL63 H65:AL65 H67:AL67 H69:AL69 H71:AL71">
    <cfRule type="expression" dxfId="76" priority="18261">
      <formula>H13=$AH$3</formula>
    </cfRule>
    <cfRule type="expression" dxfId="75" priority="18262">
      <formula>H13=$AF$3</formula>
    </cfRule>
  </conditionalFormatting>
  <conditionalFormatting sqref="H7:AL7">
    <cfRule type="expression" dxfId="74" priority="18260">
      <formula>OR(H7="休",H7="有休",H7="代休",H7="休希")</formula>
    </cfRule>
  </conditionalFormatting>
  <conditionalFormatting sqref="H12:AL12">
    <cfRule type="expression" dxfId="30" priority="31">
      <formula>OR(H12="休",H12="有休",H12="代休",H12="休希")</formula>
    </cfRule>
  </conditionalFormatting>
  <conditionalFormatting sqref="H14:AL14">
    <cfRule type="expression" dxfId="29" priority="30">
      <formula>OR(H14="休",H14="有休",H14="代休",H14="休希")</formula>
    </cfRule>
  </conditionalFormatting>
  <conditionalFormatting sqref="H16:AL16">
    <cfRule type="expression" dxfId="28" priority="29">
      <formula>OR(H16="休",H16="有休",H16="代休",H16="休希")</formula>
    </cfRule>
  </conditionalFormatting>
  <conditionalFormatting sqref="H18:AL18">
    <cfRule type="expression" dxfId="27" priority="28">
      <formula>OR(H18="休",H18="有休",H18="代休",H18="休希")</formula>
    </cfRule>
  </conditionalFormatting>
  <conditionalFormatting sqref="H20:AL20">
    <cfRule type="expression" dxfId="26" priority="27">
      <formula>OR(H20="休",H20="有休",H20="代休",H20="休希")</formula>
    </cfRule>
  </conditionalFormatting>
  <conditionalFormatting sqref="H22:AL22">
    <cfRule type="expression" dxfId="25" priority="26">
      <formula>OR(H22="休",H22="有休",H22="代休",H22="休希")</formula>
    </cfRule>
  </conditionalFormatting>
  <conditionalFormatting sqref="H24:AL24">
    <cfRule type="expression" dxfId="24" priority="25">
      <formula>OR(H24="休",H24="有休",H24="代休",H24="休希")</formula>
    </cfRule>
  </conditionalFormatting>
  <conditionalFormatting sqref="H26:AL26">
    <cfRule type="expression" dxfId="23" priority="24">
      <formula>OR(H26="休",H26="有休",H26="代休",H26="休希")</formula>
    </cfRule>
  </conditionalFormatting>
  <conditionalFormatting sqref="H28:AL28">
    <cfRule type="expression" dxfId="22" priority="23">
      <formula>OR(H28="休",H28="有休",H28="代休",H28="休希")</formula>
    </cfRule>
  </conditionalFormatting>
  <conditionalFormatting sqref="H30:AL30">
    <cfRule type="expression" dxfId="21" priority="22">
      <formula>OR(H30="休",H30="有休",H30="代休",H30="休希")</formula>
    </cfRule>
  </conditionalFormatting>
  <conditionalFormatting sqref="H32:AL32">
    <cfRule type="expression" dxfId="20" priority="21">
      <formula>OR(H32="休",H32="有休",H32="代休",H32="休希")</formula>
    </cfRule>
  </conditionalFormatting>
  <conditionalFormatting sqref="H34:AL34">
    <cfRule type="expression" dxfId="19" priority="20">
      <formula>OR(H34="休",H34="有休",H34="代休",H34="休希")</formula>
    </cfRule>
  </conditionalFormatting>
  <conditionalFormatting sqref="H36:AL36">
    <cfRule type="expression" dxfId="18" priority="19">
      <formula>OR(H36="休",H36="有休",H36="代休",H36="休希")</formula>
    </cfRule>
  </conditionalFormatting>
  <conditionalFormatting sqref="H38:AL38">
    <cfRule type="expression" dxfId="17" priority="18">
      <formula>OR(H38="休",H38="有休",H38="代休",H38="休希")</formula>
    </cfRule>
  </conditionalFormatting>
  <conditionalFormatting sqref="H40:AL40">
    <cfRule type="expression" dxfId="16" priority="17">
      <formula>OR(H40="休",H40="有休",H40="代休",H40="休希")</formula>
    </cfRule>
  </conditionalFormatting>
  <conditionalFormatting sqref="H42:AL42">
    <cfRule type="expression" dxfId="15" priority="16">
      <formula>OR(H42="休",H42="有休",H42="代休",H42="休希")</formula>
    </cfRule>
  </conditionalFormatting>
  <conditionalFormatting sqref="H44:AL44">
    <cfRule type="expression" dxfId="14" priority="15">
      <formula>OR(H44="休",H44="有休",H44="代休",H44="休希")</formula>
    </cfRule>
  </conditionalFormatting>
  <conditionalFormatting sqref="H46:AL46">
    <cfRule type="expression" dxfId="13" priority="14">
      <formula>OR(H46="休",H46="有休",H46="代休",H46="休希")</formula>
    </cfRule>
  </conditionalFormatting>
  <conditionalFormatting sqref="H48:AL48">
    <cfRule type="expression" dxfId="12" priority="13">
      <formula>OR(H48="休",H48="有休",H48="代休",H48="休希")</formula>
    </cfRule>
  </conditionalFormatting>
  <conditionalFormatting sqref="H50:AL50">
    <cfRule type="expression" dxfId="11" priority="12">
      <formula>OR(H50="休",H50="有休",H50="代休",H50="休希")</formula>
    </cfRule>
  </conditionalFormatting>
  <conditionalFormatting sqref="H52:AL52">
    <cfRule type="expression" dxfId="10" priority="11">
      <formula>OR(H52="休",H52="有休",H52="代休",H52="休希")</formula>
    </cfRule>
  </conditionalFormatting>
  <conditionalFormatting sqref="H54:AL54">
    <cfRule type="expression" dxfId="9" priority="10">
      <formula>OR(H54="休",H54="有休",H54="代休",H54="休希")</formula>
    </cfRule>
  </conditionalFormatting>
  <conditionalFormatting sqref="H56:AL56">
    <cfRule type="expression" dxfId="8" priority="9">
      <formula>OR(H56="休",H56="有休",H56="代休",H56="休希")</formula>
    </cfRule>
  </conditionalFormatting>
  <conditionalFormatting sqref="H58:AL58">
    <cfRule type="expression" dxfId="7" priority="8">
      <formula>OR(H58="休",H58="有休",H58="代休",H58="休希")</formula>
    </cfRule>
  </conditionalFormatting>
  <conditionalFormatting sqref="H60:AL60">
    <cfRule type="expression" dxfId="6" priority="7">
      <formula>OR(H60="休",H60="有休",H60="代休",H60="休希")</formula>
    </cfRule>
  </conditionalFormatting>
  <conditionalFormatting sqref="H62:AL62">
    <cfRule type="expression" dxfId="5" priority="6">
      <formula>OR(H62="休",H62="有休",H62="代休",H62="休希")</formula>
    </cfRule>
  </conditionalFormatting>
  <conditionalFormatting sqref="H64:AL64">
    <cfRule type="expression" dxfId="4" priority="5">
      <formula>OR(H64="休",H64="有休",H64="代休",H64="休希")</formula>
    </cfRule>
  </conditionalFormatting>
  <conditionalFormatting sqref="H66:AL66">
    <cfRule type="expression" dxfId="3" priority="4">
      <formula>OR(H66="休",H66="有休",H66="代休",H66="休希")</formula>
    </cfRule>
  </conditionalFormatting>
  <conditionalFormatting sqref="H68:AL68">
    <cfRule type="expression" dxfId="2" priority="3">
      <formula>OR(H68="休",H68="有休",H68="代休",H68="休希")</formula>
    </cfRule>
  </conditionalFormatting>
  <conditionalFormatting sqref="H70:AL70">
    <cfRule type="expression" dxfId="1" priority="2">
      <formula>OR(H70="休",H70="有休",H70="代休",H70="休希")</formula>
    </cfRule>
  </conditionalFormatting>
  <conditionalFormatting sqref="H72:AL72">
    <cfRule type="expression" dxfId="0" priority="1">
      <formula>OR(H72="休",H72="有休",H72="代休",H72="休希")</formula>
    </cfRule>
  </conditionalFormatting>
  <dataValidations disablePrompts="1" count="1">
    <dataValidation imeMode="off" allowBlank="1" showInputMessage="1" showErrorMessage="1" sqref="K3 K6" xr:uid="{00000000-0002-0000-0100-000000000000}"/>
  </dataValidations>
  <printOptions horizontalCentered="1"/>
  <pageMargins left="6.9444444444444448E-2" right="6.9444444444444448E-2" top="0.1388888888888889" bottom="6.9444444444444448E-2" header="0.23622047244094491" footer="0.15748031496062992"/>
  <pageSetup paperSize="9" scale="71" orientation="landscape"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記録Main">
                <anchor moveWithCells="1" sizeWithCells="1">
                  <from>
                    <xdr:col>35</xdr:col>
                    <xdr:colOff>190500</xdr:colOff>
                    <xdr:row>0</xdr:row>
                    <xdr:rowOff>99060</xdr:rowOff>
                  </from>
                  <to>
                    <xdr:col>37</xdr:col>
                    <xdr:colOff>289560</xdr:colOff>
                    <xdr:row>2</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B2:BO41"/>
  <sheetViews>
    <sheetView showZeros="0" showOutlineSymbols="0" defaultGridColor="0" colorId="55" zoomScale="95" zoomScaleNormal="95" zoomScaleSheetLayoutView="75" workbookViewId="0">
      <selection activeCell="Y50" sqref="Y50"/>
    </sheetView>
  </sheetViews>
  <sheetFormatPr defaultColWidth="4.109375" defaultRowHeight="13.2" x14ac:dyDescent="0.2"/>
  <cols>
    <col min="1" max="1" width="2.6640625" style="1" customWidth="1"/>
    <col min="2" max="4" width="5.6640625" style="1" hidden="1" customWidth="1"/>
    <col min="5" max="6" width="8.6640625" style="2" hidden="1" customWidth="1"/>
    <col min="7" max="7" width="11.44140625" style="1" customWidth="1"/>
    <col min="8" max="38" width="4.33203125" style="1" customWidth="1"/>
    <col min="39" max="41" width="5.33203125" style="1" customWidth="1"/>
    <col min="42" max="42" width="11.44140625" style="1" customWidth="1"/>
    <col min="43" max="43" width="2.109375" style="1" customWidth="1"/>
    <col min="44" max="48" width="4.33203125" style="1" hidden="1" customWidth="1"/>
    <col min="49" max="55" width="4.44140625" style="1" hidden="1" customWidth="1"/>
    <col min="56" max="56" width="8.6640625" style="1" hidden="1" customWidth="1"/>
    <col min="57" max="60" width="4.44140625" style="1" hidden="1" customWidth="1"/>
    <col min="61" max="61" width="8.109375" style="1" hidden="1" customWidth="1"/>
    <col min="62" max="62" width="8.77734375" style="1" hidden="1" customWidth="1"/>
    <col min="63" max="64" width="4.44140625" style="1" hidden="1" customWidth="1"/>
    <col min="65" max="65" width="3.88671875" hidden="1" customWidth="1"/>
    <col min="68" max="74" width="4.109375" style="1" customWidth="1"/>
    <col min="75" max="75" width="9.33203125" style="1" customWidth="1"/>
    <col min="76" max="76" width="4.88671875" style="1" customWidth="1"/>
    <col min="77" max="78" width="4.109375" style="1" customWidth="1"/>
    <col min="79" max="79" width="4.109375" style="1"/>
    <col min="80" max="98" width="0" style="1" hidden="1" customWidth="1"/>
    <col min="99" max="16384" width="4.109375" style="1"/>
  </cols>
  <sheetData>
    <row r="2" spans="7:41" x14ac:dyDescent="0.2">
      <c r="AM2" s="2"/>
      <c r="AN2" s="162"/>
      <c r="AO2" s="162"/>
    </row>
    <row r="3" spans="7:41" ht="14.4" x14ac:dyDescent="0.2">
      <c r="L3" s="189" t="s">
        <v>142</v>
      </c>
      <c r="M3" s="189"/>
      <c r="N3" s="189"/>
      <c r="O3" s="189"/>
      <c r="P3" s="189"/>
      <c r="Q3" s="189"/>
      <c r="R3" s="189"/>
      <c r="S3" s="189"/>
      <c r="T3" s="189"/>
      <c r="U3" s="189"/>
      <c r="V3" s="189"/>
      <c r="W3" s="189"/>
      <c r="X3" s="189"/>
      <c r="Y3" s="189"/>
      <c r="Z3" s="189"/>
      <c r="AA3" s="189"/>
      <c r="AB3" s="189"/>
      <c r="AC3" s="189"/>
      <c r="AD3" s="189"/>
      <c r="AE3" s="189"/>
      <c r="AG3" s="190" t="s">
        <v>143</v>
      </c>
      <c r="AH3" s="190"/>
      <c r="AI3" s="190"/>
      <c r="AJ3" s="190"/>
      <c r="AK3" s="190"/>
      <c r="AL3" s="190"/>
      <c r="AM3" s="2"/>
      <c r="AN3" s="162"/>
      <c r="AO3" s="162"/>
    </row>
    <row r="4" spans="7:41" x14ac:dyDescent="0.2">
      <c r="G4" s="188" t="str">
        <f>勤務計画!$G$7</f>
        <v>年月日入力</v>
      </c>
      <c r="H4" s="188"/>
      <c r="I4" s="188"/>
      <c r="AM4" s="2"/>
      <c r="AN4" s="162"/>
      <c r="AO4" s="163"/>
    </row>
    <row r="5" spans="7:41" x14ac:dyDescent="0.2">
      <c r="G5" s="2"/>
      <c r="AD5" s="187" t="s">
        <v>144</v>
      </c>
      <c r="AE5" s="187"/>
      <c r="AF5" s="187"/>
      <c r="AG5" s="187"/>
      <c r="AH5" s="187"/>
      <c r="AI5" s="187"/>
      <c r="AJ5" s="187"/>
      <c r="AK5" s="187"/>
      <c r="AL5" s="187"/>
      <c r="AM5" s="2"/>
      <c r="AN5" s="162"/>
      <c r="AO5" s="163"/>
    </row>
    <row r="6" spans="7:41" x14ac:dyDescent="0.2">
      <c r="G6" s="171" t="str">
        <f>勤務計画!$G$10</f>
        <v>日付</v>
      </c>
      <c r="H6" s="169">
        <f>勤務計画!H10</f>
        <v>0</v>
      </c>
      <c r="I6" s="169">
        <f>勤務計画!I10</f>
        <v>0</v>
      </c>
      <c r="J6" s="169">
        <f>勤務計画!J10</f>
        <v>0</v>
      </c>
      <c r="K6" s="169">
        <f>勤務計画!K10</f>
        <v>0</v>
      </c>
      <c r="L6" s="169">
        <f>勤務計画!L10</f>
        <v>0</v>
      </c>
      <c r="M6" s="169">
        <f>勤務計画!M10</f>
        <v>0</v>
      </c>
      <c r="N6" s="169">
        <f>勤務計画!N10</f>
        <v>0</v>
      </c>
      <c r="O6" s="169">
        <f>勤務計画!O10</f>
        <v>0</v>
      </c>
      <c r="P6" s="169">
        <f>勤務計画!P10</f>
        <v>0</v>
      </c>
      <c r="Q6" s="169">
        <f>勤務計画!Q10</f>
        <v>0</v>
      </c>
      <c r="R6" s="169">
        <f>勤務計画!R10</f>
        <v>0</v>
      </c>
      <c r="S6" s="169">
        <f>勤務計画!S10</f>
        <v>0</v>
      </c>
      <c r="T6" s="169">
        <f>勤務計画!T10</f>
        <v>0</v>
      </c>
      <c r="U6" s="169">
        <f>勤務計画!U10</f>
        <v>0</v>
      </c>
      <c r="V6" s="169">
        <f>勤務計画!V10</f>
        <v>0</v>
      </c>
      <c r="W6" s="169">
        <f>勤務計画!W10</f>
        <v>0</v>
      </c>
      <c r="X6" s="169">
        <f>勤務計画!X10</f>
        <v>0</v>
      </c>
      <c r="Y6" s="169">
        <f>勤務計画!Y10</f>
        <v>0</v>
      </c>
      <c r="Z6" s="169">
        <f>勤務計画!Z10</f>
        <v>0</v>
      </c>
      <c r="AA6" s="169">
        <f>勤務計画!AA10</f>
        <v>0</v>
      </c>
      <c r="AB6" s="169">
        <f>勤務計画!AB10</f>
        <v>0</v>
      </c>
      <c r="AC6" s="169">
        <f>勤務計画!AC10</f>
        <v>0</v>
      </c>
      <c r="AD6" s="169">
        <f>勤務計画!AD10</f>
        <v>0</v>
      </c>
      <c r="AE6" s="169">
        <f>勤務計画!AE10</f>
        <v>0</v>
      </c>
      <c r="AF6" s="169">
        <f>勤務計画!AF10</f>
        <v>0</v>
      </c>
      <c r="AG6" s="169">
        <f>勤務計画!AG10</f>
        <v>0</v>
      </c>
      <c r="AH6" s="169">
        <f>勤務計画!AH10</f>
        <v>0</v>
      </c>
      <c r="AI6" s="169">
        <f>勤務計画!AI10</f>
        <v>0</v>
      </c>
      <c r="AJ6" s="169">
        <f>勤務計画!AJ10</f>
        <v>0</v>
      </c>
      <c r="AK6" s="169">
        <f>勤務計画!AK10</f>
        <v>0</v>
      </c>
      <c r="AL6" s="169">
        <f>勤務計画!AL10</f>
        <v>0</v>
      </c>
      <c r="AM6" s="2"/>
      <c r="AN6" s="162"/>
      <c r="AO6" s="163"/>
    </row>
    <row r="7" spans="7:41" x14ac:dyDescent="0.2">
      <c r="G7" s="168"/>
      <c r="H7" s="169"/>
      <c r="I7" s="169"/>
      <c r="J7" s="169"/>
      <c r="K7" s="169"/>
      <c r="L7" s="169"/>
      <c r="M7" s="169"/>
      <c r="N7" s="169"/>
      <c r="O7" s="169"/>
      <c r="P7" s="169"/>
      <c r="Q7" s="169"/>
      <c r="R7" s="169"/>
      <c r="S7" s="169"/>
      <c r="T7" s="169"/>
      <c r="U7" s="169"/>
      <c r="V7" s="169"/>
      <c r="W7" s="169"/>
      <c r="X7" s="169"/>
      <c r="Y7" s="169"/>
      <c r="Z7" s="169"/>
      <c r="AA7" s="169"/>
      <c r="AB7" s="169"/>
      <c r="AC7" s="169"/>
      <c r="AD7" s="169"/>
      <c r="AE7" s="169"/>
      <c r="AF7" s="169"/>
      <c r="AG7" s="169"/>
      <c r="AH7" s="169"/>
      <c r="AI7" s="169"/>
      <c r="AJ7" s="169"/>
      <c r="AK7" s="169"/>
      <c r="AL7" s="169"/>
      <c r="AM7" s="2"/>
      <c r="AN7" s="162"/>
      <c r="AO7" s="162"/>
    </row>
    <row r="8" spans="7:41" x14ac:dyDescent="0.2">
      <c r="G8" s="171" t="str">
        <f>勤務計画!$G$11</f>
        <v>氏名＼曜日</v>
      </c>
      <c r="H8" s="167">
        <f>勤務計画!H11</f>
        <v>0</v>
      </c>
      <c r="I8" s="167">
        <f>勤務計画!I11</f>
        <v>0</v>
      </c>
      <c r="J8" s="167">
        <f>勤務計画!J11</f>
        <v>0</v>
      </c>
      <c r="K8" s="167">
        <f>勤務計画!K11</f>
        <v>0</v>
      </c>
      <c r="L8" s="167">
        <f>勤務計画!L11</f>
        <v>0</v>
      </c>
      <c r="M8" s="167">
        <f>勤務計画!M11</f>
        <v>0</v>
      </c>
      <c r="N8" s="167">
        <f>勤務計画!N11</f>
        <v>0</v>
      </c>
      <c r="O8" s="167">
        <f>勤務計画!O11</f>
        <v>0</v>
      </c>
      <c r="P8" s="167">
        <f>勤務計画!P11</f>
        <v>0</v>
      </c>
      <c r="Q8" s="167">
        <f>勤務計画!Q11</f>
        <v>0</v>
      </c>
      <c r="R8" s="167">
        <f>勤務計画!R11</f>
        <v>0</v>
      </c>
      <c r="S8" s="167">
        <f>勤務計画!S11</f>
        <v>0</v>
      </c>
      <c r="T8" s="167">
        <f>勤務計画!T11</f>
        <v>0</v>
      </c>
      <c r="U8" s="167">
        <f>勤務計画!U11</f>
        <v>0</v>
      </c>
      <c r="V8" s="167">
        <f>勤務計画!V11</f>
        <v>0</v>
      </c>
      <c r="W8" s="167">
        <f>勤務計画!W11</f>
        <v>0</v>
      </c>
      <c r="X8" s="167">
        <f>勤務計画!X11</f>
        <v>0</v>
      </c>
      <c r="Y8" s="167">
        <f>勤務計画!Y11</f>
        <v>0</v>
      </c>
      <c r="Z8" s="167">
        <f>勤務計画!Z11</f>
        <v>0</v>
      </c>
      <c r="AA8" s="167">
        <f>勤務計画!AA11</f>
        <v>0</v>
      </c>
      <c r="AB8" s="167">
        <f>勤務計画!AB11</f>
        <v>0</v>
      </c>
      <c r="AC8" s="167">
        <f>勤務計画!AC11</f>
        <v>0</v>
      </c>
      <c r="AD8" s="167">
        <f>勤務計画!AD11</f>
        <v>0</v>
      </c>
      <c r="AE8" s="167">
        <f>勤務計画!AE11</f>
        <v>0</v>
      </c>
      <c r="AF8" s="167">
        <f>勤務計画!AF11</f>
        <v>0</v>
      </c>
      <c r="AG8" s="167">
        <f>勤務計画!AG11</f>
        <v>0</v>
      </c>
      <c r="AH8" s="167">
        <f>勤務計画!AH11</f>
        <v>0</v>
      </c>
      <c r="AI8" s="167">
        <f>勤務計画!AI11</f>
        <v>0</v>
      </c>
      <c r="AJ8" s="167">
        <f>勤務計画!AJ11</f>
        <v>0</v>
      </c>
      <c r="AK8" s="167">
        <f>勤務計画!AK11</f>
        <v>0</v>
      </c>
      <c r="AL8" s="167">
        <f>勤務計画!AL11</f>
        <v>0</v>
      </c>
      <c r="AM8" s="2"/>
      <c r="AN8" s="162"/>
      <c r="AO8" s="162"/>
    </row>
    <row r="9" spans="7:41" x14ac:dyDescent="0.2">
      <c r="G9" s="168"/>
      <c r="H9" s="167"/>
      <c r="I9" s="167"/>
      <c r="J9" s="167"/>
      <c r="K9" s="167"/>
      <c r="L9" s="167"/>
      <c r="M9" s="167"/>
      <c r="N9" s="167"/>
      <c r="O9" s="167"/>
      <c r="P9" s="167"/>
      <c r="Q9" s="167"/>
      <c r="R9" s="167"/>
      <c r="S9" s="167"/>
      <c r="T9" s="167"/>
      <c r="U9" s="167"/>
      <c r="V9" s="167"/>
      <c r="W9" s="167"/>
      <c r="X9" s="167"/>
      <c r="Y9" s="167"/>
      <c r="Z9" s="167"/>
      <c r="AA9" s="167"/>
      <c r="AB9" s="167"/>
      <c r="AC9" s="167"/>
      <c r="AD9" s="167"/>
      <c r="AE9" s="167"/>
      <c r="AF9" s="167"/>
      <c r="AG9" s="167"/>
      <c r="AH9" s="167"/>
      <c r="AI9" s="167"/>
      <c r="AJ9" s="167"/>
      <c r="AK9" s="167"/>
      <c r="AL9" s="167"/>
      <c r="AM9" s="2"/>
      <c r="AN9" s="2"/>
      <c r="AO9" s="2"/>
    </row>
    <row r="10" spans="7:41" x14ac:dyDescent="0.2">
      <c r="G10" s="168">
        <f>勤務計画!$G$12</f>
        <v>0</v>
      </c>
      <c r="H10" s="166" t="str">
        <f>勤務計画!H72</f>
        <v>12:55</v>
      </c>
      <c r="I10" s="166" t="str">
        <f>勤務計画!I72</f>
        <v>12:55</v>
      </c>
      <c r="J10" s="166" t="str">
        <f>勤務計画!J72</f>
        <v>12:55</v>
      </c>
      <c r="K10" s="166" t="str">
        <f>勤務計画!K72</f>
        <v>12:55</v>
      </c>
      <c r="L10" s="166" t="str">
        <f>勤務計画!L72</f>
        <v>12:55</v>
      </c>
      <c r="M10" s="166" t="str">
        <f>勤務計画!M72</f>
        <v>12:55</v>
      </c>
      <c r="N10" s="166" t="str">
        <f>勤務計画!N72</f>
        <v>12:55</v>
      </c>
      <c r="O10" s="166" t="str">
        <f>勤務計画!O72</f>
        <v>12:55</v>
      </c>
      <c r="P10" s="166" t="str">
        <f>勤務計画!P72</f>
        <v>12:55</v>
      </c>
      <c r="Q10" s="166" t="str">
        <f>勤務計画!Q72</f>
        <v>12:55</v>
      </c>
      <c r="R10" s="166" t="str">
        <f>勤務計画!R72</f>
        <v>12:55</v>
      </c>
      <c r="S10" s="166" t="str">
        <f>勤務計画!S72</f>
        <v>12:55</v>
      </c>
      <c r="T10" s="166" t="str">
        <f>勤務計画!T72</f>
        <v>12:55</v>
      </c>
      <c r="U10" s="166" t="str">
        <f>勤務計画!U72</f>
        <v>12:55</v>
      </c>
      <c r="V10" s="166" t="str">
        <f>勤務計画!V72</f>
        <v>12:55</v>
      </c>
      <c r="W10" s="166" t="str">
        <f>勤務計画!W72</f>
        <v>12:55</v>
      </c>
      <c r="X10" s="166" t="str">
        <f>勤務計画!X72</f>
        <v>12:55</v>
      </c>
      <c r="Y10" s="166" t="str">
        <f>勤務計画!Y72</f>
        <v>12:55</v>
      </c>
      <c r="Z10" s="166" t="str">
        <f>勤務計画!Z72</f>
        <v>12:55</v>
      </c>
      <c r="AA10" s="166" t="str">
        <f>勤務計画!AA72</f>
        <v>12:55</v>
      </c>
      <c r="AB10" s="166" t="str">
        <f>勤務計画!AB72</f>
        <v>12:55</v>
      </c>
      <c r="AC10" s="166" t="str">
        <f>勤務計画!AC72</f>
        <v>12:55</v>
      </c>
      <c r="AD10" s="166" t="str">
        <f>勤務計画!AD72</f>
        <v>12:55</v>
      </c>
      <c r="AE10" s="166" t="str">
        <f>勤務計画!AE72</f>
        <v>12:55</v>
      </c>
      <c r="AF10" s="166" t="str">
        <f>勤務計画!AF72</f>
        <v>12:55</v>
      </c>
      <c r="AG10" s="166" t="str">
        <f>勤務計画!AG72</f>
        <v>12:55</v>
      </c>
      <c r="AH10" s="166" t="str">
        <f>勤務計画!AH72</f>
        <v>12:55</v>
      </c>
      <c r="AI10" s="166" t="str">
        <f>勤務計画!AI72</f>
        <v>12:55</v>
      </c>
      <c r="AJ10" s="166" t="str">
        <f>勤務計画!AJ72</f>
        <v>12:55</v>
      </c>
      <c r="AK10" s="166" t="str">
        <f>勤務計画!AK72</f>
        <v>12:55</v>
      </c>
      <c r="AL10" s="166" t="str">
        <f>勤務計画!AL72</f>
        <v/>
      </c>
      <c r="AM10" s="2"/>
      <c r="AN10" s="162"/>
      <c r="AO10" s="162"/>
    </row>
    <row r="11" spans="7:41" x14ac:dyDescent="0.2">
      <c r="G11" s="168"/>
      <c r="H11" s="166" t="str">
        <f>勤務計画!H73</f>
        <v>-</v>
      </c>
      <c r="I11" s="166" t="str">
        <f>勤務計画!I73</f>
        <v>-</v>
      </c>
      <c r="J11" s="166" t="str">
        <f>勤務計画!J73</f>
        <v>-</v>
      </c>
      <c r="K11" s="166" t="str">
        <f>勤務計画!K73</f>
        <v>-</v>
      </c>
      <c r="L11" s="166" t="str">
        <f>勤務計画!L73</f>
        <v>-</v>
      </c>
      <c r="M11" s="166" t="str">
        <f>勤務計画!M73</f>
        <v>-</v>
      </c>
      <c r="N11" s="166" t="str">
        <f>勤務計画!N73</f>
        <v>-</v>
      </c>
      <c r="O11" s="166" t="str">
        <f>勤務計画!O73</f>
        <v>-</v>
      </c>
      <c r="P11" s="166" t="str">
        <f>勤務計画!P73</f>
        <v>-</v>
      </c>
      <c r="Q11" s="166" t="str">
        <f>勤務計画!Q73</f>
        <v>-</v>
      </c>
      <c r="R11" s="166" t="str">
        <f>勤務計画!R73</f>
        <v>-</v>
      </c>
      <c r="S11" s="166" t="str">
        <f>勤務計画!S73</f>
        <v>-</v>
      </c>
      <c r="T11" s="166" t="str">
        <f>勤務計画!T73</f>
        <v>-</v>
      </c>
      <c r="U11" s="166" t="str">
        <f>勤務計画!U73</f>
        <v>-</v>
      </c>
      <c r="V11" s="166" t="str">
        <f>勤務計画!V73</f>
        <v>-</v>
      </c>
      <c r="W11" s="166" t="str">
        <f>勤務計画!W73</f>
        <v>-</v>
      </c>
      <c r="X11" s="166" t="str">
        <f>勤務計画!X73</f>
        <v>-</v>
      </c>
      <c r="Y11" s="166" t="str">
        <f>勤務計画!Y73</f>
        <v>-</v>
      </c>
      <c r="Z11" s="166" t="str">
        <f>勤務計画!Z73</f>
        <v>-</v>
      </c>
      <c r="AA11" s="166" t="str">
        <f>勤務計画!AA73</f>
        <v>-</v>
      </c>
      <c r="AB11" s="166" t="str">
        <f>勤務計画!AB73</f>
        <v>-</v>
      </c>
      <c r="AC11" s="166" t="str">
        <f>勤務計画!AC73</f>
        <v>-</v>
      </c>
      <c r="AD11" s="166" t="str">
        <f>勤務計画!AD73</f>
        <v>-</v>
      </c>
      <c r="AE11" s="166" t="str">
        <f>勤務計画!AE73</f>
        <v>-</v>
      </c>
      <c r="AF11" s="166" t="str">
        <f>勤務計画!AF73</f>
        <v>-</v>
      </c>
      <c r="AG11" s="166" t="str">
        <f>勤務計画!AG73</f>
        <v>-</v>
      </c>
      <c r="AH11" s="166" t="str">
        <f>勤務計画!AH73</f>
        <v>-</v>
      </c>
      <c r="AI11" s="166" t="str">
        <f>勤務計画!AI73</f>
        <v>-</v>
      </c>
      <c r="AJ11" s="166" t="str">
        <f>勤務計画!AJ73</f>
        <v>-</v>
      </c>
      <c r="AK11" s="166" t="str">
        <f>勤務計画!AK73</f>
        <v>-</v>
      </c>
      <c r="AL11" s="166" t="str">
        <f>勤務計画!AL73</f>
        <v/>
      </c>
      <c r="AM11" s="2"/>
      <c r="AN11" s="162"/>
      <c r="AO11" s="162"/>
    </row>
    <row r="12" spans="7:41" x14ac:dyDescent="0.2">
      <c r="G12" s="168">
        <f>勤務計画!$G$13</f>
        <v>0</v>
      </c>
      <c r="H12" s="166" t="str">
        <f>勤務計画!H74</f>
        <v>12:15</v>
      </c>
      <c r="I12" s="166" t="str">
        <f>勤務計画!I74</f>
        <v>12:15</v>
      </c>
      <c r="J12" s="166" t="str">
        <f>勤務計画!J74</f>
        <v>12:15</v>
      </c>
      <c r="K12" s="166" t="str">
        <f>勤務計画!K74</f>
        <v>12:15</v>
      </c>
      <c r="L12" s="166" t="str">
        <f>勤務計画!L74</f>
        <v>12:15</v>
      </c>
      <c r="M12" s="166" t="str">
        <f>勤務計画!M74</f>
        <v>12:15</v>
      </c>
      <c r="N12" s="166" t="str">
        <f>勤務計画!N74</f>
        <v>12:15</v>
      </c>
      <c r="O12" s="166" t="str">
        <f>勤務計画!O74</f>
        <v>12:15</v>
      </c>
      <c r="P12" s="166" t="str">
        <f>勤務計画!P74</f>
        <v>12:15</v>
      </c>
      <c r="Q12" s="166" t="str">
        <f>勤務計画!Q74</f>
        <v>12:15</v>
      </c>
      <c r="R12" s="166" t="str">
        <f>勤務計画!R74</f>
        <v>12:15</v>
      </c>
      <c r="S12" s="166" t="str">
        <f>勤務計画!S74</f>
        <v>12:15</v>
      </c>
      <c r="T12" s="166" t="str">
        <f>勤務計画!T74</f>
        <v>12:15</v>
      </c>
      <c r="U12" s="166" t="str">
        <f>勤務計画!U74</f>
        <v>12:15</v>
      </c>
      <c r="V12" s="166" t="str">
        <f>勤務計画!V74</f>
        <v>12:15</v>
      </c>
      <c r="W12" s="166" t="str">
        <f>勤務計画!W74</f>
        <v>12:15</v>
      </c>
      <c r="X12" s="166" t="str">
        <f>勤務計画!X74</f>
        <v>12:15</v>
      </c>
      <c r="Y12" s="166" t="str">
        <f>勤務計画!Y74</f>
        <v>12:15</v>
      </c>
      <c r="Z12" s="166" t="str">
        <f>勤務計画!Z74</f>
        <v>12:15</v>
      </c>
      <c r="AA12" s="166" t="str">
        <f>勤務計画!AA74</f>
        <v>12:15</v>
      </c>
      <c r="AB12" s="166" t="str">
        <f>勤務計画!AB74</f>
        <v>12:15</v>
      </c>
      <c r="AC12" s="166" t="str">
        <f>勤務計画!AC74</f>
        <v>12:15</v>
      </c>
      <c r="AD12" s="166" t="str">
        <f>勤務計画!AD74</f>
        <v>12:15</v>
      </c>
      <c r="AE12" s="166" t="str">
        <f>勤務計画!AE74</f>
        <v>12:15</v>
      </c>
      <c r="AF12" s="166" t="str">
        <f>勤務計画!AF74</f>
        <v>12:15</v>
      </c>
      <c r="AG12" s="166" t="str">
        <f>勤務計画!AG74</f>
        <v>12:15</v>
      </c>
      <c r="AH12" s="166" t="str">
        <f>勤務計画!AH74</f>
        <v>12:15</v>
      </c>
      <c r="AI12" s="166" t="str">
        <f>勤務計画!AI74</f>
        <v>12:15</v>
      </c>
      <c r="AJ12" s="166" t="str">
        <f>勤務計画!AJ74</f>
        <v>12:15</v>
      </c>
      <c r="AK12" s="166" t="str">
        <f>勤務計画!AK74</f>
        <v>12:15</v>
      </c>
      <c r="AL12" s="166" t="str">
        <f>勤務計画!AL74</f>
        <v/>
      </c>
      <c r="AM12" s="2"/>
      <c r="AN12" s="162"/>
      <c r="AO12" s="2"/>
    </row>
    <row r="13" spans="7:41" x14ac:dyDescent="0.2">
      <c r="G13" s="168"/>
      <c r="H13" s="166" t="str">
        <f>勤務計画!H75</f>
        <v>-</v>
      </c>
      <c r="I13" s="166" t="str">
        <f>勤務計画!I75</f>
        <v>-</v>
      </c>
      <c r="J13" s="166" t="str">
        <f>勤務計画!J75</f>
        <v>-</v>
      </c>
      <c r="K13" s="166" t="str">
        <f>勤務計画!K75</f>
        <v>-</v>
      </c>
      <c r="L13" s="166" t="str">
        <f>勤務計画!L75</f>
        <v>-</v>
      </c>
      <c r="M13" s="166" t="str">
        <f>勤務計画!M75</f>
        <v>-</v>
      </c>
      <c r="N13" s="166" t="str">
        <f>勤務計画!N75</f>
        <v>-</v>
      </c>
      <c r="O13" s="166" t="str">
        <f>勤務計画!O75</f>
        <v>-</v>
      </c>
      <c r="P13" s="166" t="str">
        <f>勤務計画!P75</f>
        <v>-</v>
      </c>
      <c r="Q13" s="166" t="str">
        <f>勤務計画!Q75</f>
        <v>-</v>
      </c>
      <c r="R13" s="166" t="str">
        <f>勤務計画!R75</f>
        <v>-</v>
      </c>
      <c r="S13" s="166" t="str">
        <f>勤務計画!S75</f>
        <v>-</v>
      </c>
      <c r="T13" s="166" t="str">
        <f>勤務計画!T75</f>
        <v>-</v>
      </c>
      <c r="U13" s="166" t="str">
        <f>勤務計画!U75</f>
        <v>-</v>
      </c>
      <c r="V13" s="166" t="str">
        <f>勤務計画!V75</f>
        <v>-</v>
      </c>
      <c r="W13" s="166" t="str">
        <f>勤務計画!W75</f>
        <v>-</v>
      </c>
      <c r="X13" s="166" t="str">
        <f>勤務計画!X75</f>
        <v>-</v>
      </c>
      <c r="Y13" s="166" t="str">
        <f>勤務計画!Y75</f>
        <v>-</v>
      </c>
      <c r="Z13" s="166" t="str">
        <f>勤務計画!Z75</f>
        <v>-</v>
      </c>
      <c r="AA13" s="166" t="str">
        <f>勤務計画!AA75</f>
        <v>-</v>
      </c>
      <c r="AB13" s="166" t="str">
        <f>勤務計画!AB75</f>
        <v>-</v>
      </c>
      <c r="AC13" s="166" t="str">
        <f>勤務計画!AC75</f>
        <v>-</v>
      </c>
      <c r="AD13" s="166" t="str">
        <f>勤務計画!AD75</f>
        <v>-</v>
      </c>
      <c r="AE13" s="166" t="str">
        <f>勤務計画!AE75</f>
        <v>-</v>
      </c>
      <c r="AF13" s="166" t="str">
        <f>勤務計画!AF75</f>
        <v>-</v>
      </c>
      <c r="AG13" s="166" t="str">
        <f>勤務計画!AG75</f>
        <v>-</v>
      </c>
      <c r="AH13" s="166" t="str">
        <f>勤務計画!AH75</f>
        <v>-</v>
      </c>
      <c r="AI13" s="166" t="str">
        <f>勤務計画!AI75</f>
        <v>-</v>
      </c>
      <c r="AJ13" s="166" t="str">
        <f>勤務計画!AJ75</f>
        <v>-</v>
      </c>
      <c r="AK13" s="166" t="str">
        <f>勤務計画!AK75</f>
        <v>-</v>
      </c>
      <c r="AL13" s="166" t="str">
        <f>勤務計画!AL75</f>
        <v/>
      </c>
      <c r="AM13" s="2"/>
      <c r="AN13" s="162"/>
      <c r="AO13" s="2"/>
    </row>
    <row r="14" spans="7:41" x14ac:dyDescent="0.2">
      <c r="G14" s="168">
        <f>勤務計画!$G$14</f>
        <v>0</v>
      </c>
      <c r="H14" s="166" t="str">
        <f>勤務計画!H76</f>
        <v>12:15</v>
      </c>
      <c r="I14" s="166" t="str">
        <f>勤務計画!I76</f>
        <v>12:15</v>
      </c>
      <c r="J14" s="166" t="str">
        <f>勤務計画!J76</f>
        <v>12:15</v>
      </c>
      <c r="K14" s="166" t="str">
        <f>勤務計画!K76</f>
        <v>12:15</v>
      </c>
      <c r="L14" s="166" t="str">
        <f>勤務計画!L76</f>
        <v>12:15</v>
      </c>
      <c r="M14" s="166" t="str">
        <f>勤務計画!M76</f>
        <v>12:15</v>
      </c>
      <c r="N14" s="166" t="str">
        <f>勤務計画!N76</f>
        <v>12:15</v>
      </c>
      <c r="O14" s="166" t="str">
        <f>勤務計画!O76</f>
        <v>12:15</v>
      </c>
      <c r="P14" s="166" t="str">
        <f>勤務計画!P76</f>
        <v>12:15</v>
      </c>
      <c r="Q14" s="166" t="str">
        <f>勤務計画!Q76</f>
        <v>12:15</v>
      </c>
      <c r="R14" s="166" t="str">
        <f>勤務計画!R76</f>
        <v>12:15</v>
      </c>
      <c r="S14" s="166" t="str">
        <f>勤務計画!S76</f>
        <v>12:15</v>
      </c>
      <c r="T14" s="166" t="str">
        <f>勤務計画!T76</f>
        <v>12:15</v>
      </c>
      <c r="U14" s="166" t="str">
        <f>勤務計画!U76</f>
        <v>12:15</v>
      </c>
      <c r="V14" s="166" t="str">
        <f>勤務計画!V76</f>
        <v>12:15</v>
      </c>
      <c r="W14" s="166" t="str">
        <f>勤務計画!W76</f>
        <v>12:15</v>
      </c>
      <c r="X14" s="166" t="str">
        <f>勤務計画!X76</f>
        <v>12:15</v>
      </c>
      <c r="Y14" s="166" t="str">
        <f>勤務計画!Y76</f>
        <v>12:15</v>
      </c>
      <c r="Z14" s="166" t="str">
        <f>勤務計画!Z76</f>
        <v>12:15</v>
      </c>
      <c r="AA14" s="166" t="str">
        <f>勤務計画!AA76</f>
        <v>12:15</v>
      </c>
      <c r="AB14" s="166" t="str">
        <f>勤務計画!AB76</f>
        <v>12:15</v>
      </c>
      <c r="AC14" s="166" t="str">
        <f>勤務計画!AC76</f>
        <v>12:15</v>
      </c>
      <c r="AD14" s="166" t="str">
        <f>勤務計画!AD76</f>
        <v>12:15</v>
      </c>
      <c r="AE14" s="166" t="str">
        <f>勤務計画!AE76</f>
        <v>12:15</v>
      </c>
      <c r="AF14" s="166" t="str">
        <f>勤務計画!AF76</f>
        <v>12:15</v>
      </c>
      <c r="AG14" s="166" t="str">
        <f>勤務計画!AG76</f>
        <v>12:15</v>
      </c>
      <c r="AH14" s="166" t="str">
        <f>勤務計画!AH76</f>
        <v>12:15</v>
      </c>
      <c r="AI14" s="166" t="str">
        <f>勤務計画!AI76</f>
        <v>12:15</v>
      </c>
      <c r="AJ14" s="166" t="str">
        <f>勤務計画!AJ76</f>
        <v>12:15</v>
      </c>
      <c r="AK14" s="166" t="str">
        <f>勤務計画!AK76</f>
        <v>12:15</v>
      </c>
      <c r="AL14" s="166" t="str">
        <f>勤務計画!AL76</f>
        <v/>
      </c>
      <c r="AM14" s="2"/>
      <c r="AN14" s="162"/>
      <c r="AO14" s="2"/>
    </row>
    <row r="15" spans="7:41" x14ac:dyDescent="0.2">
      <c r="G15" s="168"/>
      <c r="H15" s="166" t="str">
        <f>勤務計画!H77</f>
        <v>-</v>
      </c>
      <c r="I15" s="166" t="str">
        <f>勤務計画!I77</f>
        <v>-</v>
      </c>
      <c r="J15" s="166" t="str">
        <f>勤務計画!J77</f>
        <v>-</v>
      </c>
      <c r="K15" s="166" t="str">
        <f>勤務計画!K77</f>
        <v>-</v>
      </c>
      <c r="L15" s="166" t="str">
        <f>勤務計画!L77</f>
        <v>-</v>
      </c>
      <c r="M15" s="166" t="str">
        <f>勤務計画!M77</f>
        <v>-</v>
      </c>
      <c r="N15" s="166" t="str">
        <f>勤務計画!N77</f>
        <v>-</v>
      </c>
      <c r="O15" s="166" t="str">
        <f>勤務計画!O77</f>
        <v>-</v>
      </c>
      <c r="P15" s="166" t="str">
        <f>勤務計画!P77</f>
        <v>-</v>
      </c>
      <c r="Q15" s="166" t="str">
        <f>勤務計画!Q77</f>
        <v>-</v>
      </c>
      <c r="R15" s="166" t="str">
        <f>勤務計画!R77</f>
        <v>-</v>
      </c>
      <c r="S15" s="166" t="str">
        <f>勤務計画!S77</f>
        <v>-</v>
      </c>
      <c r="T15" s="166" t="str">
        <f>勤務計画!T77</f>
        <v>-</v>
      </c>
      <c r="U15" s="166" t="str">
        <f>勤務計画!U77</f>
        <v>-</v>
      </c>
      <c r="V15" s="166" t="str">
        <f>勤務計画!V77</f>
        <v>-</v>
      </c>
      <c r="W15" s="166" t="str">
        <f>勤務計画!W77</f>
        <v>-</v>
      </c>
      <c r="X15" s="166" t="str">
        <f>勤務計画!X77</f>
        <v>-</v>
      </c>
      <c r="Y15" s="166" t="str">
        <f>勤務計画!Y77</f>
        <v>-</v>
      </c>
      <c r="Z15" s="166" t="str">
        <f>勤務計画!Z77</f>
        <v>-</v>
      </c>
      <c r="AA15" s="166" t="str">
        <f>勤務計画!AA77</f>
        <v>-</v>
      </c>
      <c r="AB15" s="166" t="str">
        <f>勤務計画!AB77</f>
        <v>-</v>
      </c>
      <c r="AC15" s="166" t="str">
        <f>勤務計画!AC77</f>
        <v>-</v>
      </c>
      <c r="AD15" s="166" t="str">
        <f>勤務計画!AD77</f>
        <v>-</v>
      </c>
      <c r="AE15" s="166" t="str">
        <f>勤務計画!AE77</f>
        <v>-</v>
      </c>
      <c r="AF15" s="166" t="str">
        <f>勤務計画!AF77</f>
        <v>-</v>
      </c>
      <c r="AG15" s="166" t="str">
        <f>勤務計画!AG77</f>
        <v>-</v>
      </c>
      <c r="AH15" s="166" t="str">
        <f>勤務計画!AH77</f>
        <v>-</v>
      </c>
      <c r="AI15" s="166" t="str">
        <f>勤務計画!AI77</f>
        <v>-</v>
      </c>
      <c r="AJ15" s="166" t="str">
        <f>勤務計画!AJ77</f>
        <v>-</v>
      </c>
      <c r="AK15" s="166" t="str">
        <f>勤務計画!AK77</f>
        <v>-</v>
      </c>
      <c r="AL15" s="166" t="str">
        <f>勤務計画!AL77</f>
        <v/>
      </c>
      <c r="AM15" s="2"/>
      <c r="AN15" s="162"/>
      <c r="AO15" s="2"/>
    </row>
    <row r="16" spans="7:41" x14ac:dyDescent="0.2">
      <c r="G16" s="168">
        <f>勤務計画!$G$15</f>
        <v>0</v>
      </c>
      <c r="H16" s="166" t="str">
        <f>勤務計画!H78</f>
        <v>12:15</v>
      </c>
      <c r="I16" s="166" t="str">
        <f>勤務計画!I78</f>
        <v>12:15</v>
      </c>
      <c r="J16" s="166" t="str">
        <f>勤務計画!J78</f>
        <v>12:15</v>
      </c>
      <c r="K16" s="166" t="str">
        <f>勤務計画!K78</f>
        <v>12:15</v>
      </c>
      <c r="L16" s="166" t="str">
        <f>勤務計画!L78</f>
        <v>12:15</v>
      </c>
      <c r="M16" s="166" t="str">
        <f>勤務計画!M78</f>
        <v>12:15</v>
      </c>
      <c r="N16" s="166" t="str">
        <f>勤務計画!N78</f>
        <v>12:15</v>
      </c>
      <c r="O16" s="166" t="str">
        <f>勤務計画!O78</f>
        <v>12:15</v>
      </c>
      <c r="P16" s="166" t="str">
        <f>勤務計画!P78</f>
        <v>12:15</v>
      </c>
      <c r="Q16" s="166" t="str">
        <f>勤務計画!Q78</f>
        <v>12:15</v>
      </c>
      <c r="R16" s="166" t="str">
        <f>勤務計画!R78</f>
        <v>12:15</v>
      </c>
      <c r="S16" s="166" t="str">
        <f>勤務計画!S78</f>
        <v>12:15</v>
      </c>
      <c r="T16" s="166" t="str">
        <f>勤務計画!T78</f>
        <v>12:15</v>
      </c>
      <c r="U16" s="166" t="str">
        <f>勤務計画!U78</f>
        <v>12:15</v>
      </c>
      <c r="V16" s="166" t="str">
        <f>勤務計画!V78</f>
        <v>12:15</v>
      </c>
      <c r="W16" s="166" t="str">
        <f>勤務計画!W78</f>
        <v>12:15</v>
      </c>
      <c r="X16" s="166" t="str">
        <f>勤務計画!X78</f>
        <v>12:15</v>
      </c>
      <c r="Y16" s="166" t="str">
        <f>勤務計画!Y78</f>
        <v>12:15</v>
      </c>
      <c r="Z16" s="166" t="str">
        <f>勤務計画!Z78</f>
        <v>12:15</v>
      </c>
      <c r="AA16" s="166" t="str">
        <f>勤務計画!AA78</f>
        <v>12:15</v>
      </c>
      <c r="AB16" s="166" t="str">
        <f>勤務計画!AB78</f>
        <v>12:15</v>
      </c>
      <c r="AC16" s="166" t="str">
        <f>勤務計画!AC78</f>
        <v>12:15</v>
      </c>
      <c r="AD16" s="166" t="str">
        <f>勤務計画!AD78</f>
        <v>12:15</v>
      </c>
      <c r="AE16" s="166" t="str">
        <f>勤務計画!AE78</f>
        <v>12:15</v>
      </c>
      <c r="AF16" s="166" t="str">
        <f>勤務計画!AF78</f>
        <v>12:15</v>
      </c>
      <c r="AG16" s="166" t="str">
        <f>勤務計画!AG78</f>
        <v>12:15</v>
      </c>
      <c r="AH16" s="166" t="str">
        <f>勤務計画!AH78</f>
        <v>12:15</v>
      </c>
      <c r="AI16" s="166" t="str">
        <f>勤務計画!AI78</f>
        <v>12:15</v>
      </c>
      <c r="AJ16" s="166" t="str">
        <f>勤務計画!AJ78</f>
        <v>12:15</v>
      </c>
      <c r="AK16" s="166" t="str">
        <f>勤務計画!AK78</f>
        <v>12:15</v>
      </c>
      <c r="AL16" s="166" t="str">
        <f>勤務計画!AL78</f>
        <v/>
      </c>
      <c r="AM16" s="2"/>
      <c r="AN16" s="2"/>
      <c r="AO16" s="2"/>
    </row>
    <row r="17" spans="7:41" x14ac:dyDescent="0.2">
      <c r="G17" s="168"/>
      <c r="H17" s="166" t="str">
        <f>勤務計画!H79</f>
        <v>-</v>
      </c>
      <c r="I17" s="166" t="str">
        <f>勤務計画!I79</f>
        <v>-</v>
      </c>
      <c r="J17" s="166" t="str">
        <f>勤務計画!J79</f>
        <v>-</v>
      </c>
      <c r="K17" s="166" t="str">
        <f>勤務計画!K79</f>
        <v>-</v>
      </c>
      <c r="L17" s="166" t="str">
        <f>勤務計画!L79</f>
        <v>-</v>
      </c>
      <c r="M17" s="166" t="str">
        <f>勤務計画!M79</f>
        <v>-</v>
      </c>
      <c r="N17" s="166" t="str">
        <f>勤務計画!N79</f>
        <v>-</v>
      </c>
      <c r="O17" s="166" t="str">
        <f>勤務計画!O79</f>
        <v>-</v>
      </c>
      <c r="P17" s="166" t="str">
        <f>勤務計画!P79</f>
        <v>-</v>
      </c>
      <c r="Q17" s="166" t="str">
        <f>勤務計画!Q79</f>
        <v>-</v>
      </c>
      <c r="R17" s="166" t="str">
        <f>勤務計画!R79</f>
        <v>-</v>
      </c>
      <c r="S17" s="166" t="str">
        <f>勤務計画!S79</f>
        <v>-</v>
      </c>
      <c r="T17" s="166" t="str">
        <f>勤務計画!T79</f>
        <v>-</v>
      </c>
      <c r="U17" s="166" t="str">
        <f>勤務計画!U79</f>
        <v>-</v>
      </c>
      <c r="V17" s="166" t="str">
        <f>勤務計画!V79</f>
        <v>-</v>
      </c>
      <c r="W17" s="166" t="str">
        <f>勤務計画!W79</f>
        <v>-</v>
      </c>
      <c r="X17" s="166" t="str">
        <f>勤務計画!X79</f>
        <v>-</v>
      </c>
      <c r="Y17" s="166" t="str">
        <f>勤務計画!Y79</f>
        <v>-</v>
      </c>
      <c r="Z17" s="166" t="str">
        <f>勤務計画!Z79</f>
        <v>-</v>
      </c>
      <c r="AA17" s="166" t="str">
        <f>勤務計画!AA79</f>
        <v>-</v>
      </c>
      <c r="AB17" s="166" t="str">
        <f>勤務計画!AB79</f>
        <v>-</v>
      </c>
      <c r="AC17" s="166" t="str">
        <f>勤務計画!AC79</f>
        <v>-</v>
      </c>
      <c r="AD17" s="166" t="str">
        <f>勤務計画!AD79</f>
        <v>-</v>
      </c>
      <c r="AE17" s="166" t="str">
        <f>勤務計画!AE79</f>
        <v>-</v>
      </c>
      <c r="AF17" s="166" t="str">
        <f>勤務計画!AF79</f>
        <v>-</v>
      </c>
      <c r="AG17" s="166" t="str">
        <f>勤務計画!AG79</f>
        <v>-</v>
      </c>
      <c r="AH17" s="166" t="str">
        <f>勤務計画!AH79</f>
        <v>-</v>
      </c>
      <c r="AI17" s="166" t="str">
        <f>勤務計画!AI79</f>
        <v>-</v>
      </c>
      <c r="AJ17" s="166" t="str">
        <f>勤務計画!AJ79</f>
        <v>-</v>
      </c>
      <c r="AK17" s="166" t="str">
        <f>勤務計画!AK79</f>
        <v>-</v>
      </c>
      <c r="AL17" s="166" t="str">
        <f>勤務計画!AL79</f>
        <v/>
      </c>
      <c r="AN17" s="2"/>
      <c r="AO17" s="2"/>
    </row>
    <row r="18" spans="7:41" x14ac:dyDescent="0.2">
      <c r="G18" s="168">
        <f>勤務計画!$G$16</f>
        <v>0</v>
      </c>
      <c r="H18" s="166" t="str">
        <f>勤務計画!H80</f>
        <v/>
      </c>
      <c r="I18" s="166" t="str">
        <f>勤務計画!I80</f>
        <v/>
      </c>
      <c r="J18" s="166" t="str">
        <f>勤務計画!J80</f>
        <v/>
      </c>
      <c r="K18" s="166" t="str">
        <f>勤務計画!K80</f>
        <v/>
      </c>
      <c r="L18" s="166" t="str">
        <f>勤務計画!L80</f>
        <v/>
      </c>
      <c r="M18" s="166" t="str">
        <f>勤務計画!M80</f>
        <v/>
      </c>
      <c r="N18" s="166" t="str">
        <f>勤務計画!N80</f>
        <v/>
      </c>
      <c r="O18" s="166" t="str">
        <f>勤務計画!O80</f>
        <v/>
      </c>
      <c r="P18" s="166" t="str">
        <f>勤務計画!P80</f>
        <v/>
      </c>
      <c r="Q18" s="166" t="str">
        <f>勤務計画!Q80</f>
        <v/>
      </c>
      <c r="R18" s="166" t="str">
        <f>勤務計画!R80</f>
        <v/>
      </c>
      <c r="S18" s="166" t="str">
        <f>勤務計画!S80</f>
        <v/>
      </c>
      <c r="T18" s="166" t="str">
        <f>勤務計画!T80</f>
        <v/>
      </c>
      <c r="U18" s="166" t="str">
        <f>勤務計画!U80</f>
        <v/>
      </c>
      <c r="V18" s="166" t="str">
        <f>勤務計画!V80</f>
        <v/>
      </c>
      <c r="W18" s="166" t="str">
        <f>勤務計画!W80</f>
        <v/>
      </c>
      <c r="X18" s="166" t="str">
        <f>勤務計画!X80</f>
        <v/>
      </c>
      <c r="Y18" s="166" t="str">
        <f>勤務計画!Y80</f>
        <v/>
      </c>
      <c r="Z18" s="166" t="str">
        <f>勤務計画!Z80</f>
        <v/>
      </c>
      <c r="AA18" s="166" t="str">
        <f>勤務計画!AA80</f>
        <v/>
      </c>
      <c r="AB18" s="166" t="str">
        <f>勤務計画!AB80</f>
        <v/>
      </c>
      <c r="AC18" s="166" t="str">
        <f>勤務計画!AC80</f>
        <v/>
      </c>
      <c r="AD18" s="166" t="str">
        <f>勤務計画!AD80</f>
        <v/>
      </c>
      <c r="AE18" s="166" t="str">
        <f>勤務計画!AE80</f>
        <v/>
      </c>
      <c r="AF18" s="166" t="str">
        <f>勤務計画!AF80</f>
        <v/>
      </c>
      <c r="AG18" s="166" t="str">
        <f>勤務計画!AG80</f>
        <v/>
      </c>
      <c r="AH18" s="166" t="str">
        <f>勤務計画!AH80</f>
        <v/>
      </c>
      <c r="AI18" s="166" t="str">
        <f>勤務計画!AI80</f>
        <v/>
      </c>
      <c r="AJ18" s="166" t="str">
        <f>勤務計画!AJ80</f>
        <v/>
      </c>
      <c r="AK18" s="166" t="str">
        <f>勤務計画!AK80</f>
        <v/>
      </c>
      <c r="AL18" s="166" t="str">
        <f>勤務計画!AL80</f>
        <v/>
      </c>
    </row>
    <row r="19" spans="7:41" x14ac:dyDescent="0.2">
      <c r="G19" s="168"/>
      <c r="H19" s="166" t="str">
        <f>勤務計画!H81</f>
        <v/>
      </c>
      <c r="I19" s="166" t="str">
        <f>勤務計画!I81</f>
        <v/>
      </c>
      <c r="J19" s="166" t="str">
        <f>勤務計画!J81</f>
        <v/>
      </c>
      <c r="K19" s="166" t="str">
        <f>勤務計画!K81</f>
        <v/>
      </c>
      <c r="L19" s="166" t="str">
        <f>勤務計画!L81</f>
        <v/>
      </c>
      <c r="M19" s="166" t="str">
        <f>勤務計画!M81</f>
        <v/>
      </c>
      <c r="N19" s="166" t="str">
        <f>勤務計画!N81</f>
        <v/>
      </c>
      <c r="O19" s="166" t="str">
        <f>勤務計画!O81</f>
        <v/>
      </c>
      <c r="P19" s="166" t="str">
        <f>勤務計画!P81</f>
        <v/>
      </c>
      <c r="Q19" s="166" t="str">
        <f>勤務計画!Q81</f>
        <v/>
      </c>
      <c r="R19" s="166" t="str">
        <f>勤務計画!R81</f>
        <v/>
      </c>
      <c r="S19" s="166" t="str">
        <f>勤務計画!S81</f>
        <v/>
      </c>
      <c r="T19" s="166" t="str">
        <f>勤務計画!T81</f>
        <v/>
      </c>
      <c r="U19" s="166" t="str">
        <f>勤務計画!U81</f>
        <v/>
      </c>
      <c r="V19" s="166" t="str">
        <f>勤務計画!V81</f>
        <v/>
      </c>
      <c r="W19" s="166" t="str">
        <f>勤務計画!W81</f>
        <v/>
      </c>
      <c r="X19" s="166" t="str">
        <f>勤務計画!X81</f>
        <v/>
      </c>
      <c r="Y19" s="166" t="str">
        <f>勤務計画!Y81</f>
        <v/>
      </c>
      <c r="Z19" s="166" t="str">
        <f>勤務計画!Z81</f>
        <v/>
      </c>
      <c r="AA19" s="166" t="str">
        <f>勤務計画!AA81</f>
        <v/>
      </c>
      <c r="AB19" s="166" t="str">
        <f>勤務計画!AB81</f>
        <v/>
      </c>
      <c r="AC19" s="166" t="str">
        <f>勤務計画!AC81</f>
        <v/>
      </c>
      <c r="AD19" s="166" t="str">
        <f>勤務計画!AD81</f>
        <v/>
      </c>
      <c r="AE19" s="166" t="str">
        <f>勤務計画!AE81</f>
        <v/>
      </c>
      <c r="AF19" s="166" t="str">
        <f>勤務計画!AF81</f>
        <v/>
      </c>
      <c r="AG19" s="166" t="str">
        <f>勤務計画!AG81</f>
        <v/>
      </c>
      <c r="AH19" s="166" t="str">
        <f>勤務計画!AH81</f>
        <v/>
      </c>
      <c r="AI19" s="166" t="str">
        <f>勤務計画!AI81</f>
        <v/>
      </c>
      <c r="AJ19" s="166" t="str">
        <f>勤務計画!AJ81</f>
        <v/>
      </c>
      <c r="AK19" s="166" t="str">
        <f>勤務計画!AK81</f>
        <v/>
      </c>
      <c r="AL19" s="166" t="str">
        <f>勤務計画!AL81</f>
        <v/>
      </c>
    </row>
    <row r="20" spans="7:41" x14ac:dyDescent="0.2">
      <c r="G20" s="168">
        <f>勤務計画!$G$17</f>
        <v>0</v>
      </c>
      <c r="H20" s="166" t="str">
        <f>勤務計画!H82</f>
        <v/>
      </c>
      <c r="I20" s="166" t="str">
        <f>勤務計画!I82</f>
        <v/>
      </c>
      <c r="J20" s="166" t="str">
        <f>勤務計画!J82</f>
        <v/>
      </c>
      <c r="K20" s="166" t="str">
        <f>勤務計画!K82</f>
        <v/>
      </c>
      <c r="L20" s="166" t="str">
        <f>勤務計画!L82</f>
        <v/>
      </c>
      <c r="M20" s="166" t="str">
        <f>勤務計画!M82</f>
        <v/>
      </c>
      <c r="N20" s="166" t="str">
        <f>勤務計画!N82</f>
        <v/>
      </c>
      <c r="O20" s="166" t="str">
        <f>勤務計画!O82</f>
        <v/>
      </c>
      <c r="P20" s="166" t="str">
        <f>勤務計画!P82</f>
        <v/>
      </c>
      <c r="Q20" s="166" t="str">
        <f>勤務計画!Q82</f>
        <v/>
      </c>
      <c r="R20" s="166" t="str">
        <f>勤務計画!R82</f>
        <v/>
      </c>
      <c r="S20" s="166" t="str">
        <f>勤務計画!S82</f>
        <v/>
      </c>
      <c r="T20" s="166" t="str">
        <f>勤務計画!T82</f>
        <v/>
      </c>
      <c r="U20" s="166" t="str">
        <f>勤務計画!U82</f>
        <v/>
      </c>
      <c r="V20" s="166" t="str">
        <f>勤務計画!V82</f>
        <v/>
      </c>
      <c r="W20" s="166" t="str">
        <f>勤務計画!W82</f>
        <v/>
      </c>
      <c r="X20" s="166" t="str">
        <f>勤務計画!X82</f>
        <v/>
      </c>
      <c r="Y20" s="166" t="str">
        <f>勤務計画!Y82</f>
        <v/>
      </c>
      <c r="Z20" s="166" t="str">
        <f>勤務計画!Z82</f>
        <v/>
      </c>
      <c r="AA20" s="166" t="str">
        <f>勤務計画!AA82</f>
        <v/>
      </c>
      <c r="AB20" s="166" t="str">
        <f>勤務計画!AB82</f>
        <v/>
      </c>
      <c r="AC20" s="166" t="str">
        <f>勤務計画!AC82</f>
        <v/>
      </c>
      <c r="AD20" s="166" t="str">
        <f>勤務計画!AD82</f>
        <v/>
      </c>
      <c r="AE20" s="166" t="str">
        <f>勤務計画!AE82</f>
        <v/>
      </c>
      <c r="AF20" s="166" t="str">
        <f>勤務計画!AF82</f>
        <v/>
      </c>
      <c r="AG20" s="166" t="str">
        <f>勤務計画!AG82</f>
        <v/>
      </c>
      <c r="AH20" s="166" t="str">
        <f>勤務計画!AH82</f>
        <v/>
      </c>
      <c r="AI20" s="166" t="str">
        <f>勤務計画!AI82</f>
        <v/>
      </c>
      <c r="AJ20" s="166" t="str">
        <f>勤務計画!AJ82</f>
        <v/>
      </c>
      <c r="AK20" s="166" t="str">
        <f>勤務計画!AK82</f>
        <v/>
      </c>
      <c r="AL20" s="166" t="str">
        <f>勤務計画!AL82</f>
        <v/>
      </c>
    </row>
    <row r="21" spans="7:41" x14ac:dyDescent="0.2">
      <c r="G21" s="168"/>
      <c r="H21" s="166" t="str">
        <f>勤務計画!H83</f>
        <v/>
      </c>
      <c r="I21" s="166" t="str">
        <f>勤務計画!I83</f>
        <v/>
      </c>
      <c r="J21" s="166" t="str">
        <f>勤務計画!J83</f>
        <v/>
      </c>
      <c r="K21" s="166" t="str">
        <f>勤務計画!K83</f>
        <v/>
      </c>
      <c r="L21" s="166" t="str">
        <f>勤務計画!L83</f>
        <v/>
      </c>
      <c r="M21" s="166" t="str">
        <f>勤務計画!M83</f>
        <v/>
      </c>
      <c r="N21" s="166" t="str">
        <f>勤務計画!N83</f>
        <v/>
      </c>
      <c r="O21" s="166" t="str">
        <f>勤務計画!O83</f>
        <v/>
      </c>
      <c r="P21" s="166" t="str">
        <f>勤務計画!P83</f>
        <v/>
      </c>
      <c r="Q21" s="166" t="str">
        <f>勤務計画!Q83</f>
        <v/>
      </c>
      <c r="R21" s="166" t="str">
        <f>勤務計画!R83</f>
        <v/>
      </c>
      <c r="S21" s="166" t="str">
        <f>勤務計画!S83</f>
        <v/>
      </c>
      <c r="T21" s="166" t="str">
        <f>勤務計画!T83</f>
        <v/>
      </c>
      <c r="U21" s="166" t="str">
        <f>勤務計画!U83</f>
        <v/>
      </c>
      <c r="V21" s="166" t="str">
        <f>勤務計画!V83</f>
        <v/>
      </c>
      <c r="W21" s="166" t="str">
        <f>勤務計画!W83</f>
        <v/>
      </c>
      <c r="X21" s="166" t="str">
        <f>勤務計画!X83</f>
        <v/>
      </c>
      <c r="Y21" s="166" t="str">
        <f>勤務計画!Y83</f>
        <v/>
      </c>
      <c r="Z21" s="166" t="str">
        <f>勤務計画!Z83</f>
        <v/>
      </c>
      <c r="AA21" s="166" t="str">
        <f>勤務計画!AA83</f>
        <v/>
      </c>
      <c r="AB21" s="166" t="str">
        <f>勤務計画!AB83</f>
        <v/>
      </c>
      <c r="AC21" s="166" t="str">
        <f>勤務計画!AC83</f>
        <v/>
      </c>
      <c r="AD21" s="166" t="str">
        <f>勤務計画!AD83</f>
        <v/>
      </c>
      <c r="AE21" s="166" t="str">
        <f>勤務計画!AE83</f>
        <v/>
      </c>
      <c r="AF21" s="166" t="str">
        <f>勤務計画!AF83</f>
        <v/>
      </c>
      <c r="AG21" s="166" t="str">
        <f>勤務計画!AG83</f>
        <v/>
      </c>
      <c r="AH21" s="166" t="str">
        <f>勤務計画!AH83</f>
        <v/>
      </c>
      <c r="AI21" s="166" t="str">
        <f>勤務計画!AI83</f>
        <v/>
      </c>
      <c r="AJ21" s="166" t="str">
        <f>勤務計画!AJ83</f>
        <v/>
      </c>
      <c r="AK21" s="166" t="str">
        <f>勤務計画!AK83</f>
        <v/>
      </c>
      <c r="AL21" s="166" t="str">
        <f>勤務計画!AL83</f>
        <v/>
      </c>
    </row>
    <row r="22" spans="7:41" x14ac:dyDescent="0.2">
      <c r="G22" s="168">
        <f>勤務計画!$G$18</f>
        <v>0</v>
      </c>
      <c r="H22" s="166" t="str">
        <f>勤務計画!H84</f>
        <v/>
      </c>
      <c r="I22" s="166" t="str">
        <f>勤務計画!I84</f>
        <v/>
      </c>
      <c r="J22" s="166" t="str">
        <f>勤務計画!J84</f>
        <v/>
      </c>
      <c r="K22" s="166" t="str">
        <f>勤務計画!K84</f>
        <v/>
      </c>
      <c r="L22" s="166" t="str">
        <f>勤務計画!L84</f>
        <v/>
      </c>
      <c r="M22" s="166" t="str">
        <f>勤務計画!M84</f>
        <v/>
      </c>
      <c r="N22" s="166" t="str">
        <f>勤務計画!N84</f>
        <v/>
      </c>
      <c r="O22" s="166" t="str">
        <f>勤務計画!O84</f>
        <v/>
      </c>
      <c r="P22" s="166" t="str">
        <f>勤務計画!P84</f>
        <v/>
      </c>
      <c r="Q22" s="166" t="str">
        <f>勤務計画!Q84</f>
        <v/>
      </c>
      <c r="R22" s="166" t="str">
        <f>勤務計画!R84</f>
        <v/>
      </c>
      <c r="S22" s="166" t="str">
        <f>勤務計画!S84</f>
        <v/>
      </c>
      <c r="T22" s="166" t="str">
        <f>勤務計画!T84</f>
        <v/>
      </c>
      <c r="U22" s="166" t="str">
        <f>勤務計画!U84</f>
        <v/>
      </c>
      <c r="V22" s="166" t="str">
        <f>勤務計画!V84</f>
        <v/>
      </c>
      <c r="W22" s="166" t="str">
        <f>勤務計画!W84</f>
        <v/>
      </c>
      <c r="X22" s="166" t="str">
        <f>勤務計画!X84</f>
        <v/>
      </c>
      <c r="Y22" s="166" t="str">
        <f>勤務計画!Y84</f>
        <v/>
      </c>
      <c r="Z22" s="166" t="str">
        <f>勤務計画!Z84</f>
        <v/>
      </c>
      <c r="AA22" s="166" t="str">
        <f>勤務計画!AA84</f>
        <v/>
      </c>
      <c r="AB22" s="166" t="str">
        <f>勤務計画!AB84</f>
        <v/>
      </c>
      <c r="AC22" s="166" t="str">
        <f>勤務計画!AC84</f>
        <v/>
      </c>
      <c r="AD22" s="166" t="str">
        <f>勤務計画!AD84</f>
        <v/>
      </c>
      <c r="AE22" s="166" t="str">
        <f>勤務計画!AE84</f>
        <v/>
      </c>
      <c r="AF22" s="166" t="str">
        <f>勤務計画!AF84</f>
        <v/>
      </c>
      <c r="AG22" s="166" t="str">
        <f>勤務計画!AG84</f>
        <v/>
      </c>
      <c r="AH22" s="166" t="str">
        <f>勤務計画!AH84</f>
        <v/>
      </c>
      <c r="AI22" s="166" t="str">
        <f>勤務計画!AI84</f>
        <v/>
      </c>
      <c r="AJ22" s="166" t="str">
        <f>勤務計画!AJ84</f>
        <v/>
      </c>
      <c r="AK22" s="166" t="str">
        <f>勤務計画!AK84</f>
        <v/>
      </c>
      <c r="AL22" s="166" t="str">
        <f>勤務計画!AL84</f>
        <v/>
      </c>
    </row>
    <row r="23" spans="7:41" x14ac:dyDescent="0.2">
      <c r="G23" s="168"/>
      <c r="H23" s="166" t="str">
        <f>勤務計画!H85</f>
        <v/>
      </c>
      <c r="I23" s="166" t="str">
        <f>勤務計画!I85</f>
        <v/>
      </c>
      <c r="J23" s="166" t="str">
        <f>勤務計画!J85</f>
        <v/>
      </c>
      <c r="K23" s="166" t="str">
        <f>勤務計画!K85</f>
        <v/>
      </c>
      <c r="L23" s="166" t="str">
        <f>勤務計画!L85</f>
        <v/>
      </c>
      <c r="M23" s="166" t="str">
        <f>勤務計画!M85</f>
        <v/>
      </c>
      <c r="N23" s="166" t="str">
        <f>勤務計画!N85</f>
        <v/>
      </c>
      <c r="O23" s="166" t="str">
        <f>勤務計画!O85</f>
        <v/>
      </c>
      <c r="P23" s="166" t="str">
        <f>勤務計画!P85</f>
        <v/>
      </c>
      <c r="Q23" s="166" t="str">
        <f>勤務計画!Q85</f>
        <v/>
      </c>
      <c r="R23" s="166" t="str">
        <f>勤務計画!R85</f>
        <v/>
      </c>
      <c r="S23" s="166" t="str">
        <f>勤務計画!S85</f>
        <v/>
      </c>
      <c r="T23" s="166" t="str">
        <f>勤務計画!T85</f>
        <v/>
      </c>
      <c r="U23" s="166" t="str">
        <f>勤務計画!U85</f>
        <v/>
      </c>
      <c r="V23" s="166" t="str">
        <f>勤務計画!V85</f>
        <v/>
      </c>
      <c r="W23" s="166" t="str">
        <f>勤務計画!W85</f>
        <v/>
      </c>
      <c r="X23" s="166" t="str">
        <f>勤務計画!X85</f>
        <v/>
      </c>
      <c r="Y23" s="166" t="str">
        <f>勤務計画!Y85</f>
        <v/>
      </c>
      <c r="Z23" s="166" t="str">
        <f>勤務計画!Z85</f>
        <v/>
      </c>
      <c r="AA23" s="166" t="str">
        <f>勤務計画!AA85</f>
        <v/>
      </c>
      <c r="AB23" s="166" t="str">
        <f>勤務計画!AB85</f>
        <v/>
      </c>
      <c r="AC23" s="166" t="str">
        <f>勤務計画!AC85</f>
        <v/>
      </c>
      <c r="AD23" s="166" t="str">
        <f>勤務計画!AD85</f>
        <v/>
      </c>
      <c r="AE23" s="166" t="str">
        <f>勤務計画!AE85</f>
        <v/>
      </c>
      <c r="AF23" s="166" t="str">
        <f>勤務計画!AF85</f>
        <v/>
      </c>
      <c r="AG23" s="166" t="str">
        <f>勤務計画!AG85</f>
        <v/>
      </c>
      <c r="AH23" s="166" t="str">
        <f>勤務計画!AH85</f>
        <v/>
      </c>
      <c r="AI23" s="166" t="str">
        <f>勤務計画!AI85</f>
        <v/>
      </c>
      <c r="AJ23" s="166" t="str">
        <f>勤務計画!AJ85</f>
        <v/>
      </c>
      <c r="AK23" s="166" t="str">
        <f>勤務計画!AK85</f>
        <v/>
      </c>
      <c r="AL23" s="166" t="str">
        <f>勤務計画!AL85</f>
        <v/>
      </c>
    </row>
    <row r="24" spans="7:41" x14ac:dyDescent="0.2">
      <c r="G24" s="168">
        <f>勤務計画!$G$19</f>
        <v>0</v>
      </c>
      <c r="H24" s="166" t="str">
        <f>勤務計画!H86</f>
        <v/>
      </c>
      <c r="I24" s="166" t="str">
        <f>勤務計画!I86</f>
        <v/>
      </c>
      <c r="J24" s="166" t="str">
        <f>勤務計画!J86</f>
        <v/>
      </c>
      <c r="K24" s="166" t="str">
        <f>勤務計画!K86</f>
        <v/>
      </c>
      <c r="L24" s="166" t="str">
        <f>勤務計画!L86</f>
        <v/>
      </c>
      <c r="M24" s="166" t="str">
        <f>勤務計画!M86</f>
        <v/>
      </c>
      <c r="N24" s="166" t="str">
        <f>勤務計画!N86</f>
        <v/>
      </c>
      <c r="O24" s="166" t="str">
        <f>勤務計画!O86</f>
        <v/>
      </c>
      <c r="P24" s="166" t="str">
        <f>勤務計画!P86</f>
        <v/>
      </c>
      <c r="Q24" s="166" t="str">
        <f>勤務計画!Q86</f>
        <v/>
      </c>
      <c r="R24" s="166" t="str">
        <f>勤務計画!R86</f>
        <v/>
      </c>
      <c r="S24" s="166" t="str">
        <f>勤務計画!S86</f>
        <v/>
      </c>
      <c r="T24" s="166" t="str">
        <f>勤務計画!T86</f>
        <v/>
      </c>
      <c r="U24" s="166" t="str">
        <f>勤務計画!U86</f>
        <v/>
      </c>
      <c r="V24" s="166" t="str">
        <f>勤務計画!V86</f>
        <v/>
      </c>
      <c r="W24" s="166" t="str">
        <f>勤務計画!W86</f>
        <v/>
      </c>
      <c r="X24" s="166" t="str">
        <f>勤務計画!X86</f>
        <v/>
      </c>
      <c r="Y24" s="166" t="str">
        <f>勤務計画!Y86</f>
        <v/>
      </c>
      <c r="Z24" s="166" t="str">
        <f>勤務計画!Z86</f>
        <v/>
      </c>
      <c r="AA24" s="166" t="str">
        <f>勤務計画!AA86</f>
        <v/>
      </c>
      <c r="AB24" s="166" t="str">
        <f>勤務計画!AB86</f>
        <v/>
      </c>
      <c r="AC24" s="166" t="str">
        <f>勤務計画!AC86</f>
        <v/>
      </c>
      <c r="AD24" s="166" t="str">
        <f>勤務計画!AD86</f>
        <v/>
      </c>
      <c r="AE24" s="166" t="str">
        <f>勤務計画!AE86</f>
        <v/>
      </c>
      <c r="AF24" s="166" t="str">
        <f>勤務計画!AF86</f>
        <v/>
      </c>
      <c r="AG24" s="166" t="str">
        <f>勤務計画!AG86</f>
        <v/>
      </c>
      <c r="AH24" s="166" t="str">
        <f>勤務計画!AH86</f>
        <v/>
      </c>
      <c r="AI24" s="166" t="str">
        <f>勤務計画!AI86</f>
        <v/>
      </c>
      <c r="AJ24" s="166" t="str">
        <f>勤務計画!AJ86</f>
        <v/>
      </c>
      <c r="AK24" s="166" t="str">
        <f>勤務計画!AK86</f>
        <v/>
      </c>
      <c r="AL24" s="166" t="str">
        <f>勤務計画!AL86</f>
        <v/>
      </c>
    </row>
    <row r="25" spans="7:41" x14ac:dyDescent="0.2">
      <c r="G25" s="168"/>
      <c r="H25" s="166" t="str">
        <f>勤務計画!H87</f>
        <v/>
      </c>
      <c r="I25" s="166" t="str">
        <f>勤務計画!I87</f>
        <v/>
      </c>
      <c r="J25" s="166" t="str">
        <f>勤務計画!J87</f>
        <v/>
      </c>
      <c r="K25" s="166" t="str">
        <f>勤務計画!K87</f>
        <v/>
      </c>
      <c r="L25" s="166" t="str">
        <f>勤務計画!L87</f>
        <v/>
      </c>
      <c r="M25" s="166" t="str">
        <f>勤務計画!M87</f>
        <v/>
      </c>
      <c r="N25" s="166" t="str">
        <f>勤務計画!N87</f>
        <v/>
      </c>
      <c r="O25" s="166" t="str">
        <f>勤務計画!O87</f>
        <v/>
      </c>
      <c r="P25" s="166" t="str">
        <f>勤務計画!P87</f>
        <v/>
      </c>
      <c r="Q25" s="166" t="str">
        <f>勤務計画!Q87</f>
        <v/>
      </c>
      <c r="R25" s="166" t="str">
        <f>勤務計画!R87</f>
        <v/>
      </c>
      <c r="S25" s="166" t="str">
        <f>勤務計画!S87</f>
        <v/>
      </c>
      <c r="T25" s="166" t="str">
        <f>勤務計画!T87</f>
        <v/>
      </c>
      <c r="U25" s="166" t="str">
        <f>勤務計画!U87</f>
        <v/>
      </c>
      <c r="V25" s="166" t="str">
        <f>勤務計画!V87</f>
        <v/>
      </c>
      <c r="W25" s="166" t="str">
        <f>勤務計画!W87</f>
        <v/>
      </c>
      <c r="X25" s="166" t="str">
        <f>勤務計画!X87</f>
        <v/>
      </c>
      <c r="Y25" s="166" t="str">
        <f>勤務計画!Y87</f>
        <v/>
      </c>
      <c r="Z25" s="166" t="str">
        <f>勤務計画!Z87</f>
        <v/>
      </c>
      <c r="AA25" s="166" t="str">
        <f>勤務計画!AA87</f>
        <v/>
      </c>
      <c r="AB25" s="166" t="str">
        <f>勤務計画!AB87</f>
        <v/>
      </c>
      <c r="AC25" s="166" t="str">
        <f>勤務計画!AC87</f>
        <v/>
      </c>
      <c r="AD25" s="166" t="str">
        <f>勤務計画!AD87</f>
        <v/>
      </c>
      <c r="AE25" s="166" t="str">
        <f>勤務計画!AE87</f>
        <v/>
      </c>
      <c r="AF25" s="166" t="str">
        <f>勤務計画!AF87</f>
        <v/>
      </c>
      <c r="AG25" s="166" t="str">
        <f>勤務計画!AG87</f>
        <v/>
      </c>
      <c r="AH25" s="166" t="str">
        <f>勤務計画!AH87</f>
        <v/>
      </c>
      <c r="AI25" s="166" t="str">
        <f>勤務計画!AI87</f>
        <v/>
      </c>
      <c r="AJ25" s="166" t="str">
        <f>勤務計画!AJ87</f>
        <v/>
      </c>
      <c r="AK25" s="166" t="str">
        <f>勤務計画!AK87</f>
        <v/>
      </c>
      <c r="AL25" s="166" t="str">
        <f>勤務計画!AL87</f>
        <v/>
      </c>
    </row>
    <row r="26" spans="7:41" x14ac:dyDescent="0.2">
      <c r="G26" s="168">
        <f>勤務計画!$G$20</f>
        <v>0</v>
      </c>
      <c r="H26" s="166" t="str">
        <f>勤務計画!H88</f>
        <v/>
      </c>
      <c r="I26" s="166" t="str">
        <f>勤務計画!I88</f>
        <v/>
      </c>
      <c r="J26" s="166" t="str">
        <f>勤務計画!J88</f>
        <v/>
      </c>
      <c r="K26" s="166" t="str">
        <f>勤務計画!K88</f>
        <v/>
      </c>
      <c r="L26" s="166" t="str">
        <f>勤務計画!L88</f>
        <v/>
      </c>
      <c r="M26" s="166" t="str">
        <f>勤務計画!M88</f>
        <v/>
      </c>
      <c r="N26" s="166" t="str">
        <f>勤務計画!N88</f>
        <v/>
      </c>
      <c r="O26" s="166" t="str">
        <f>勤務計画!O88</f>
        <v/>
      </c>
      <c r="P26" s="166" t="str">
        <f>勤務計画!P88</f>
        <v/>
      </c>
      <c r="Q26" s="166" t="str">
        <f>勤務計画!Q88</f>
        <v/>
      </c>
      <c r="R26" s="166" t="str">
        <f>勤務計画!R88</f>
        <v/>
      </c>
      <c r="S26" s="166" t="str">
        <f>勤務計画!S88</f>
        <v/>
      </c>
      <c r="T26" s="166" t="str">
        <f>勤務計画!T88</f>
        <v/>
      </c>
      <c r="U26" s="166" t="str">
        <f>勤務計画!U88</f>
        <v/>
      </c>
      <c r="V26" s="166" t="str">
        <f>勤務計画!V88</f>
        <v/>
      </c>
      <c r="W26" s="166" t="str">
        <f>勤務計画!W88</f>
        <v/>
      </c>
      <c r="X26" s="166" t="str">
        <f>勤務計画!X88</f>
        <v/>
      </c>
      <c r="Y26" s="166" t="str">
        <f>勤務計画!Y88</f>
        <v/>
      </c>
      <c r="Z26" s="166" t="str">
        <f>勤務計画!Z88</f>
        <v/>
      </c>
      <c r="AA26" s="166" t="str">
        <f>勤務計画!AA88</f>
        <v/>
      </c>
      <c r="AB26" s="166" t="str">
        <f>勤務計画!AB88</f>
        <v/>
      </c>
      <c r="AC26" s="166" t="str">
        <f>勤務計画!AC88</f>
        <v/>
      </c>
      <c r="AD26" s="166" t="str">
        <f>勤務計画!AD88</f>
        <v/>
      </c>
      <c r="AE26" s="166" t="str">
        <f>勤務計画!AE88</f>
        <v/>
      </c>
      <c r="AF26" s="166" t="str">
        <f>勤務計画!AF88</f>
        <v/>
      </c>
      <c r="AG26" s="166" t="str">
        <f>勤務計画!AG88</f>
        <v/>
      </c>
      <c r="AH26" s="166" t="str">
        <f>勤務計画!AH88</f>
        <v/>
      </c>
      <c r="AI26" s="166" t="str">
        <f>勤務計画!AI88</f>
        <v/>
      </c>
      <c r="AJ26" s="166" t="str">
        <f>勤務計画!AJ88</f>
        <v/>
      </c>
      <c r="AK26" s="166" t="str">
        <f>勤務計画!AK88</f>
        <v/>
      </c>
      <c r="AL26" s="166" t="str">
        <f>勤務計画!AL88</f>
        <v/>
      </c>
    </row>
    <row r="27" spans="7:41" x14ac:dyDescent="0.2">
      <c r="G27" s="168"/>
      <c r="H27" s="166" t="str">
        <f>勤務計画!H89</f>
        <v/>
      </c>
      <c r="I27" s="166" t="str">
        <f>勤務計画!I89</f>
        <v/>
      </c>
      <c r="J27" s="166" t="str">
        <f>勤務計画!J89</f>
        <v/>
      </c>
      <c r="K27" s="166" t="str">
        <f>勤務計画!K89</f>
        <v/>
      </c>
      <c r="L27" s="166" t="str">
        <f>勤務計画!L89</f>
        <v/>
      </c>
      <c r="M27" s="166" t="str">
        <f>勤務計画!M89</f>
        <v/>
      </c>
      <c r="N27" s="166" t="str">
        <f>勤務計画!N89</f>
        <v/>
      </c>
      <c r="O27" s="166" t="str">
        <f>勤務計画!O89</f>
        <v/>
      </c>
      <c r="P27" s="166" t="str">
        <f>勤務計画!P89</f>
        <v/>
      </c>
      <c r="Q27" s="166" t="str">
        <f>勤務計画!Q89</f>
        <v/>
      </c>
      <c r="R27" s="166" t="str">
        <f>勤務計画!R89</f>
        <v/>
      </c>
      <c r="S27" s="166" t="str">
        <f>勤務計画!S89</f>
        <v/>
      </c>
      <c r="T27" s="166" t="str">
        <f>勤務計画!T89</f>
        <v/>
      </c>
      <c r="U27" s="166" t="str">
        <f>勤務計画!U89</f>
        <v/>
      </c>
      <c r="V27" s="166" t="str">
        <f>勤務計画!V89</f>
        <v/>
      </c>
      <c r="W27" s="166" t="str">
        <f>勤務計画!W89</f>
        <v/>
      </c>
      <c r="X27" s="166" t="str">
        <f>勤務計画!X89</f>
        <v/>
      </c>
      <c r="Y27" s="166" t="str">
        <f>勤務計画!Y89</f>
        <v/>
      </c>
      <c r="Z27" s="166" t="str">
        <f>勤務計画!Z89</f>
        <v/>
      </c>
      <c r="AA27" s="166" t="str">
        <f>勤務計画!AA89</f>
        <v/>
      </c>
      <c r="AB27" s="166" t="str">
        <f>勤務計画!AB89</f>
        <v/>
      </c>
      <c r="AC27" s="166" t="str">
        <f>勤務計画!AC89</f>
        <v/>
      </c>
      <c r="AD27" s="166" t="str">
        <f>勤務計画!AD89</f>
        <v/>
      </c>
      <c r="AE27" s="166" t="str">
        <f>勤務計画!AE89</f>
        <v/>
      </c>
      <c r="AF27" s="166" t="str">
        <f>勤務計画!AF89</f>
        <v/>
      </c>
      <c r="AG27" s="166" t="str">
        <f>勤務計画!AG89</f>
        <v/>
      </c>
      <c r="AH27" s="166" t="str">
        <f>勤務計画!AH89</f>
        <v/>
      </c>
      <c r="AI27" s="166" t="str">
        <f>勤務計画!AI89</f>
        <v/>
      </c>
      <c r="AJ27" s="166" t="str">
        <f>勤務計画!AJ89</f>
        <v/>
      </c>
      <c r="AK27" s="166" t="str">
        <f>勤務計画!AK89</f>
        <v/>
      </c>
      <c r="AL27" s="166" t="str">
        <f>勤務計画!AL89</f>
        <v/>
      </c>
    </row>
    <row r="28" spans="7:41" x14ac:dyDescent="0.2">
      <c r="G28" s="168">
        <f>勤務計画!$G$21</f>
        <v>0</v>
      </c>
      <c r="H28" s="166" t="str">
        <f>勤務計画!H90</f>
        <v/>
      </c>
      <c r="I28" s="166" t="str">
        <f>勤務計画!I90</f>
        <v/>
      </c>
      <c r="J28" s="166" t="str">
        <f>勤務計画!J90</f>
        <v/>
      </c>
      <c r="K28" s="166" t="str">
        <f>勤務計画!K90</f>
        <v/>
      </c>
      <c r="L28" s="166" t="str">
        <f>勤務計画!L90</f>
        <v/>
      </c>
      <c r="M28" s="166" t="str">
        <f>勤務計画!M90</f>
        <v/>
      </c>
      <c r="N28" s="166" t="str">
        <f>勤務計画!N90</f>
        <v/>
      </c>
      <c r="O28" s="166" t="str">
        <f>勤務計画!O90</f>
        <v/>
      </c>
      <c r="P28" s="166" t="str">
        <f>勤務計画!P90</f>
        <v/>
      </c>
      <c r="Q28" s="166" t="str">
        <f>勤務計画!Q90</f>
        <v/>
      </c>
      <c r="R28" s="166" t="str">
        <f>勤務計画!R90</f>
        <v/>
      </c>
      <c r="S28" s="166" t="str">
        <f>勤務計画!S90</f>
        <v/>
      </c>
      <c r="T28" s="166" t="str">
        <f>勤務計画!T90</f>
        <v/>
      </c>
      <c r="U28" s="166" t="str">
        <f>勤務計画!U90</f>
        <v/>
      </c>
      <c r="V28" s="166" t="str">
        <f>勤務計画!V90</f>
        <v/>
      </c>
      <c r="W28" s="166" t="str">
        <f>勤務計画!W90</f>
        <v/>
      </c>
      <c r="X28" s="166" t="str">
        <f>勤務計画!X90</f>
        <v/>
      </c>
      <c r="Y28" s="166" t="str">
        <f>勤務計画!Y90</f>
        <v/>
      </c>
      <c r="Z28" s="166" t="str">
        <f>勤務計画!Z90</f>
        <v/>
      </c>
      <c r="AA28" s="166" t="str">
        <f>勤務計画!AA90</f>
        <v/>
      </c>
      <c r="AB28" s="166" t="str">
        <f>勤務計画!AB90</f>
        <v/>
      </c>
      <c r="AC28" s="166" t="str">
        <f>勤務計画!AC90</f>
        <v/>
      </c>
      <c r="AD28" s="166" t="str">
        <f>勤務計画!AD90</f>
        <v/>
      </c>
      <c r="AE28" s="166" t="str">
        <f>勤務計画!AE90</f>
        <v/>
      </c>
      <c r="AF28" s="166" t="str">
        <f>勤務計画!AF90</f>
        <v/>
      </c>
      <c r="AG28" s="166" t="str">
        <f>勤務計画!AG90</f>
        <v/>
      </c>
      <c r="AH28" s="166" t="str">
        <f>勤務計画!AH90</f>
        <v/>
      </c>
      <c r="AI28" s="166" t="str">
        <f>勤務計画!AI90</f>
        <v/>
      </c>
      <c r="AJ28" s="166" t="str">
        <f>勤務計画!AJ90</f>
        <v/>
      </c>
      <c r="AK28" s="166" t="str">
        <f>勤務計画!AK90</f>
        <v/>
      </c>
      <c r="AL28" s="166" t="str">
        <f>勤務計画!AL90</f>
        <v/>
      </c>
    </row>
    <row r="29" spans="7:41" x14ac:dyDescent="0.2">
      <c r="G29" s="168"/>
      <c r="H29" s="166" t="str">
        <f>勤務計画!H91</f>
        <v/>
      </c>
      <c r="I29" s="166" t="str">
        <f>勤務計画!I91</f>
        <v/>
      </c>
      <c r="J29" s="166" t="str">
        <f>勤務計画!J91</f>
        <v/>
      </c>
      <c r="K29" s="166" t="str">
        <f>勤務計画!K91</f>
        <v/>
      </c>
      <c r="L29" s="166" t="str">
        <f>勤務計画!L91</f>
        <v/>
      </c>
      <c r="M29" s="166" t="str">
        <f>勤務計画!M91</f>
        <v/>
      </c>
      <c r="N29" s="166" t="str">
        <f>勤務計画!N91</f>
        <v/>
      </c>
      <c r="O29" s="166" t="str">
        <f>勤務計画!O91</f>
        <v/>
      </c>
      <c r="P29" s="166" t="str">
        <f>勤務計画!P91</f>
        <v/>
      </c>
      <c r="Q29" s="166" t="str">
        <f>勤務計画!Q91</f>
        <v/>
      </c>
      <c r="R29" s="166" t="str">
        <f>勤務計画!R91</f>
        <v/>
      </c>
      <c r="S29" s="166" t="str">
        <f>勤務計画!S91</f>
        <v/>
      </c>
      <c r="T29" s="166" t="str">
        <f>勤務計画!T91</f>
        <v/>
      </c>
      <c r="U29" s="166" t="str">
        <f>勤務計画!U91</f>
        <v/>
      </c>
      <c r="V29" s="166" t="str">
        <f>勤務計画!V91</f>
        <v/>
      </c>
      <c r="W29" s="166" t="str">
        <f>勤務計画!W91</f>
        <v/>
      </c>
      <c r="X29" s="166" t="str">
        <f>勤務計画!X91</f>
        <v/>
      </c>
      <c r="Y29" s="166" t="str">
        <f>勤務計画!Y91</f>
        <v/>
      </c>
      <c r="Z29" s="166" t="str">
        <f>勤務計画!Z91</f>
        <v/>
      </c>
      <c r="AA29" s="166" t="str">
        <f>勤務計画!AA91</f>
        <v/>
      </c>
      <c r="AB29" s="166" t="str">
        <f>勤務計画!AB91</f>
        <v/>
      </c>
      <c r="AC29" s="166" t="str">
        <f>勤務計画!AC91</f>
        <v/>
      </c>
      <c r="AD29" s="166" t="str">
        <f>勤務計画!AD91</f>
        <v/>
      </c>
      <c r="AE29" s="166" t="str">
        <f>勤務計画!AE91</f>
        <v/>
      </c>
      <c r="AF29" s="166" t="str">
        <f>勤務計画!AF91</f>
        <v/>
      </c>
      <c r="AG29" s="166" t="str">
        <f>勤務計画!AG91</f>
        <v/>
      </c>
      <c r="AH29" s="166" t="str">
        <f>勤務計画!AH91</f>
        <v/>
      </c>
      <c r="AI29" s="166" t="str">
        <f>勤務計画!AI91</f>
        <v/>
      </c>
      <c r="AJ29" s="166" t="str">
        <f>勤務計画!AJ91</f>
        <v/>
      </c>
      <c r="AK29" s="166" t="str">
        <f>勤務計画!AK91</f>
        <v/>
      </c>
      <c r="AL29" s="166" t="str">
        <f>勤務計画!AL91</f>
        <v/>
      </c>
    </row>
    <row r="30" spans="7:41" x14ac:dyDescent="0.2">
      <c r="G30" s="168">
        <f>勤務計画!$G$22</f>
        <v>0</v>
      </c>
      <c r="H30" s="166" t="str">
        <f>勤務計画!H92</f>
        <v/>
      </c>
      <c r="I30" s="166" t="str">
        <f>勤務計画!I92</f>
        <v/>
      </c>
      <c r="J30" s="166" t="str">
        <f>勤務計画!J92</f>
        <v/>
      </c>
      <c r="K30" s="166" t="str">
        <f>勤務計画!K92</f>
        <v/>
      </c>
      <c r="L30" s="166" t="str">
        <f>勤務計画!L92</f>
        <v/>
      </c>
      <c r="M30" s="166" t="str">
        <f>勤務計画!M92</f>
        <v/>
      </c>
      <c r="N30" s="166" t="str">
        <f>勤務計画!N92</f>
        <v/>
      </c>
      <c r="O30" s="166" t="str">
        <f>勤務計画!O92</f>
        <v/>
      </c>
      <c r="P30" s="166" t="str">
        <f>勤務計画!P92</f>
        <v/>
      </c>
      <c r="Q30" s="166" t="str">
        <f>勤務計画!Q92</f>
        <v/>
      </c>
      <c r="R30" s="166" t="str">
        <f>勤務計画!R92</f>
        <v/>
      </c>
      <c r="S30" s="166" t="str">
        <f>勤務計画!S92</f>
        <v/>
      </c>
      <c r="T30" s="166" t="str">
        <f>勤務計画!T92</f>
        <v/>
      </c>
      <c r="U30" s="166" t="str">
        <f>勤務計画!U92</f>
        <v/>
      </c>
      <c r="V30" s="166" t="str">
        <f>勤務計画!V92</f>
        <v/>
      </c>
      <c r="W30" s="166" t="str">
        <f>勤務計画!W92</f>
        <v/>
      </c>
      <c r="X30" s="166" t="str">
        <f>勤務計画!X92</f>
        <v/>
      </c>
      <c r="Y30" s="166" t="str">
        <f>勤務計画!Y92</f>
        <v/>
      </c>
      <c r="Z30" s="166" t="str">
        <f>勤務計画!Z92</f>
        <v/>
      </c>
      <c r="AA30" s="166" t="str">
        <f>勤務計画!AA92</f>
        <v/>
      </c>
      <c r="AB30" s="166" t="str">
        <f>勤務計画!AB92</f>
        <v/>
      </c>
      <c r="AC30" s="166" t="str">
        <f>勤務計画!AC92</f>
        <v/>
      </c>
      <c r="AD30" s="166" t="str">
        <f>勤務計画!AD92</f>
        <v/>
      </c>
      <c r="AE30" s="166" t="str">
        <f>勤務計画!AE92</f>
        <v/>
      </c>
      <c r="AF30" s="166" t="str">
        <f>勤務計画!AF92</f>
        <v/>
      </c>
      <c r="AG30" s="166" t="str">
        <f>勤務計画!AG92</f>
        <v/>
      </c>
      <c r="AH30" s="166" t="str">
        <f>勤務計画!AH92</f>
        <v/>
      </c>
      <c r="AI30" s="166" t="str">
        <f>勤務計画!AI92</f>
        <v/>
      </c>
      <c r="AJ30" s="166" t="str">
        <f>勤務計画!AJ92</f>
        <v/>
      </c>
      <c r="AK30" s="166" t="str">
        <f>勤務計画!AK92</f>
        <v/>
      </c>
      <c r="AL30" s="166" t="str">
        <f>勤務計画!AL92</f>
        <v/>
      </c>
    </row>
    <row r="31" spans="7:41" x14ac:dyDescent="0.2">
      <c r="G31" s="168"/>
      <c r="H31" s="166" t="str">
        <f>勤務計画!H93</f>
        <v/>
      </c>
      <c r="I31" s="166" t="str">
        <f>勤務計画!I93</f>
        <v/>
      </c>
      <c r="J31" s="166" t="str">
        <f>勤務計画!J93</f>
        <v/>
      </c>
      <c r="K31" s="166" t="str">
        <f>勤務計画!K93</f>
        <v/>
      </c>
      <c r="L31" s="166" t="str">
        <f>勤務計画!L93</f>
        <v/>
      </c>
      <c r="M31" s="166" t="str">
        <f>勤務計画!M93</f>
        <v/>
      </c>
      <c r="N31" s="166" t="str">
        <f>勤務計画!N93</f>
        <v/>
      </c>
      <c r="O31" s="166" t="str">
        <f>勤務計画!O93</f>
        <v/>
      </c>
      <c r="P31" s="166" t="str">
        <f>勤務計画!P93</f>
        <v/>
      </c>
      <c r="Q31" s="166" t="str">
        <f>勤務計画!Q93</f>
        <v/>
      </c>
      <c r="R31" s="166" t="str">
        <f>勤務計画!R93</f>
        <v/>
      </c>
      <c r="S31" s="166" t="str">
        <f>勤務計画!S93</f>
        <v/>
      </c>
      <c r="T31" s="166" t="str">
        <f>勤務計画!T93</f>
        <v/>
      </c>
      <c r="U31" s="166" t="str">
        <f>勤務計画!U93</f>
        <v/>
      </c>
      <c r="V31" s="166" t="str">
        <f>勤務計画!V93</f>
        <v/>
      </c>
      <c r="W31" s="166" t="str">
        <f>勤務計画!W93</f>
        <v/>
      </c>
      <c r="X31" s="166" t="str">
        <f>勤務計画!X93</f>
        <v/>
      </c>
      <c r="Y31" s="166" t="str">
        <f>勤務計画!Y93</f>
        <v/>
      </c>
      <c r="Z31" s="166" t="str">
        <f>勤務計画!Z93</f>
        <v/>
      </c>
      <c r="AA31" s="166" t="str">
        <f>勤務計画!AA93</f>
        <v/>
      </c>
      <c r="AB31" s="166" t="str">
        <f>勤務計画!AB93</f>
        <v/>
      </c>
      <c r="AC31" s="166" t="str">
        <f>勤務計画!AC93</f>
        <v/>
      </c>
      <c r="AD31" s="166" t="str">
        <f>勤務計画!AD93</f>
        <v/>
      </c>
      <c r="AE31" s="166" t="str">
        <f>勤務計画!AE93</f>
        <v/>
      </c>
      <c r="AF31" s="166" t="str">
        <f>勤務計画!AF93</f>
        <v/>
      </c>
      <c r="AG31" s="166" t="str">
        <f>勤務計画!AG93</f>
        <v/>
      </c>
      <c r="AH31" s="166" t="str">
        <f>勤務計画!AH93</f>
        <v/>
      </c>
      <c r="AI31" s="166" t="str">
        <f>勤務計画!AI93</f>
        <v/>
      </c>
      <c r="AJ31" s="166" t="str">
        <f>勤務計画!AJ93</f>
        <v/>
      </c>
      <c r="AK31" s="166" t="str">
        <f>勤務計画!AK93</f>
        <v/>
      </c>
      <c r="AL31" s="166" t="str">
        <f>勤務計画!AL93</f>
        <v/>
      </c>
    </row>
    <row r="32" spans="7:41" x14ac:dyDescent="0.2">
      <c r="G32" s="168">
        <f>勤務計画!$G$23</f>
        <v>0</v>
      </c>
      <c r="H32" s="166" t="str">
        <f>勤務計画!H94</f>
        <v/>
      </c>
      <c r="I32" s="166" t="str">
        <f>勤務計画!I94</f>
        <v/>
      </c>
      <c r="J32" s="166" t="str">
        <f>勤務計画!J94</f>
        <v/>
      </c>
      <c r="K32" s="166" t="str">
        <f>勤務計画!K94</f>
        <v/>
      </c>
      <c r="L32" s="166" t="str">
        <f>勤務計画!L94</f>
        <v/>
      </c>
      <c r="M32" s="166" t="str">
        <f>勤務計画!M94</f>
        <v/>
      </c>
      <c r="N32" s="166" t="str">
        <f>勤務計画!N94</f>
        <v/>
      </c>
      <c r="O32" s="166" t="str">
        <f>勤務計画!O94</f>
        <v/>
      </c>
      <c r="P32" s="166" t="str">
        <f>勤務計画!P94</f>
        <v/>
      </c>
      <c r="Q32" s="166" t="str">
        <f>勤務計画!Q94</f>
        <v/>
      </c>
      <c r="R32" s="166" t="str">
        <f>勤務計画!R94</f>
        <v/>
      </c>
      <c r="S32" s="166" t="str">
        <f>勤務計画!S94</f>
        <v/>
      </c>
      <c r="T32" s="166" t="str">
        <f>勤務計画!T94</f>
        <v/>
      </c>
      <c r="U32" s="166" t="str">
        <f>勤務計画!U94</f>
        <v/>
      </c>
      <c r="V32" s="166" t="str">
        <f>勤務計画!V94</f>
        <v/>
      </c>
      <c r="W32" s="166" t="str">
        <f>勤務計画!W94</f>
        <v/>
      </c>
      <c r="X32" s="166" t="str">
        <f>勤務計画!X94</f>
        <v/>
      </c>
      <c r="Y32" s="166" t="str">
        <f>勤務計画!Y94</f>
        <v/>
      </c>
      <c r="Z32" s="166" t="str">
        <f>勤務計画!Z94</f>
        <v/>
      </c>
      <c r="AA32" s="166" t="str">
        <f>勤務計画!AA94</f>
        <v/>
      </c>
      <c r="AB32" s="166" t="str">
        <f>勤務計画!AB94</f>
        <v/>
      </c>
      <c r="AC32" s="166" t="str">
        <f>勤務計画!AC94</f>
        <v/>
      </c>
      <c r="AD32" s="166" t="str">
        <f>勤務計画!AD94</f>
        <v/>
      </c>
      <c r="AE32" s="166" t="str">
        <f>勤務計画!AE94</f>
        <v/>
      </c>
      <c r="AF32" s="166" t="str">
        <f>勤務計画!AF94</f>
        <v/>
      </c>
      <c r="AG32" s="166" t="str">
        <f>勤務計画!AG94</f>
        <v/>
      </c>
      <c r="AH32" s="166" t="str">
        <f>勤務計画!AH94</f>
        <v/>
      </c>
      <c r="AI32" s="166" t="str">
        <f>勤務計画!AI94</f>
        <v/>
      </c>
      <c r="AJ32" s="166" t="str">
        <f>勤務計画!AJ94</f>
        <v/>
      </c>
      <c r="AK32" s="166" t="str">
        <f>勤務計画!AK94</f>
        <v/>
      </c>
      <c r="AL32" s="166" t="str">
        <f>勤務計画!AL94</f>
        <v/>
      </c>
    </row>
    <row r="33" spans="7:38" x14ac:dyDescent="0.2">
      <c r="G33" s="168"/>
      <c r="H33" s="166" t="str">
        <f>勤務計画!H95</f>
        <v/>
      </c>
      <c r="I33" s="166" t="str">
        <f>勤務計画!I95</f>
        <v/>
      </c>
      <c r="J33" s="166" t="str">
        <f>勤務計画!J95</f>
        <v/>
      </c>
      <c r="K33" s="166" t="str">
        <f>勤務計画!K95</f>
        <v/>
      </c>
      <c r="L33" s="166" t="str">
        <f>勤務計画!L95</f>
        <v/>
      </c>
      <c r="M33" s="166" t="str">
        <f>勤務計画!M95</f>
        <v/>
      </c>
      <c r="N33" s="166" t="str">
        <f>勤務計画!N95</f>
        <v/>
      </c>
      <c r="O33" s="166" t="str">
        <f>勤務計画!O95</f>
        <v/>
      </c>
      <c r="P33" s="166" t="str">
        <f>勤務計画!P95</f>
        <v/>
      </c>
      <c r="Q33" s="166" t="str">
        <f>勤務計画!Q95</f>
        <v/>
      </c>
      <c r="R33" s="166" t="str">
        <f>勤務計画!R95</f>
        <v/>
      </c>
      <c r="S33" s="166" t="str">
        <f>勤務計画!S95</f>
        <v/>
      </c>
      <c r="T33" s="166" t="str">
        <f>勤務計画!T95</f>
        <v/>
      </c>
      <c r="U33" s="166" t="str">
        <f>勤務計画!U95</f>
        <v/>
      </c>
      <c r="V33" s="166" t="str">
        <f>勤務計画!V95</f>
        <v/>
      </c>
      <c r="W33" s="166" t="str">
        <f>勤務計画!W95</f>
        <v/>
      </c>
      <c r="X33" s="166" t="str">
        <f>勤務計画!X95</f>
        <v/>
      </c>
      <c r="Y33" s="166" t="str">
        <f>勤務計画!Y95</f>
        <v/>
      </c>
      <c r="Z33" s="166" t="str">
        <f>勤務計画!Z95</f>
        <v/>
      </c>
      <c r="AA33" s="166" t="str">
        <f>勤務計画!AA95</f>
        <v/>
      </c>
      <c r="AB33" s="166" t="str">
        <f>勤務計画!AB95</f>
        <v/>
      </c>
      <c r="AC33" s="166" t="str">
        <f>勤務計画!AC95</f>
        <v/>
      </c>
      <c r="AD33" s="166" t="str">
        <f>勤務計画!AD95</f>
        <v/>
      </c>
      <c r="AE33" s="166" t="str">
        <f>勤務計画!AE95</f>
        <v/>
      </c>
      <c r="AF33" s="166" t="str">
        <f>勤務計画!AF95</f>
        <v/>
      </c>
      <c r="AG33" s="166" t="str">
        <f>勤務計画!AG95</f>
        <v/>
      </c>
      <c r="AH33" s="166" t="str">
        <f>勤務計画!AH95</f>
        <v/>
      </c>
      <c r="AI33" s="166" t="str">
        <f>勤務計画!AI95</f>
        <v/>
      </c>
      <c r="AJ33" s="166" t="str">
        <f>勤務計画!AJ95</f>
        <v/>
      </c>
      <c r="AK33" s="166" t="str">
        <f>勤務計画!AK95</f>
        <v/>
      </c>
      <c r="AL33" s="166" t="str">
        <f>勤務計画!AL95</f>
        <v/>
      </c>
    </row>
    <row r="34" spans="7:38" x14ac:dyDescent="0.2">
      <c r="G34" s="168">
        <f>勤務計画!$G$24</f>
        <v>0</v>
      </c>
      <c r="H34" s="166" t="str">
        <f>勤務計画!H96</f>
        <v/>
      </c>
      <c r="I34" s="166" t="str">
        <f>勤務計画!I96</f>
        <v/>
      </c>
      <c r="J34" s="166" t="str">
        <f>勤務計画!J96</f>
        <v/>
      </c>
      <c r="K34" s="166" t="str">
        <f>勤務計画!K96</f>
        <v/>
      </c>
      <c r="L34" s="166" t="str">
        <f>勤務計画!L96</f>
        <v/>
      </c>
      <c r="M34" s="166" t="str">
        <f>勤務計画!M96</f>
        <v/>
      </c>
      <c r="N34" s="166" t="str">
        <f>勤務計画!N96</f>
        <v/>
      </c>
      <c r="O34" s="166" t="str">
        <f>勤務計画!O96</f>
        <v/>
      </c>
      <c r="P34" s="166" t="str">
        <f>勤務計画!P96</f>
        <v/>
      </c>
      <c r="Q34" s="166" t="str">
        <f>勤務計画!Q96</f>
        <v/>
      </c>
      <c r="R34" s="166" t="str">
        <f>勤務計画!R96</f>
        <v/>
      </c>
      <c r="S34" s="166" t="str">
        <f>勤務計画!S96</f>
        <v/>
      </c>
      <c r="T34" s="166" t="str">
        <f>勤務計画!T96</f>
        <v/>
      </c>
      <c r="U34" s="166" t="str">
        <f>勤務計画!U96</f>
        <v/>
      </c>
      <c r="V34" s="166" t="str">
        <f>勤務計画!V96</f>
        <v/>
      </c>
      <c r="W34" s="166" t="str">
        <f>勤務計画!W96</f>
        <v/>
      </c>
      <c r="X34" s="166" t="str">
        <f>勤務計画!X96</f>
        <v/>
      </c>
      <c r="Y34" s="166" t="str">
        <f>勤務計画!Y96</f>
        <v/>
      </c>
      <c r="Z34" s="166" t="str">
        <f>勤務計画!Z96</f>
        <v/>
      </c>
      <c r="AA34" s="166" t="str">
        <f>勤務計画!AA96</f>
        <v/>
      </c>
      <c r="AB34" s="166" t="str">
        <f>勤務計画!AB96</f>
        <v/>
      </c>
      <c r="AC34" s="166" t="str">
        <f>勤務計画!AC96</f>
        <v/>
      </c>
      <c r="AD34" s="166" t="str">
        <f>勤務計画!AD96</f>
        <v/>
      </c>
      <c r="AE34" s="166" t="str">
        <f>勤務計画!AE96</f>
        <v/>
      </c>
      <c r="AF34" s="166" t="str">
        <f>勤務計画!AF96</f>
        <v/>
      </c>
      <c r="AG34" s="166" t="str">
        <f>勤務計画!AG96</f>
        <v/>
      </c>
      <c r="AH34" s="166" t="str">
        <f>勤務計画!AH96</f>
        <v/>
      </c>
      <c r="AI34" s="166" t="str">
        <f>勤務計画!AI96</f>
        <v/>
      </c>
      <c r="AJ34" s="166" t="str">
        <f>勤務計画!AJ96</f>
        <v/>
      </c>
      <c r="AK34" s="166" t="str">
        <f>勤務計画!AK96</f>
        <v/>
      </c>
      <c r="AL34" s="166" t="str">
        <f>勤務計画!AL96</f>
        <v/>
      </c>
    </row>
    <row r="35" spans="7:38" x14ac:dyDescent="0.2">
      <c r="G35" s="168"/>
      <c r="H35" s="166" t="str">
        <f>勤務計画!H97</f>
        <v/>
      </c>
      <c r="I35" s="166" t="str">
        <f>勤務計画!I97</f>
        <v/>
      </c>
      <c r="J35" s="166" t="str">
        <f>勤務計画!J97</f>
        <v/>
      </c>
      <c r="K35" s="166" t="str">
        <f>勤務計画!K97</f>
        <v/>
      </c>
      <c r="L35" s="166" t="str">
        <f>勤務計画!L97</f>
        <v/>
      </c>
      <c r="M35" s="166" t="str">
        <f>勤務計画!M97</f>
        <v/>
      </c>
      <c r="N35" s="166" t="str">
        <f>勤務計画!N97</f>
        <v/>
      </c>
      <c r="O35" s="166" t="str">
        <f>勤務計画!O97</f>
        <v/>
      </c>
      <c r="P35" s="166" t="str">
        <f>勤務計画!P97</f>
        <v/>
      </c>
      <c r="Q35" s="166" t="str">
        <f>勤務計画!Q97</f>
        <v/>
      </c>
      <c r="R35" s="166" t="str">
        <f>勤務計画!R97</f>
        <v/>
      </c>
      <c r="S35" s="166" t="str">
        <f>勤務計画!S97</f>
        <v/>
      </c>
      <c r="T35" s="166" t="str">
        <f>勤務計画!T97</f>
        <v/>
      </c>
      <c r="U35" s="166" t="str">
        <f>勤務計画!U97</f>
        <v/>
      </c>
      <c r="V35" s="166" t="str">
        <f>勤務計画!V97</f>
        <v/>
      </c>
      <c r="W35" s="166" t="str">
        <f>勤務計画!W97</f>
        <v/>
      </c>
      <c r="X35" s="166" t="str">
        <f>勤務計画!X97</f>
        <v/>
      </c>
      <c r="Y35" s="166" t="str">
        <f>勤務計画!Y97</f>
        <v/>
      </c>
      <c r="Z35" s="166" t="str">
        <f>勤務計画!Z97</f>
        <v/>
      </c>
      <c r="AA35" s="166" t="str">
        <f>勤務計画!AA97</f>
        <v/>
      </c>
      <c r="AB35" s="166" t="str">
        <f>勤務計画!AB97</f>
        <v/>
      </c>
      <c r="AC35" s="166" t="str">
        <f>勤務計画!AC97</f>
        <v/>
      </c>
      <c r="AD35" s="166" t="str">
        <f>勤務計画!AD97</f>
        <v/>
      </c>
      <c r="AE35" s="166" t="str">
        <f>勤務計画!AE97</f>
        <v/>
      </c>
      <c r="AF35" s="166" t="str">
        <f>勤務計画!AF97</f>
        <v/>
      </c>
      <c r="AG35" s="166" t="str">
        <f>勤務計画!AG97</f>
        <v/>
      </c>
      <c r="AH35" s="166" t="str">
        <f>勤務計画!AH97</f>
        <v/>
      </c>
      <c r="AI35" s="166" t="str">
        <f>勤務計画!AI97</f>
        <v/>
      </c>
      <c r="AJ35" s="166" t="str">
        <f>勤務計画!AJ97</f>
        <v/>
      </c>
      <c r="AK35" s="166" t="str">
        <f>勤務計画!AK97</f>
        <v/>
      </c>
      <c r="AL35" s="166" t="str">
        <f>勤務計画!AL97</f>
        <v/>
      </c>
    </row>
    <row r="36" spans="7:38" x14ac:dyDescent="0.2">
      <c r="G36" s="168">
        <f>勤務計画!$G$25</f>
        <v>0</v>
      </c>
      <c r="H36" s="166" t="str">
        <f>勤務計画!H98</f>
        <v>12:55</v>
      </c>
      <c r="I36" s="166" t="str">
        <f>勤務計画!I98</f>
        <v>12:55</v>
      </c>
      <c r="J36" s="166" t="str">
        <f>勤務計画!J98</f>
        <v>12:55</v>
      </c>
      <c r="K36" s="166" t="str">
        <f>勤務計画!K98</f>
        <v>12:55</v>
      </c>
      <c r="L36" s="166" t="str">
        <f>勤務計画!L98</f>
        <v>12:55</v>
      </c>
      <c r="M36" s="166" t="str">
        <f>勤務計画!M98</f>
        <v>12:55</v>
      </c>
      <c r="N36" s="166" t="str">
        <f>勤務計画!N98</f>
        <v>12:55</v>
      </c>
      <c r="O36" s="166" t="str">
        <f>勤務計画!O98</f>
        <v>12:55</v>
      </c>
      <c r="P36" s="166" t="str">
        <f>勤務計画!P98</f>
        <v>12:55</v>
      </c>
      <c r="Q36" s="166" t="str">
        <f>勤務計画!Q98</f>
        <v>12:55</v>
      </c>
      <c r="R36" s="166" t="str">
        <f>勤務計画!R98</f>
        <v>12:55</v>
      </c>
      <c r="S36" s="166" t="str">
        <f>勤務計画!S98</f>
        <v>12:55</v>
      </c>
      <c r="T36" s="166" t="str">
        <f>勤務計画!T98</f>
        <v>12:55</v>
      </c>
      <c r="U36" s="166" t="str">
        <f>勤務計画!U98</f>
        <v>12:55</v>
      </c>
      <c r="V36" s="166" t="str">
        <f>勤務計画!V98</f>
        <v>12:55</v>
      </c>
      <c r="W36" s="166" t="str">
        <f>勤務計画!W98</f>
        <v>12:55</v>
      </c>
      <c r="X36" s="166" t="str">
        <f>勤務計画!X98</f>
        <v>12:55</v>
      </c>
      <c r="Y36" s="166" t="str">
        <f>勤務計画!Y98</f>
        <v>12:55</v>
      </c>
      <c r="Z36" s="166" t="str">
        <f>勤務計画!Z98</f>
        <v>12:55</v>
      </c>
      <c r="AA36" s="166" t="str">
        <f>勤務計画!AA98</f>
        <v>12:55</v>
      </c>
      <c r="AB36" s="166" t="str">
        <f>勤務計画!AB98</f>
        <v>12:55</v>
      </c>
      <c r="AC36" s="166" t="str">
        <f>勤務計画!AC98</f>
        <v>12:55</v>
      </c>
      <c r="AD36" s="166" t="str">
        <f>勤務計画!AD98</f>
        <v>12:55</v>
      </c>
      <c r="AE36" s="166" t="str">
        <f>勤務計画!AE98</f>
        <v>12:55</v>
      </c>
      <c r="AF36" s="166" t="str">
        <f>勤務計画!AF98</f>
        <v>12:55</v>
      </c>
      <c r="AG36" s="166" t="str">
        <f>勤務計画!AG98</f>
        <v>12:55</v>
      </c>
      <c r="AH36" s="166" t="str">
        <f>勤務計画!AH98</f>
        <v>12:55</v>
      </c>
      <c r="AI36" s="166" t="str">
        <f>勤務計画!AI98</f>
        <v>12:55</v>
      </c>
      <c r="AJ36" s="166" t="str">
        <f>勤務計画!AJ98</f>
        <v>12:55</v>
      </c>
      <c r="AK36" s="166" t="str">
        <f>勤務計画!AK98</f>
        <v>12:55</v>
      </c>
      <c r="AL36" s="166" t="str">
        <f>勤務計画!AL98</f>
        <v/>
      </c>
    </row>
    <row r="37" spans="7:38" x14ac:dyDescent="0.2">
      <c r="G37" s="168"/>
      <c r="H37" s="166" t="str">
        <f>勤務計画!H99</f>
        <v>-</v>
      </c>
      <c r="I37" s="166" t="str">
        <f>勤務計画!I99</f>
        <v>-</v>
      </c>
      <c r="J37" s="166" t="str">
        <f>勤務計画!J99</f>
        <v>-</v>
      </c>
      <c r="K37" s="166" t="str">
        <f>勤務計画!K99</f>
        <v>-</v>
      </c>
      <c r="L37" s="166" t="str">
        <f>勤務計画!L99</f>
        <v>-</v>
      </c>
      <c r="M37" s="166" t="str">
        <f>勤務計画!M99</f>
        <v>-</v>
      </c>
      <c r="N37" s="166" t="str">
        <f>勤務計画!N99</f>
        <v>-</v>
      </c>
      <c r="O37" s="166" t="str">
        <f>勤務計画!O99</f>
        <v>-</v>
      </c>
      <c r="P37" s="166" t="str">
        <f>勤務計画!P99</f>
        <v>-</v>
      </c>
      <c r="Q37" s="166" t="str">
        <f>勤務計画!Q99</f>
        <v>-</v>
      </c>
      <c r="R37" s="166" t="str">
        <f>勤務計画!R99</f>
        <v>-</v>
      </c>
      <c r="S37" s="166" t="str">
        <f>勤務計画!S99</f>
        <v>-</v>
      </c>
      <c r="T37" s="166" t="str">
        <f>勤務計画!T99</f>
        <v>-</v>
      </c>
      <c r="U37" s="166" t="str">
        <f>勤務計画!U99</f>
        <v>-</v>
      </c>
      <c r="V37" s="166" t="str">
        <f>勤務計画!V99</f>
        <v>-</v>
      </c>
      <c r="W37" s="166" t="str">
        <f>勤務計画!W99</f>
        <v>-</v>
      </c>
      <c r="X37" s="166" t="str">
        <f>勤務計画!X99</f>
        <v>-</v>
      </c>
      <c r="Y37" s="166" t="str">
        <f>勤務計画!Y99</f>
        <v>-</v>
      </c>
      <c r="Z37" s="166" t="str">
        <f>勤務計画!Z99</f>
        <v>-</v>
      </c>
      <c r="AA37" s="166" t="str">
        <f>勤務計画!AA99</f>
        <v>-</v>
      </c>
      <c r="AB37" s="166" t="str">
        <f>勤務計画!AB99</f>
        <v>-</v>
      </c>
      <c r="AC37" s="166" t="str">
        <f>勤務計画!AC99</f>
        <v>-</v>
      </c>
      <c r="AD37" s="166" t="str">
        <f>勤務計画!AD99</f>
        <v>-</v>
      </c>
      <c r="AE37" s="166" t="str">
        <f>勤務計画!AE99</f>
        <v>-</v>
      </c>
      <c r="AF37" s="166" t="str">
        <f>勤務計画!AF99</f>
        <v>-</v>
      </c>
      <c r="AG37" s="166" t="str">
        <f>勤務計画!AG99</f>
        <v>-</v>
      </c>
      <c r="AH37" s="166" t="str">
        <f>勤務計画!AH99</f>
        <v>-</v>
      </c>
      <c r="AI37" s="166" t="str">
        <f>勤務計画!AI99</f>
        <v>-</v>
      </c>
      <c r="AJ37" s="166" t="str">
        <f>勤務計画!AJ99</f>
        <v>-</v>
      </c>
      <c r="AK37" s="166" t="str">
        <f>勤務計画!AK99</f>
        <v>-</v>
      </c>
      <c r="AL37" s="166" t="str">
        <f>勤務計画!AL99</f>
        <v/>
      </c>
    </row>
    <row r="38" spans="7:38" x14ac:dyDescent="0.2">
      <c r="G38" s="168">
        <f>勤務計画!$G$26</f>
        <v>0</v>
      </c>
      <c r="H38" s="166" t="str">
        <f>勤務計画!H100</f>
        <v>12:55</v>
      </c>
      <c r="I38" s="166" t="str">
        <f>勤務計画!I100</f>
        <v>12:55</v>
      </c>
      <c r="J38" s="166" t="str">
        <f>勤務計画!J100</f>
        <v>12:55</v>
      </c>
      <c r="K38" s="166" t="str">
        <f>勤務計画!K100</f>
        <v>12:55</v>
      </c>
      <c r="L38" s="166" t="str">
        <f>勤務計画!L100</f>
        <v>12:55</v>
      </c>
      <c r="M38" s="166" t="str">
        <f>勤務計画!M100</f>
        <v>12:55</v>
      </c>
      <c r="N38" s="166" t="str">
        <f>勤務計画!N100</f>
        <v>12:55</v>
      </c>
      <c r="O38" s="166" t="str">
        <f>勤務計画!O100</f>
        <v>12:55</v>
      </c>
      <c r="P38" s="166" t="str">
        <f>勤務計画!P100</f>
        <v>12:55</v>
      </c>
      <c r="Q38" s="166" t="str">
        <f>勤務計画!Q100</f>
        <v>12:55</v>
      </c>
      <c r="R38" s="166" t="str">
        <f>勤務計画!R100</f>
        <v>12:55</v>
      </c>
      <c r="S38" s="166" t="str">
        <f>勤務計画!S100</f>
        <v>12:55</v>
      </c>
      <c r="T38" s="166" t="str">
        <f>勤務計画!T100</f>
        <v>12:55</v>
      </c>
      <c r="U38" s="166" t="str">
        <f>勤務計画!U100</f>
        <v>12:55</v>
      </c>
      <c r="V38" s="166" t="str">
        <f>勤務計画!V100</f>
        <v>12:55</v>
      </c>
      <c r="W38" s="166" t="str">
        <f>勤務計画!W100</f>
        <v>12:55</v>
      </c>
      <c r="X38" s="166" t="str">
        <f>勤務計画!X100</f>
        <v>12:55</v>
      </c>
      <c r="Y38" s="166" t="str">
        <f>勤務計画!Y100</f>
        <v>12:55</v>
      </c>
      <c r="Z38" s="166" t="str">
        <f>勤務計画!Z100</f>
        <v>12:55</v>
      </c>
      <c r="AA38" s="166" t="str">
        <f>勤務計画!AA100</f>
        <v>12:55</v>
      </c>
      <c r="AB38" s="166" t="str">
        <f>勤務計画!AB100</f>
        <v>12:55</v>
      </c>
      <c r="AC38" s="166" t="str">
        <f>勤務計画!AC100</f>
        <v>12:55</v>
      </c>
      <c r="AD38" s="166" t="str">
        <f>勤務計画!AD100</f>
        <v>12:55</v>
      </c>
      <c r="AE38" s="166" t="str">
        <f>勤務計画!AE100</f>
        <v>12:55</v>
      </c>
      <c r="AF38" s="166" t="str">
        <f>勤務計画!AF100</f>
        <v>12:55</v>
      </c>
      <c r="AG38" s="166" t="str">
        <f>勤務計画!AG100</f>
        <v>12:55</v>
      </c>
      <c r="AH38" s="166" t="str">
        <f>勤務計画!AH100</f>
        <v>12:55</v>
      </c>
      <c r="AI38" s="166" t="str">
        <f>勤務計画!AI100</f>
        <v>12:55</v>
      </c>
      <c r="AJ38" s="166" t="str">
        <f>勤務計画!AJ100</f>
        <v>12:55</v>
      </c>
      <c r="AK38" s="166" t="str">
        <f>勤務計画!AK100</f>
        <v>12:55</v>
      </c>
      <c r="AL38" s="166" t="str">
        <f>勤務計画!AL100</f>
        <v/>
      </c>
    </row>
    <row r="39" spans="7:38" x14ac:dyDescent="0.2">
      <c r="G39" s="168"/>
      <c r="H39" s="166" t="str">
        <f>勤務計画!H101</f>
        <v>-</v>
      </c>
      <c r="I39" s="166" t="str">
        <f>勤務計画!I101</f>
        <v>-</v>
      </c>
      <c r="J39" s="166" t="str">
        <f>勤務計画!J101</f>
        <v>-</v>
      </c>
      <c r="K39" s="166" t="str">
        <f>勤務計画!K101</f>
        <v>-</v>
      </c>
      <c r="L39" s="166" t="str">
        <f>勤務計画!L101</f>
        <v>-</v>
      </c>
      <c r="M39" s="166" t="str">
        <f>勤務計画!M101</f>
        <v>-</v>
      </c>
      <c r="N39" s="166" t="str">
        <f>勤務計画!N101</f>
        <v>-</v>
      </c>
      <c r="O39" s="166" t="str">
        <f>勤務計画!O101</f>
        <v>-</v>
      </c>
      <c r="P39" s="166" t="str">
        <f>勤務計画!P101</f>
        <v>-</v>
      </c>
      <c r="Q39" s="166" t="str">
        <f>勤務計画!Q101</f>
        <v>-</v>
      </c>
      <c r="R39" s="166" t="str">
        <f>勤務計画!R101</f>
        <v>-</v>
      </c>
      <c r="S39" s="166" t="str">
        <f>勤務計画!S101</f>
        <v>-</v>
      </c>
      <c r="T39" s="166" t="str">
        <f>勤務計画!T101</f>
        <v>-</v>
      </c>
      <c r="U39" s="166" t="str">
        <f>勤務計画!U101</f>
        <v>-</v>
      </c>
      <c r="V39" s="166" t="str">
        <f>勤務計画!V101</f>
        <v>-</v>
      </c>
      <c r="W39" s="166" t="str">
        <f>勤務計画!W101</f>
        <v>-</v>
      </c>
      <c r="X39" s="166" t="str">
        <f>勤務計画!X101</f>
        <v>-</v>
      </c>
      <c r="Y39" s="166" t="str">
        <f>勤務計画!Y101</f>
        <v>-</v>
      </c>
      <c r="Z39" s="166" t="str">
        <f>勤務計画!Z101</f>
        <v>-</v>
      </c>
      <c r="AA39" s="166" t="str">
        <f>勤務計画!AA101</f>
        <v>-</v>
      </c>
      <c r="AB39" s="166" t="str">
        <f>勤務計画!AB101</f>
        <v>-</v>
      </c>
      <c r="AC39" s="166" t="str">
        <f>勤務計画!AC101</f>
        <v>-</v>
      </c>
      <c r="AD39" s="166" t="str">
        <f>勤務計画!AD101</f>
        <v>-</v>
      </c>
      <c r="AE39" s="166" t="str">
        <f>勤務計画!AE101</f>
        <v>-</v>
      </c>
      <c r="AF39" s="166" t="str">
        <f>勤務計画!AF101</f>
        <v>-</v>
      </c>
      <c r="AG39" s="166" t="str">
        <f>勤務計画!AG101</f>
        <v>-</v>
      </c>
      <c r="AH39" s="166" t="str">
        <f>勤務計画!AH101</f>
        <v>-</v>
      </c>
      <c r="AI39" s="166" t="str">
        <f>勤務計画!AI101</f>
        <v>-</v>
      </c>
      <c r="AJ39" s="166" t="str">
        <f>勤務計画!AJ101</f>
        <v>-</v>
      </c>
      <c r="AK39" s="166" t="str">
        <f>勤務計画!AK101</f>
        <v>-</v>
      </c>
      <c r="AL39" s="166" t="str">
        <f>勤務計画!AL101</f>
        <v/>
      </c>
    </row>
    <row r="40" spans="7:38" x14ac:dyDescent="0.2">
      <c r="G40" s="168" t="s">
        <v>149</v>
      </c>
      <c r="H40" s="166" t="str">
        <f>H36</f>
        <v>12:55</v>
      </c>
      <c r="I40" s="166" t="str">
        <f t="shared" ref="I40:AL40" si="0">I36</f>
        <v>12:55</v>
      </c>
      <c r="J40" s="166" t="str">
        <f t="shared" si="0"/>
        <v>12:55</v>
      </c>
      <c r="K40" s="166" t="str">
        <f t="shared" si="0"/>
        <v>12:55</v>
      </c>
      <c r="L40" s="166" t="str">
        <f t="shared" si="0"/>
        <v>12:55</v>
      </c>
      <c r="M40" s="166" t="str">
        <f t="shared" si="0"/>
        <v>12:55</v>
      </c>
      <c r="N40" s="166" t="str">
        <f t="shared" si="0"/>
        <v>12:55</v>
      </c>
      <c r="O40" s="166" t="str">
        <f t="shared" si="0"/>
        <v>12:55</v>
      </c>
      <c r="P40" s="166" t="str">
        <f t="shared" si="0"/>
        <v>12:55</v>
      </c>
      <c r="Q40" s="166" t="str">
        <f t="shared" si="0"/>
        <v>12:55</v>
      </c>
      <c r="R40" s="166" t="str">
        <f t="shared" si="0"/>
        <v>12:55</v>
      </c>
      <c r="S40" s="166" t="str">
        <f t="shared" si="0"/>
        <v>12:55</v>
      </c>
      <c r="T40" s="166" t="str">
        <f t="shared" si="0"/>
        <v>12:55</v>
      </c>
      <c r="U40" s="166" t="str">
        <f t="shared" si="0"/>
        <v>12:55</v>
      </c>
      <c r="V40" s="166" t="str">
        <f t="shared" si="0"/>
        <v>12:55</v>
      </c>
      <c r="W40" s="166" t="str">
        <f t="shared" si="0"/>
        <v>12:55</v>
      </c>
      <c r="X40" s="166" t="str">
        <f t="shared" si="0"/>
        <v>12:55</v>
      </c>
      <c r="Y40" s="166" t="str">
        <f t="shared" si="0"/>
        <v>12:55</v>
      </c>
      <c r="Z40" s="166" t="str">
        <f t="shared" si="0"/>
        <v>12:55</v>
      </c>
      <c r="AA40" s="166" t="str">
        <f t="shared" si="0"/>
        <v>12:55</v>
      </c>
      <c r="AB40" s="166" t="str">
        <f t="shared" si="0"/>
        <v>12:55</v>
      </c>
      <c r="AC40" s="166" t="str">
        <f t="shared" si="0"/>
        <v>12:55</v>
      </c>
      <c r="AD40" s="166" t="str">
        <f t="shared" si="0"/>
        <v>12:55</v>
      </c>
      <c r="AE40" s="166" t="str">
        <f t="shared" si="0"/>
        <v>12:55</v>
      </c>
      <c r="AF40" s="166" t="str">
        <f t="shared" si="0"/>
        <v>12:55</v>
      </c>
      <c r="AG40" s="166" t="str">
        <f t="shared" si="0"/>
        <v>12:55</v>
      </c>
      <c r="AH40" s="166" t="str">
        <f t="shared" si="0"/>
        <v>12:55</v>
      </c>
      <c r="AI40" s="166" t="str">
        <f t="shared" si="0"/>
        <v>12:55</v>
      </c>
      <c r="AJ40" s="166" t="str">
        <f t="shared" si="0"/>
        <v>12:55</v>
      </c>
      <c r="AK40" s="166" t="str">
        <f t="shared" si="0"/>
        <v>12:55</v>
      </c>
      <c r="AL40" s="166" t="str">
        <f t="shared" si="0"/>
        <v/>
      </c>
    </row>
    <row r="41" spans="7:38" x14ac:dyDescent="0.2">
      <c r="G41" s="168"/>
      <c r="H41" s="166" t="str">
        <f>H37</f>
        <v>-</v>
      </c>
      <c r="I41" s="166" t="str">
        <f t="shared" ref="I41:AL41" si="1">I37</f>
        <v>-</v>
      </c>
      <c r="J41" s="166" t="str">
        <f t="shared" si="1"/>
        <v>-</v>
      </c>
      <c r="K41" s="166" t="str">
        <f t="shared" si="1"/>
        <v>-</v>
      </c>
      <c r="L41" s="166" t="str">
        <f t="shared" si="1"/>
        <v>-</v>
      </c>
      <c r="M41" s="166" t="str">
        <f t="shared" si="1"/>
        <v>-</v>
      </c>
      <c r="N41" s="166" t="str">
        <f t="shared" si="1"/>
        <v>-</v>
      </c>
      <c r="O41" s="166" t="str">
        <f t="shared" si="1"/>
        <v>-</v>
      </c>
      <c r="P41" s="166" t="str">
        <f t="shared" si="1"/>
        <v>-</v>
      </c>
      <c r="Q41" s="166" t="str">
        <f t="shared" si="1"/>
        <v>-</v>
      </c>
      <c r="R41" s="166" t="str">
        <f t="shared" si="1"/>
        <v>-</v>
      </c>
      <c r="S41" s="166" t="str">
        <f t="shared" si="1"/>
        <v>-</v>
      </c>
      <c r="T41" s="166" t="str">
        <f t="shared" si="1"/>
        <v>-</v>
      </c>
      <c r="U41" s="166" t="str">
        <f t="shared" si="1"/>
        <v>-</v>
      </c>
      <c r="V41" s="166" t="str">
        <f t="shared" si="1"/>
        <v>-</v>
      </c>
      <c r="W41" s="166" t="str">
        <f t="shared" si="1"/>
        <v>-</v>
      </c>
      <c r="X41" s="166" t="str">
        <f t="shared" si="1"/>
        <v>-</v>
      </c>
      <c r="Y41" s="166" t="str">
        <f t="shared" si="1"/>
        <v>-</v>
      </c>
      <c r="Z41" s="166" t="str">
        <f t="shared" si="1"/>
        <v>-</v>
      </c>
      <c r="AA41" s="166" t="str">
        <f t="shared" si="1"/>
        <v>-</v>
      </c>
      <c r="AB41" s="166" t="str">
        <f t="shared" si="1"/>
        <v>-</v>
      </c>
      <c r="AC41" s="166" t="str">
        <f t="shared" si="1"/>
        <v>-</v>
      </c>
      <c r="AD41" s="166" t="str">
        <f t="shared" si="1"/>
        <v>-</v>
      </c>
      <c r="AE41" s="166" t="str">
        <f t="shared" si="1"/>
        <v>-</v>
      </c>
      <c r="AF41" s="166" t="str">
        <f t="shared" si="1"/>
        <v>-</v>
      </c>
      <c r="AG41" s="166" t="str">
        <f t="shared" si="1"/>
        <v>-</v>
      </c>
      <c r="AH41" s="166" t="str">
        <f t="shared" si="1"/>
        <v>-</v>
      </c>
      <c r="AI41" s="166" t="str">
        <f t="shared" si="1"/>
        <v>-</v>
      </c>
      <c r="AJ41" s="166" t="str">
        <f t="shared" si="1"/>
        <v>-</v>
      </c>
      <c r="AK41" s="166" t="str">
        <f t="shared" si="1"/>
        <v>-</v>
      </c>
      <c r="AL41" s="166" t="str">
        <f t="shared" si="1"/>
        <v/>
      </c>
    </row>
  </sheetData>
  <sheetProtection sheet="1" scenarios="1"/>
  <mergeCells count="84">
    <mergeCell ref="G34:G35"/>
    <mergeCell ref="G36:G37"/>
    <mergeCell ref="G38:G39"/>
    <mergeCell ref="G40:G41"/>
    <mergeCell ref="G22:G23"/>
    <mergeCell ref="G24:G25"/>
    <mergeCell ref="G26:G27"/>
    <mergeCell ref="G28:G29"/>
    <mergeCell ref="G30:G31"/>
    <mergeCell ref="G32:G33"/>
    <mergeCell ref="G10:G11"/>
    <mergeCell ref="G12:G13"/>
    <mergeCell ref="G14:G15"/>
    <mergeCell ref="G16:G17"/>
    <mergeCell ref="G18:G19"/>
    <mergeCell ref="G20:G21"/>
    <mergeCell ref="AG8:AG9"/>
    <mergeCell ref="AH8:AH9"/>
    <mergeCell ref="AI8:AI9"/>
    <mergeCell ref="AJ8:AJ9"/>
    <mergeCell ref="U8:U9"/>
    <mergeCell ref="V8:V9"/>
    <mergeCell ref="W8:W9"/>
    <mergeCell ref="X8:X9"/>
    <mergeCell ref="Y8:Y9"/>
    <mergeCell ref="Z8:Z9"/>
    <mergeCell ref="O8:O9"/>
    <mergeCell ref="P8:P9"/>
    <mergeCell ref="Q8:Q9"/>
    <mergeCell ref="R8:R9"/>
    <mergeCell ref="S8:S9"/>
    <mergeCell ref="AK8:AK9"/>
    <mergeCell ref="AL8:AL9"/>
    <mergeCell ref="AA8:AA9"/>
    <mergeCell ref="AB8:AB9"/>
    <mergeCell ref="AC8:AC9"/>
    <mergeCell ref="AD8:AD9"/>
    <mergeCell ref="AE8:AE9"/>
    <mergeCell ref="AF8:AF9"/>
    <mergeCell ref="T8:T9"/>
    <mergeCell ref="AK6:AK7"/>
    <mergeCell ref="AL6:AL7"/>
    <mergeCell ref="G8:G9"/>
    <mergeCell ref="H8:H9"/>
    <mergeCell ref="I8:I9"/>
    <mergeCell ref="J8:J9"/>
    <mergeCell ref="K8:K9"/>
    <mergeCell ref="L8:L9"/>
    <mergeCell ref="M8:M9"/>
    <mergeCell ref="N8:N9"/>
    <mergeCell ref="AE6:AE7"/>
    <mergeCell ref="AF6:AF7"/>
    <mergeCell ref="AG6:AG7"/>
    <mergeCell ref="AH6:AH7"/>
    <mergeCell ref="AI6:AI7"/>
    <mergeCell ref="W6:W7"/>
    <mergeCell ref="AJ6:AJ7"/>
    <mergeCell ref="Y6:Y7"/>
    <mergeCell ref="Z6:Z7"/>
    <mergeCell ref="AA6:AA7"/>
    <mergeCell ref="AB6:AB7"/>
    <mergeCell ref="AC6:AC7"/>
    <mergeCell ref="AD6:AD7"/>
    <mergeCell ref="R6:R7"/>
    <mergeCell ref="S6:S7"/>
    <mergeCell ref="T6:T7"/>
    <mergeCell ref="U6:U7"/>
    <mergeCell ref="V6:V7"/>
    <mergeCell ref="L6:L7"/>
    <mergeCell ref="L3:AE3"/>
    <mergeCell ref="AG3:AL3"/>
    <mergeCell ref="G4:I4"/>
    <mergeCell ref="AD5:AL5"/>
    <mergeCell ref="G6:G7"/>
    <mergeCell ref="H6:H7"/>
    <mergeCell ref="I6:I7"/>
    <mergeCell ref="J6:J7"/>
    <mergeCell ref="K6:K7"/>
    <mergeCell ref="X6:X7"/>
    <mergeCell ref="M6:M7"/>
    <mergeCell ref="N6:N7"/>
    <mergeCell ref="O6:O7"/>
    <mergeCell ref="P6:P7"/>
    <mergeCell ref="Q6:Q7"/>
  </mergeCells>
  <phoneticPr fontId="2"/>
  <printOptions horizontalCentered="1" verticalCentered="1"/>
  <pageMargins left="0.20833333333333334" right="0.20833333333333334" top="0.27777777777777779" bottom="0.1388888888888889" header="0.15748031496062992" footer="0.19685039370078741"/>
  <pageSetup paperSize="9" scale="99" orientation="landscape" errors="blank" horizontalDpi="4294967293" r:id="rId1"/>
  <headerFooter alignWithMargins="0"/>
  <rowBreaks count="1" manualBreakCount="1">
    <brk id="1" max="16383" man="1"/>
  </rowBreaks>
  <colBreaks count="1" manualBreakCount="1">
    <brk id="6"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AP46"/>
  <sheetViews>
    <sheetView showGridLines="0" showRowColHeaders="0" zoomScale="110" zoomScaleNormal="110" workbookViewId="0">
      <pane xSplit="29" ySplit="6" topLeftCell="AD7" activePane="bottomRight" state="frozen"/>
      <selection pane="topRight" activeCell="AD1" sqref="AD1"/>
      <selection pane="bottomLeft" activeCell="A7" sqref="A7"/>
      <selection pane="bottomRight" activeCell="E18" sqref="E18"/>
    </sheetView>
  </sheetViews>
  <sheetFormatPr defaultColWidth="9" defaultRowHeight="13.2" x14ac:dyDescent="0.2"/>
  <cols>
    <col min="1" max="1" width="2.88671875" customWidth="1"/>
    <col min="2" max="2" width="3.6640625" hidden="1" customWidth="1"/>
    <col min="3" max="3" width="7.109375" hidden="1" customWidth="1"/>
    <col min="4" max="4" width="9" style="11"/>
    <col min="5" max="5" width="12" style="17" customWidth="1"/>
    <col min="6" max="6" width="15.21875" style="17" customWidth="1"/>
    <col min="7" max="10" width="7.33203125" style="11" customWidth="1"/>
    <col min="11" max="11" width="12.6640625" hidden="1" customWidth="1"/>
    <col min="12" max="12" width="5.6640625" hidden="1" customWidth="1"/>
    <col min="13" max="13" width="9.109375" hidden="1" customWidth="1"/>
    <col min="14" max="17" width="5.6640625" hidden="1" customWidth="1"/>
    <col min="18" max="18" width="2.77734375" customWidth="1"/>
    <col min="19" max="19" width="7.109375" customWidth="1"/>
    <col min="20" max="20" width="6.44140625" customWidth="1"/>
    <col min="21" max="27" width="7.77734375" customWidth="1"/>
    <col min="28" max="28" width="7.21875" customWidth="1"/>
    <col min="29" max="29" width="13" customWidth="1"/>
    <col min="30" max="30" width="1.6640625" customWidth="1"/>
    <col min="31" max="42" width="10.33203125" customWidth="1"/>
  </cols>
  <sheetData>
    <row r="2" spans="3:42" ht="16.2" x14ac:dyDescent="0.2">
      <c r="D2" s="23" t="s">
        <v>20</v>
      </c>
      <c r="G2" s="208" t="s">
        <v>135</v>
      </c>
      <c r="H2" s="209"/>
      <c r="I2" s="209"/>
      <c r="J2" s="209"/>
    </row>
    <row r="3" spans="3:42" x14ac:dyDescent="0.2">
      <c r="G3" s="209"/>
      <c r="H3" s="209"/>
      <c r="I3" s="209"/>
      <c r="J3" s="209"/>
      <c r="S3" t="s">
        <v>43</v>
      </c>
    </row>
    <row r="4" spans="3:42" x14ac:dyDescent="0.2">
      <c r="D4" s="206" t="s">
        <v>111</v>
      </c>
      <c r="G4" t="s">
        <v>136</v>
      </c>
    </row>
    <row r="5" spans="3:42" ht="18.75" customHeight="1" x14ac:dyDescent="0.2">
      <c r="C5" s="25">
        <f>IF(D5&amp;E5&amp;F5&amp;G5&amp;H5&amp;I5&amp;J5&lt;&gt;K5&amp;L5&amp;M5&amp;N5&amp;O5&amp;P5&amp;Q5,1,0)</f>
        <v>1</v>
      </c>
      <c r="D5" s="207"/>
      <c r="G5" t="s">
        <v>79</v>
      </c>
      <c r="S5" s="12" t="s">
        <v>57</v>
      </c>
      <c r="T5" s="202"/>
      <c r="U5" s="203"/>
      <c r="V5" s="80" t="s">
        <v>58</v>
      </c>
      <c r="W5" s="204" t="str">
        <f>IF(KikanS="","",EDATE(KikanS,1)-1)</f>
        <v/>
      </c>
      <c r="X5" s="205"/>
      <c r="Y5" s="164"/>
      <c r="Z5" s="164"/>
      <c r="AA5" s="164"/>
    </row>
    <row r="6" spans="3:42" s="16" customFormat="1" ht="27" customHeight="1" x14ac:dyDescent="0.2">
      <c r="C6" s="20" t="s">
        <v>21</v>
      </c>
      <c r="D6" s="133" t="s">
        <v>19</v>
      </c>
      <c r="E6" s="134" t="s">
        <v>15</v>
      </c>
      <c r="F6" s="134" t="s">
        <v>16</v>
      </c>
      <c r="G6" s="133" t="s">
        <v>23</v>
      </c>
      <c r="H6" s="133" t="s">
        <v>22</v>
      </c>
      <c r="I6" s="133" t="s">
        <v>66</v>
      </c>
      <c r="J6" s="133" t="s">
        <v>68</v>
      </c>
      <c r="K6" s="20" t="s">
        <v>14</v>
      </c>
      <c r="L6" s="21" t="s">
        <v>15</v>
      </c>
      <c r="M6" s="21" t="s">
        <v>16</v>
      </c>
      <c r="N6" s="20" t="s">
        <v>17</v>
      </c>
      <c r="O6" s="20" t="s">
        <v>18</v>
      </c>
      <c r="P6" s="20" t="s">
        <v>66</v>
      </c>
      <c r="Q6" s="20" t="s">
        <v>67</v>
      </c>
      <c r="S6" s="137" t="s">
        <v>56</v>
      </c>
      <c r="T6" s="137" t="s">
        <v>30</v>
      </c>
      <c r="U6" s="73" t="s">
        <v>44</v>
      </c>
      <c r="V6" s="73" t="s">
        <v>45</v>
      </c>
      <c r="W6" s="73" t="s">
        <v>46</v>
      </c>
      <c r="X6" s="73" t="s">
        <v>48</v>
      </c>
      <c r="Y6" s="73" t="s">
        <v>146</v>
      </c>
      <c r="Z6" s="73" t="s">
        <v>145</v>
      </c>
      <c r="AA6" s="73" t="s">
        <v>147</v>
      </c>
      <c r="AB6" s="73" t="s">
        <v>148</v>
      </c>
      <c r="AC6" s="73" t="s">
        <v>69</v>
      </c>
    </row>
    <row r="7" spans="3:42" ht="18" customHeight="1" x14ac:dyDescent="0.2">
      <c r="C7" s="25"/>
      <c r="D7" s="20"/>
      <c r="E7" s="153"/>
      <c r="F7" s="224"/>
      <c r="G7" s="154"/>
      <c r="H7" s="154"/>
      <c r="I7" s="154"/>
      <c r="J7" s="154"/>
      <c r="K7" s="18"/>
      <c r="L7" s="22"/>
      <c r="M7" s="22"/>
      <c r="N7" s="19"/>
      <c r="O7" s="19"/>
      <c r="P7" s="19"/>
      <c r="Q7" s="24"/>
      <c r="S7" s="138">
        <v>1</v>
      </c>
      <c r="T7" s="139" t="s">
        <v>84</v>
      </c>
      <c r="U7" s="12">
        <v>8</v>
      </c>
      <c r="V7" s="12">
        <v>0</v>
      </c>
      <c r="W7" s="12">
        <v>0</v>
      </c>
      <c r="X7" s="12">
        <v>8</v>
      </c>
      <c r="Y7" s="165">
        <v>0.53819444444444442</v>
      </c>
      <c r="Z7" s="165">
        <v>0.51041666666666663</v>
      </c>
      <c r="AA7" s="12" t="s">
        <v>141</v>
      </c>
      <c r="AB7" s="12" t="s">
        <v>141</v>
      </c>
      <c r="AC7" s="81"/>
      <c r="AK7" s="12" t="str">
        <f>AC12&amp;""</f>
        <v/>
      </c>
      <c r="AL7" s="12" t="str">
        <f>AC11&amp;""</f>
        <v/>
      </c>
      <c r="AM7" s="12" t="str">
        <f>AC10&amp;""</f>
        <v/>
      </c>
      <c r="AN7" s="12" t="str">
        <f>AC9&amp;""</f>
        <v/>
      </c>
      <c r="AO7" s="12" t="str">
        <f>AC8&amp;""</f>
        <v/>
      </c>
      <c r="AP7" s="12" t="str">
        <f>AC7&amp;""</f>
        <v/>
      </c>
    </row>
    <row r="8" spans="3:42" ht="18" customHeight="1" x14ac:dyDescent="0.2">
      <c r="C8" s="25"/>
      <c r="D8" s="20"/>
      <c r="E8" s="153"/>
      <c r="F8" s="224"/>
      <c r="G8" s="154"/>
      <c r="H8" s="154"/>
      <c r="I8" s="154"/>
      <c r="J8" s="154"/>
      <c r="K8" s="18"/>
      <c r="L8" s="22"/>
      <c r="M8" s="22"/>
      <c r="N8" s="19"/>
      <c r="O8" s="19"/>
      <c r="P8" s="19"/>
      <c r="Q8" s="24"/>
      <c r="S8" s="138">
        <v>2</v>
      </c>
      <c r="T8" s="139" t="s">
        <v>85</v>
      </c>
      <c r="U8" s="12">
        <v>0</v>
      </c>
      <c r="V8" s="12">
        <v>8</v>
      </c>
      <c r="W8" s="12">
        <v>0</v>
      </c>
      <c r="X8" s="12">
        <v>8</v>
      </c>
      <c r="Y8" s="165">
        <v>0.53819444444444442</v>
      </c>
      <c r="Z8" s="165">
        <v>0.51041666666666663</v>
      </c>
      <c r="AA8" s="12" t="s">
        <v>141</v>
      </c>
      <c r="AB8" s="12" t="s">
        <v>141</v>
      </c>
      <c r="AC8" s="81"/>
      <c r="AK8" s="98"/>
      <c r="AL8" s="98"/>
      <c r="AM8" s="98"/>
      <c r="AN8" s="98"/>
      <c r="AO8" s="98"/>
      <c r="AP8" s="98"/>
    </row>
    <row r="9" spans="3:42" ht="18" customHeight="1" x14ac:dyDescent="0.2">
      <c r="C9" s="25"/>
      <c r="D9" s="20"/>
      <c r="E9" s="153"/>
      <c r="F9" s="224"/>
      <c r="G9" s="154"/>
      <c r="H9" s="154"/>
      <c r="I9" s="154"/>
      <c r="J9" s="154"/>
      <c r="K9" s="18"/>
      <c r="L9" s="22"/>
      <c r="M9" s="22"/>
      <c r="N9" s="19"/>
      <c r="O9" s="19"/>
      <c r="P9" s="19"/>
      <c r="Q9" s="24"/>
      <c r="S9" s="138">
        <v>3</v>
      </c>
      <c r="T9" s="139" t="s">
        <v>86</v>
      </c>
      <c r="U9" s="12">
        <v>0</v>
      </c>
      <c r="V9" s="12">
        <v>0</v>
      </c>
      <c r="W9" s="12">
        <v>8</v>
      </c>
      <c r="X9" s="12">
        <v>8</v>
      </c>
      <c r="Y9" s="165">
        <v>0.53819444444444442</v>
      </c>
      <c r="Z9" s="165">
        <v>0.51041666666666663</v>
      </c>
      <c r="AA9" s="12" t="s">
        <v>141</v>
      </c>
      <c r="AB9" s="12" t="s">
        <v>141</v>
      </c>
      <c r="AC9" s="81"/>
      <c r="AK9" s="99"/>
      <c r="AL9" s="99"/>
      <c r="AM9" s="99"/>
      <c r="AN9" s="99"/>
      <c r="AO9" s="99"/>
      <c r="AP9" s="99"/>
    </row>
    <row r="10" spans="3:42" ht="18" customHeight="1" x14ac:dyDescent="0.2">
      <c r="C10" s="25"/>
      <c r="D10" s="20"/>
      <c r="E10" s="153"/>
      <c r="F10" s="224"/>
      <c r="G10" s="154"/>
      <c r="H10" s="154"/>
      <c r="I10" s="154"/>
      <c r="J10" s="154"/>
      <c r="K10" s="18"/>
      <c r="L10" s="22"/>
      <c r="M10" s="22"/>
      <c r="N10" s="19"/>
      <c r="O10" s="19"/>
      <c r="P10" s="19"/>
      <c r="Q10" s="24"/>
      <c r="S10" s="138">
        <v>4</v>
      </c>
      <c r="T10" s="139" t="s">
        <v>87</v>
      </c>
      <c r="U10" s="12">
        <v>11</v>
      </c>
      <c r="V10" s="12">
        <v>0</v>
      </c>
      <c r="W10" s="12">
        <v>0</v>
      </c>
      <c r="X10" s="12">
        <v>11</v>
      </c>
      <c r="Y10" s="165">
        <v>0.53819444444444442</v>
      </c>
      <c r="Z10" s="165">
        <v>0.51041666666666663</v>
      </c>
      <c r="AA10" s="12" t="s">
        <v>141</v>
      </c>
      <c r="AB10" s="165">
        <v>0.77083333333333337</v>
      </c>
      <c r="AC10" s="81"/>
      <c r="AK10" s="100"/>
      <c r="AL10" s="100"/>
      <c r="AM10" s="100"/>
      <c r="AN10" s="100"/>
      <c r="AO10" s="100"/>
      <c r="AP10" s="100"/>
    </row>
    <row r="11" spans="3:42" ht="18" customHeight="1" x14ac:dyDescent="0.2">
      <c r="C11" s="25"/>
      <c r="D11" s="20"/>
      <c r="E11" s="153"/>
      <c r="F11" s="224"/>
      <c r="G11" s="154"/>
      <c r="H11" s="154"/>
      <c r="I11" s="154"/>
      <c r="J11" s="154"/>
      <c r="K11" s="18"/>
      <c r="L11" s="22"/>
      <c r="M11" s="22"/>
      <c r="N11" s="19"/>
      <c r="O11" s="19"/>
      <c r="P11" s="19"/>
      <c r="Q11" s="24"/>
      <c r="S11" s="138">
        <v>5</v>
      </c>
      <c r="T11" s="139" t="s">
        <v>88</v>
      </c>
      <c r="U11" s="12">
        <v>0</v>
      </c>
      <c r="V11" s="12">
        <v>11</v>
      </c>
      <c r="W11" s="12">
        <v>3</v>
      </c>
      <c r="X11" s="12">
        <v>11</v>
      </c>
      <c r="Y11" s="165">
        <v>0.53819444444444442</v>
      </c>
      <c r="Z11" s="165">
        <v>0.51041666666666663</v>
      </c>
      <c r="AA11" s="12" t="s">
        <v>141</v>
      </c>
      <c r="AB11" s="165">
        <v>0.77083333333333337</v>
      </c>
      <c r="AC11" s="81"/>
    </row>
    <row r="12" spans="3:42" ht="18" customHeight="1" x14ac:dyDescent="0.2">
      <c r="C12" s="25"/>
      <c r="D12" s="20"/>
      <c r="E12" s="153"/>
      <c r="F12" s="224"/>
      <c r="G12" s="154"/>
      <c r="H12" s="154"/>
      <c r="I12" s="154"/>
      <c r="J12" s="154"/>
      <c r="K12" s="18"/>
      <c r="L12" s="22"/>
      <c r="M12" s="22"/>
      <c r="N12" s="19"/>
      <c r="O12" s="19"/>
      <c r="P12" s="19"/>
      <c r="Q12" s="24"/>
      <c r="S12" s="138">
        <v>6</v>
      </c>
      <c r="T12" s="139" t="s">
        <v>89</v>
      </c>
      <c r="U12" s="12">
        <v>3</v>
      </c>
      <c r="V12" s="12">
        <v>0</v>
      </c>
      <c r="W12" s="12">
        <v>0</v>
      </c>
      <c r="X12" s="12">
        <v>11</v>
      </c>
      <c r="Y12" s="165">
        <v>0.53819444444444442</v>
      </c>
      <c r="Z12" s="165">
        <v>0.51041666666666663</v>
      </c>
      <c r="AA12" s="12" t="s">
        <v>141</v>
      </c>
      <c r="AB12" s="165">
        <v>0.77083333333333337</v>
      </c>
      <c r="AC12" s="81"/>
    </row>
    <row r="13" spans="3:42" ht="18" customHeight="1" x14ac:dyDescent="0.2">
      <c r="C13" s="25"/>
      <c r="D13" s="20"/>
      <c r="E13" s="153"/>
      <c r="F13" s="224"/>
      <c r="G13" s="154"/>
      <c r="H13" s="154"/>
      <c r="I13" s="154"/>
      <c r="J13" s="154"/>
      <c r="K13" s="18"/>
      <c r="L13" s="22"/>
      <c r="M13" s="22"/>
      <c r="N13" s="19"/>
      <c r="O13" s="19"/>
      <c r="P13" s="19"/>
      <c r="Q13" s="24"/>
      <c r="S13" s="138">
        <v>7</v>
      </c>
      <c r="T13" s="139" t="s">
        <v>90</v>
      </c>
      <c r="U13" s="12">
        <v>0</v>
      </c>
      <c r="V13" s="12">
        <v>3</v>
      </c>
      <c r="W13" s="12">
        <v>3</v>
      </c>
      <c r="X13" s="12">
        <v>11</v>
      </c>
      <c r="Y13" s="165">
        <v>0.53819444444444442</v>
      </c>
      <c r="Z13" s="165">
        <v>0.51041666666666663</v>
      </c>
      <c r="AA13" s="12" t="s">
        <v>141</v>
      </c>
      <c r="AB13" s="165">
        <v>0.77083333333333337</v>
      </c>
    </row>
    <row r="14" spans="3:42" ht="18" customHeight="1" x14ac:dyDescent="0.2">
      <c r="C14" s="25"/>
      <c r="D14" s="20"/>
      <c r="E14" s="153"/>
      <c r="F14" s="224"/>
      <c r="G14" s="154"/>
      <c r="H14" s="154"/>
      <c r="I14" s="154"/>
      <c r="J14" s="154"/>
      <c r="K14" s="18"/>
      <c r="L14" s="22"/>
      <c r="M14" s="22"/>
      <c r="N14" s="19"/>
      <c r="O14" s="19"/>
      <c r="P14" s="19"/>
      <c r="Q14" s="24"/>
      <c r="S14" s="138">
        <v>8</v>
      </c>
      <c r="T14" s="139" t="s">
        <v>91</v>
      </c>
      <c r="U14" s="12">
        <v>3</v>
      </c>
      <c r="V14" s="12">
        <v>0</v>
      </c>
      <c r="W14" s="12">
        <v>8</v>
      </c>
      <c r="X14" s="12">
        <v>11</v>
      </c>
      <c r="Y14" s="165">
        <v>0.53819444444444442</v>
      </c>
      <c r="Z14" s="165">
        <v>0.51041666666666663</v>
      </c>
      <c r="AA14" s="12" t="s">
        <v>141</v>
      </c>
      <c r="AB14" s="165">
        <v>0.77083333333333337</v>
      </c>
    </row>
    <row r="15" spans="3:42" ht="18" customHeight="1" x14ac:dyDescent="0.2">
      <c r="C15" s="25"/>
      <c r="D15" s="20"/>
      <c r="E15" s="153"/>
      <c r="F15" s="224"/>
      <c r="G15" s="154"/>
      <c r="H15" s="154"/>
      <c r="I15" s="154"/>
      <c r="J15" s="154"/>
      <c r="K15" s="18"/>
      <c r="L15" s="22"/>
      <c r="M15" s="22"/>
      <c r="N15" s="19"/>
      <c r="O15" s="19"/>
      <c r="P15" s="19"/>
      <c r="Q15" s="24"/>
      <c r="S15" s="138">
        <v>9</v>
      </c>
      <c r="T15" s="139" t="s">
        <v>92</v>
      </c>
      <c r="U15" s="12">
        <v>0</v>
      </c>
      <c r="V15" s="12">
        <v>3</v>
      </c>
      <c r="W15" s="12">
        <v>8</v>
      </c>
      <c r="X15" s="12">
        <v>11</v>
      </c>
      <c r="Y15" s="165">
        <v>0.53819444444444442</v>
      </c>
      <c r="Z15" s="165">
        <v>0.51041666666666663</v>
      </c>
      <c r="AA15" s="12" t="s">
        <v>141</v>
      </c>
      <c r="AB15" s="165">
        <v>0.77083333333333337</v>
      </c>
    </row>
    <row r="16" spans="3:42" ht="18" customHeight="1" x14ac:dyDescent="0.2">
      <c r="C16" s="25"/>
      <c r="D16" s="20"/>
      <c r="E16" s="153"/>
      <c r="F16" s="224"/>
      <c r="G16" s="154"/>
      <c r="H16" s="154"/>
      <c r="I16" s="154"/>
      <c r="J16" s="154"/>
      <c r="K16" s="18"/>
      <c r="L16" s="22"/>
      <c r="M16" s="22"/>
      <c r="N16" s="19"/>
      <c r="O16" s="19"/>
      <c r="P16" s="19"/>
      <c r="Q16" s="24"/>
      <c r="S16" s="138">
        <v>10</v>
      </c>
      <c r="T16" s="139" t="s">
        <v>93</v>
      </c>
      <c r="U16" s="12">
        <v>3</v>
      </c>
      <c r="V16" s="12">
        <v>0</v>
      </c>
      <c r="W16" s="12">
        <v>0</v>
      </c>
      <c r="X16" s="12">
        <v>11</v>
      </c>
      <c r="Y16" s="165">
        <v>0.53819444444444442</v>
      </c>
      <c r="Z16" s="165">
        <v>0.51041666666666663</v>
      </c>
      <c r="AA16" s="12" t="s">
        <v>141</v>
      </c>
      <c r="AB16" s="165">
        <v>0.77083333333333337</v>
      </c>
    </row>
    <row r="17" spans="3:28" ht="18" customHeight="1" x14ac:dyDescent="0.2">
      <c r="C17" s="25"/>
      <c r="D17" s="20"/>
      <c r="E17" s="153"/>
      <c r="F17" s="224"/>
      <c r="G17" s="154"/>
      <c r="H17" s="154"/>
      <c r="I17" s="154"/>
      <c r="J17" s="154"/>
      <c r="K17" s="18"/>
      <c r="L17" s="22"/>
      <c r="M17" s="22"/>
      <c r="N17" s="19"/>
      <c r="O17" s="19"/>
      <c r="P17" s="19"/>
      <c r="Q17" s="24"/>
      <c r="S17" s="138">
        <v>11</v>
      </c>
      <c r="T17" s="139" t="s">
        <v>94</v>
      </c>
      <c r="U17" s="12">
        <v>0</v>
      </c>
      <c r="V17" s="12">
        <v>3</v>
      </c>
      <c r="W17" s="12">
        <v>0</v>
      </c>
      <c r="X17" s="12">
        <v>11</v>
      </c>
      <c r="Y17" s="165">
        <v>0.53819444444444442</v>
      </c>
      <c r="Z17" s="165">
        <v>0.51041666666666663</v>
      </c>
      <c r="AA17" s="12" t="s">
        <v>141</v>
      </c>
      <c r="AB17" s="165">
        <v>0.77083333333333337</v>
      </c>
    </row>
    <row r="18" spans="3:28" ht="18" customHeight="1" x14ac:dyDescent="0.2">
      <c r="C18" s="25"/>
      <c r="D18" s="20"/>
      <c r="E18" s="153"/>
      <c r="F18" s="224"/>
      <c r="G18" s="154"/>
      <c r="H18" s="154"/>
      <c r="I18" s="154"/>
      <c r="J18" s="154"/>
      <c r="K18" s="18"/>
      <c r="L18" s="22"/>
      <c r="M18" s="22"/>
      <c r="N18" s="19"/>
      <c r="O18" s="19"/>
      <c r="P18" s="19"/>
      <c r="Q18" s="24"/>
      <c r="S18" s="138">
        <v>12</v>
      </c>
      <c r="T18" s="139" t="s">
        <v>95</v>
      </c>
      <c r="U18" s="12">
        <v>11</v>
      </c>
      <c r="V18" s="12">
        <v>0</v>
      </c>
      <c r="W18" s="12">
        <v>0</v>
      </c>
      <c r="X18" s="12">
        <v>11</v>
      </c>
      <c r="Y18" s="165">
        <v>2.0833333333333332E-2</v>
      </c>
      <c r="Z18" s="12" t="s">
        <v>141</v>
      </c>
      <c r="AA18" s="12" t="s">
        <v>141</v>
      </c>
      <c r="AB18" s="165">
        <v>0.27083333333333331</v>
      </c>
    </row>
    <row r="19" spans="3:28" ht="18" customHeight="1" x14ac:dyDescent="0.2">
      <c r="C19" s="25"/>
      <c r="D19" s="20"/>
      <c r="E19" s="153"/>
      <c r="F19" s="224"/>
      <c r="G19" s="154"/>
      <c r="H19" s="154"/>
      <c r="I19" s="154"/>
      <c r="J19" s="154"/>
      <c r="K19" s="18"/>
      <c r="L19" s="22"/>
      <c r="M19" s="22"/>
      <c r="N19" s="19"/>
      <c r="O19" s="19"/>
      <c r="P19" s="19"/>
      <c r="Q19" s="24"/>
      <c r="S19" s="138">
        <v>13</v>
      </c>
      <c r="T19" s="139" t="s">
        <v>96</v>
      </c>
      <c r="U19" s="12">
        <v>0</v>
      </c>
      <c r="V19" s="12">
        <v>11</v>
      </c>
      <c r="W19" s="12">
        <v>3</v>
      </c>
      <c r="X19" s="12">
        <v>11</v>
      </c>
      <c r="Y19" s="165">
        <v>2.0833333333333332E-2</v>
      </c>
      <c r="Z19" s="12" t="s">
        <v>141</v>
      </c>
      <c r="AA19" s="12" t="s">
        <v>141</v>
      </c>
      <c r="AB19" s="165">
        <v>0.27083333333333331</v>
      </c>
    </row>
    <row r="20" spans="3:28" ht="18" customHeight="1" x14ac:dyDescent="0.2">
      <c r="C20" s="25"/>
      <c r="D20" s="20"/>
      <c r="E20" s="153"/>
      <c r="F20" s="224"/>
      <c r="G20" s="154"/>
      <c r="H20" s="154"/>
      <c r="I20" s="154"/>
      <c r="J20" s="154"/>
      <c r="K20" s="18"/>
      <c r="L20" s="22"/>
      <c r="M20" s="22"/>
      <c r="N20" s="19"/>
      <c r="O20" s="19"/>
      <c r="P20" s="19"/>
      <c r="Q20" s="24"/>
      <c r="S20" s="138">
        <v>14</v>
      </c>
      <c r="T20" s="139" t="s">
        <v>97</v>
      </c>
      <c r="U20" s="12">
        <v>0</v>
      </c>
      <c r="V20" s="12">
        <v>0</v>
      </c>
      <c r="W20" s="12">
        <v>0</v>
      </c>
      <c r="X20" s="12">
        <v>11</v>
      </c>
      <c r="Y20" s="12" t="s">
        <v>141</v>
      </c>
      <c r="Z20" s="12" t="s">
        <v>141</v>
      </c>
      <c r="AA20" s="12" t="s">
        <v>141</v>
      </c>
      <c r="AB20" s="12" t="s">
        <v>141</v>
      </c>
    </row>
    <row r="21" spans="3:28" ht="18" customHeight="1" x14ac:dyDescent="0.2">
      <c r="C21" s="25"/>
      <c r="D21" s="20"/>
      <c r="E21" s="153"/>
      <c r="F21" s="224"/>
      <c r="G21" s="154"/>
      <c r="H21" s="154"/>
      <c r="I21" s="154"/>
      <c r="J21" s="154"/>
      <c r="K21" s="18"/>
      <c r="L21" s="22"/>
      <c r="M21" s="22"/>
      <c r="N21" s="19"/>
      <c r="O21" s="19"/>
      <c r="P21" s="19"/>
      <c r="Q21" s="24"/>
      <c r="S21" s="138">
        <v>15</v>
      </c>
      <c r="T21" s="139" t="s">
        <v>98</v>
      </c>
      <c r="U21" s="12">
        <v>0</v>
      </c>
      <c r="V21" s="12">
        <v>0</v>
      </c>
      <c r="W21" s="12">
        <v>0</v>
      </c>
      <c r="X21" s="12">
        <v>0</v>
      </c>
      <c r="Y21" s="12" t="s">
        <v>141</v>
      </c>
      <c r="Z21" s="12" t="s">
        <v>141</v>
      </c>
      <c r="AA21" s="12" t="s">
        <v>141</v>
      </c>
      <c r="AB21" s="12" t="s">
        <v>141</v>
      </c>
    </row>
    <row r="22" spans="3:28" ht="18" customHeight="1" x14ac:dyDescent="0.2">
      <c r="C22" s="25"/>
      <c r="D22" s="20"/>
      <c r="E22" s="153"/>
      <c r="F22" s="224"/>
      <c r="G22" s="154"/>
      <c r="H22" s="154"/>
      <c r="I22" s="154"/>
      <c r="J22" s="154"/>
      <c r="K22" s="18"/>
      <c r="L22" s="22"/>
      <c r="M22" s="22"/>
      <c r="N22" s="19"/>
      <c r="O22" s="19"/>
      <c r="P22" s="19"/>
      <c r="Q22" s="24"/>
      <c r="S22" s="138">
        <v>16</v>
      </c>
      <c r="T22" s="139" t="s">
        <v>99</v>
      </c>
      <c r="U22" s="12">
        <v>0</v>
      </c>
      <c r="V22" s="12">
        <v>0</v>
      </c>
      <c r="W22" s="12">
        <v>0</v>
      </c>
      <c r="X22" s="12">
        <v>0</v>
      </c>
      <c r="Y22" s="12" t="s">
        <v>141</v>
      </c>
      <c r="Z22" s="12" t="s">
        <v>141</v>
      </c>
      <c r="AA22" s="12" t="s">
        <v>141</v>
      </c>
      <c r="AB22" s="12" t="s">
        <v>141</v>
      </c>
    </row>
    <row r="23" spans="3:28" ht="18" customHeight="1" x14ac:dyDescent="0.2">
      <c r="C23" s="25"/>
      <c r="D23" s="20"/>
      <c r="E23" s="153"/>
      <c r="F23" s="224"/>
      <c r="G23" s="154"/>
      <c r="H23" s="154"/>
      <c r="I23" s="154"/>
      <c r="J23" s="154"/>
      <c r="K23" s="18"/>
      <c r="L23" s="22"/>
      <c r="M23" s="22"/>
      <c r="N23" s="19"/>
      <c r="O23" s="19"/>
      <c r="P23" s="19"/>
      <c r="Q23" s="24"/>
      <c r="S23" s="138">
        <v>17</v>
      </c>
      <c r="T23" s="139" t="s">
        <v>100</v>
      </c>
      <c r="U23" s="12">
        <v>0</v>
      </c>
      <c r="V23" s="12">
        <v>0</v>
      </c>
      <c r="W23" s="12">
        <v>0</v>
      </c>
      <c r="X23" s="12">
        <v>8</v>
      </c>
      <c r="Y23" s="12" t="s">
        <v>141</v>
      </c>
      <c r="Z23" s="12" t="s">
        <v>141</v>
      </c>
      <c r="AA23" s="12" t="s">
        <v>141</v>
      </c>
      <c r="AB23" s="12" t="s">
        <v>141</v>
      </c>
    </row>
    <row r="24" spans="3:28" ht="18" customHeight="1" x14ac:dyDescent="0.2">
      <c r="C24" s="25"/>
      <c r="D24" s="20"/>
      <c r="E24" s="153"/>
      <c r="F24" s="224"/>
      <c r="G24" s="154"/>
      <c r="H24" s="154"/>
      <c r="I24" s="154"/>
      <c r="J24" s="154"/>
      <c r="K24" s="18"/>
      <c r="L24" s="22"/>
      <c r="M24" s="22"/>
      <c r="N24" s="19"/>
      <c r="O24" s="19"/>
      <c r="P24" s="19"/>
      <c r="Q24" s="24"/>
      <c r="S24" s="138">
        <v>18</v>
      </c>
      <c r="T24" s="139" t="s">
        <v>101</v>
      </c>
      <c r="U24" s="12">
        <v>0</v>
      </c>
      <c r="V24" s="12">
        <v>0</v>
      </c>
      <c r="W24" s="12">
        <v>0</v>
      </c>
      <c r="X24" s="12">
        <v>8</v>
      </c>
      <c r="Y24" s="165">
        <v>0.53819444444444442</v>
      </c>
      <c r="Z24" s="12" t="s">
        <v>141</v>
      </c>
      <c r="AA24" s="12" t="s">
        <v>141</v>
      </c>
      <c r="AB24" s="12" t="s">
        <v>141</v>
      </c>
    </row>
    <row r="25" spans="3:28" ht="18" customHeight="1" x14ac:dyDescent="0.2">
      <c r="C25" s="25"/>
      <c r="D25" s="20"/>
      <c r="E25" s="153"/>
      <c r="F25" s="224"/>
      <c r="G25" s="154"/>
      <c r="H25" s="154"/>
      <c r="I25" s="154"/>
      <c r="J25" s="154"/>
      <c r="K25" s="18"/>
      <c r="L25" s="22"/>
      <c r="M25" s="22"/>
      <c r="N25" s="19"/>
      <c r="O25" s="19"/>
      <c r="P25" s="19"/>
      <c r="Q25" s="24"/>
      <c r="S25" s="138">
        <v>19</v>
      </c>
      <c r="T25" s="139" t="s">
        <v>102</v>
      </c>
      <c r="U25" s="12">
        <v>0</v>
      </c>
      <c r="V25" s="12">
        <v>0</v>
      </c>
      <c r="W25" s="12">
        <v>0</v>
      </c>
      <c r="X25" s="12">
        <v>0</v>
      </c>
      <c r="Y25" s="12" t="s">
        <v>141</v>
      </c>
      <c r="Z25" s="12" t="s">
        <v>141</v>
      </c>
      <c r="AA25" s="12" t="s">
        <v>141</v>
      </c>
      <c r="AB25" s="12" t="s">
        <v>141</v>
      </c>
    </row>
    <row r="26" spans="3:28" ht="18" customHeight="1" x14ac:dyDescent="0.2">
      <c r="C26" s="25"/>
      <c r="D26" s="20"/>
      <c r="E26" s="153"/>
      <c r="F26" s="224"/>
      <c r="G26" s="154"/>
      <c r="H26" s="154"/>
      <c r="I26" s="154"/>
      <c r="J26" s="154"/>
      <c r="K26" s="18"/>
      <c r="L26" s="22"/>
      <c r="M26" s="22"/>
      <c r="N26" s="19"/>
      <c r="O26" s="19"/>
      <c r="P26" s="19"/>
      <c r="Q26" s="24"/>
      <c r="S26" s="138">
        <v>20</v>
      </c>
      <c r="T26" s="139" t="s">
        <v>103</v>
      </c>
      <c r="U26" s="12">
        <v>0</v>
      </c>
      <c r="V26" s="12">
        <v>0</v>
      </c>
      <c r="W26" s="12">
        <v>0</v>
      </c>
      <c r="X26" s="12">
        <v>0</v>
      </c>
      <c r="Y26" s="12" t="s">
        <v>141</v>
      </c>
      <c r="Z26" s="12" t="s">
        <v>141</v>
      </c>
      <c r="AA26" s="12" t="s">
        <v>141</v>
      </c>
      <c r="AB26" s="12" t="s">
        <v>141</v>
      </c>
    </row>
    <row r="27" spans="3:28" ht="18" customHeight="1" x14ac:dyDescent="0.2">
      <c r="C27" s="25"/>
      <c r="D27" s="20"/>
      <c r="E27" s="153"/>
      <c r="F27" s="224"/>
      <c r="G27" s="154"/>
      <c r="H27" s="154"/>
      <c r="I27" s="154"/>
      <c r="J27" s="154"/>
      <c r="K27" s="18"/>
      <c r="L27" s="22"/>
      <c r="M27" s="22"/>
      <c r="N27" s="19"/>
      <c r="O27" s="19"/>
      <c r="P27" s="19"/>
      <c r="Q27" s="24"/>
      <c r="S27" s="138">
        <v>21</v>
      </c>
      <c r="T27" s="139" t="s">
        <v>104</v>
      </c>
      <c r="U27" s="12">
        <v>0</v>
      </c>
      <c r="V27" s="12">
        <v>0</v>
      </c>
      <c r="W27" s="12">
        <v>0</v>
      </c>
      <c r="X27" s="12">
        <v>8</v>
      </c>
      <c r="Y27" s="165">
        <v>0.53819444444444442</v>
      </c>
      <c r="Z27" s="165">
        <v>0.51041666666666663</v>
      </c>
      <c r="AA27" s="12" t="s">
        <v>141</v>
      </c>
      <c r="AB27" s="12" t="s">
        <v>141</v>
      </c>
    </row>
    <row r="28" spans="3:28" ht="18" customHeight="1" x14ac:dyDescent="0.2">
      <c r="C28" s="25"/>
      <c r="D28" s="20"/>
      <c r="E28" s="153"/>
      <c r="F28" s="224"/>
      <c r="G28" s="154"/>
      <c r="H28" s="154"/>
      <c r="I28" s="154"/>
      <c r="J28" s="154"/>
      <c r="K28" s="18"/>
      <c r="L28" s="22"/>
      <c r="M28" s="22"/>
      <c r="N28" s="19"/>
      <c r="O28" s="19"/>
      <c r="P28" s="19"/>
      <c r="Q28" s="24"/>
      <c r="S28" s="138">
        <v>22</v>
      </c>
      <c r="T28" s="139" t="s">
        <v>106</v>
      </c>
      <c r="U28" s="12">
        <v>0</v>
      </c>
      <c r="V28" s="12">
        <v>0</v>
      </c>
      <c r="W28" s="12">
        <v>0</v>
      </c>
      <c r="X28" s="12">
        <v>8</v>
      </c>
      <c r="Y28" s="165">
        <v>0.53819444444444442</v>
      </c>
      <c r="Z28" s="165">
        <v>0.51041666666666663</v>
      </c>
      <c r="AA28" s="12" t="s">
        <v>141</v>
      </c>
      <c r="AB28" s="12" t="s">
        <v>141</v>
      </c>
    </row>
    <row r="29" spans="3:28" ht="18" customHeight="1" x14ac:dyDescent="0.2">
      <c r="C29" s="25"/>
      <c r="D29" s="20"/>
      <c r="E29" s="153"/>
      <c r="F29" s="224"/>
      <c r="G29" s="154"/>
      <c r="H29" s="154"/>
      <c r="I29" s="154"/>
      <c r="J29" s="154"/>
      <c r="K29" s="18"/>
      <c r="L29" s="22"/>
      <c r="M29" s="22"/>
      <c r="N29" s="19"/>
      <c r="O29" s="19"/>
      <c r="P29" s="19"/>
      <c r="Q29" s="24"/>
      <c r="S29" s="138">
        <v>23</v>
      </c>
      <c r="T29" s="139" t="s">
        <v>105</v>
      </c>
      <c r="U29" s="12">
        <v>0</v>
      </c>
      <c r="V29" s="12">
        <v>0</v>
      </c>
      <c r="W29" s="12">
        <v>0</v>
      </c>
      <c r="X29" s="12">
        <v>8</v>
      </c>
      <c r="Y29" s="165">
        <v>0.53819444444444442</v>
      </c>
      <c r="Z29" s="165">
        <v>0.51041666666666663</v>
      </c>
      <c r="AA29" s="12" t="s">
        <v>141</v>
      </c>
      <c r="AB29" s="12" t="s">
        <v>141</v>
      </c>
    </row>
    <row r="30" spans="3:28" ht="18" customHeight="1" x14ac:dyDescent="0.2">
      <c r="C30" s="25"/>
      <c r="D30" s="20"/>
      <c r="E30" s="153"/>
      <c r="F30" s="224"/>
      <c r="G30" s="154"/>
      <c r="H30" s="154"/>
      <c r="I30" s="154"/>
      <c r="J30" s="154"/>
      <c r="K30" s="18"/>
      <c r="L30" s="19"/>
      <c r="M30" s="22"/>
      <c r="N30" s="19"/>
      <c r="O30" s="19"/>
      <c r="P30" s="19"/>
      <c r="Q30" s="24"/>
      <c r="S30" s="138">
        <v>24</v>
      </c>
      <c r="T30" s="139" t="s">
        <v>132</v>
      </c>
      <c r="U30" s="12">
        <v>0</v>
      </c>
      <c r="V30" s="12">
        <v>0</v>
      </c>
      <c r="W30" s="12">
        <v>0</v>
      </c>
      <c r="X30" s="12">
        <v>8</v>
      </c>
      <c r="Y30" s="165">
        <v>0.53819444444444442</v>
      </c>
      <c r="Z30" s="165">
        <v>0.51041666666666663</v>
      </c>
      <c r="AA30" s="12" t="s">
        <v>141</v>
      </c>
      <c r="AB30" s="12" t="s">
        <v>141</v>
      </c>
    </row>
    <row r="31" spans="3:28" ht="18" customHeight="1" x14ac:dyDescent="0.2">
      <c r="C31" s="25"/>
      <c r="D31" s="20"/>
      <c r="E31" s="153"/>
      <c r="F31" s="224"/>
      <c r="G31" s="154"/>
      <c r="H31" s="154"/>
      <c r="I31" s="154"/>
      <c r="J31" s="154"/>
      <c r="K31" s="18"/>
      <c r="L31" s="22"/>
      <c r="M31" s="22"/>
      <c r="N31" s="19"/>
      <c r="O31" s="19"/>
      <c r="P31" s="19"/>
      <c r="Q31" s="24"/>
      <c r="S31" s="138">
        <v>25</v>
      </c>
      <c r="T31" s="154" t="s">
        <v>138</v>
      </c>
      <c r="U31" s="81" t="s">
        <v>138</v>
      </c>
      <c r="V31" s="81" t="s">
        <v>138</v>
      </c>
      <c r="W31" s="81" t="s">
        <v>138</v>
      </c>
      <c r="X31" s="12">
        <v>8</v>
      </c>
      <c r="Y31" s="165">
        <v>0.53819444444444442</v>
      </c>
      <c r="Z31" s="165">
        <v>0.51041666666666663</v>
      </c>
      <c r="AA31" s="12" t="s">
        <v>141</v>
      </c>
      <c r="AB31" s="12" t="s">
        <v>141</v>
      </c>
    </row>
    <row r="32" spans="3:28" ht="18" customHeight="1" x14ac:dyDescent="0.2">
      <c r="C32" s="25"/>
      <c r="D32" s="20"/>
      <c r="E32" s="153"/>
      <c r="F32" s="224"/>
      <c r="G32" s="154"/>
      <c r="H32" s="154"/>
      <c r="I32" s="154"/>
      <c r="J32" s="154"/>
      <c r="K32" s="18"/>
      <c r="L32" s="19"/>
      <c r="M32" s="19"/>
      <c r="N32" s="19"/>
      <c r="O32" s="19"/>
      <c r="P32" s="19"/>
      <c r="Q32" s="24"/>
      <c r="S32" s="138">
        <v>26</v>
      </c>
      <c r="T32" s="154" t="s">
        <v>138</v>
      </c>
      <c r="U32" s="81" t="s">
        <v>138</v>
      </c>
      <c r="V32" s="81" t="s">
        <v>138</v>
      </c>
      <c r="W32" s="81" t="s">
        <v>138</v>
      </c>
      <c r="X32" s="12">
        <v>8</v>
      </c>
      <c r="Y32" s="165">
        <v>0.53819444444444442</v>
      </c>
      <c r="Z32" s="165">
        <v>0.51041666666666663</v>
      </c>
      <c r="AA32" s="12" t="s">
        <v>141</v>
      </c>
      <c r="AB32" s="12" t="s">
        <v>141</v>
      </c>
    </row>
    <row r="33" spans="3:28" ht="18" customHeight="1" x14ac:dyDescent="0.2">
      <c r="C33" s="25"/>
      <c r="D33" s="18"/>
      <c r="E33" s="153"/>
      <c r="F33" s="224"/>
      <c r="G33" s="154"/>
      <c r="H33" s="154"/>
      <c r="I33" s="154"/>
      <c r="J33" s="154"/>
      <c r="K33" s="18"/>
      <c r="L33" s="22"/>
      <c r="M33" s="22"/>
      <c r="N33" s="19"/>
      <c r="O33" s="19"/>
      <c r="P33" s="19"/>
      <c r="Q33" s="24"/>
      <c r="S33" s="138">
        <v>27</v>
      </c>
      <c r="T33" s="154" t="s">
        <v>138</v>
      </c>
      <c r="U33" s="81" t="s">
        <v>138</v>
      </c>
      <c r="V33" s="81" t="s">
        <v>138</v>
      </c>
      <c r="W33" s="81" t="s">
        <v>138</v>
      </c>
      <c r="X33" s="12">
        <v>8</v>
      </c>
      <c r="Y33" s="12" t="s">
        <v>141</v>
      </c>
      <c r="Z33" s="165">
        <v>0.51041666666666663</v>
      </c>
      <c r="AA33" s="12" t="s">
        <v>141</v>
      </c>
      <c r="AB33" s="12" t="s">
        <v>141</v>
      </c>
    </row>
    <row r="34" spans="3:28" ht="18" customHeight="1" x14ac:dyDescent="0.2">
      <c r="C34" s="25"/>
      <c r="D34" s="18"/>
      <c r="E34" s="153"/>
      <c r="F34" s="224"/>
      <c r="G34" s="154"/>
      <c r="H34" s="154"/>
      <c r="I34" s="154"/>
      <c r="J34" s="154"/>
      <c r="K34" s="18"/>
      <c r="L34" s="22"/>
      <c r="M34" s="22"/>
      <c r="N34" s="19"/>
      <c r="O34" s="19"/>
      <c r="P34" s="19"/>
      <c r="Q34" s="24"/>
      <c r="T34" s="25"/>
      <c r="U34" s="25"/>
      <c r="V34" s="25"/>
      <c r="W34" s="25"/>
      <c r="X34" s="25"/>
      <c r="Y34" s="165">
        <v>0.53819444444444442</v>
      </c>
      <c r="Z34" s="165">
        <v>0.51041666666666663</v>
      </c>
      <c r="AA34" s="12" t="s">
        <v>141</v>
      </c>
      <c r="AB34" s="12"/>
    </row>
    <row r="35" spans="3:28" ht="18" customHeight="1" x14ac:dyDescent="0.2">
      <c r="C35" s="25"/>
      <c r="D35" s="18"/>
      <c r="E35" s="153"/>
      <c r="F35" s="224"/>
      <c r="G35" s="154"/>
      <c r="H35" s="154"/>
      <c r="I35" s="154"/>
      <c r="J35" s="154"/>
      <c r="K35" s="18"/>
      <c r="L35" s="22"/>
      <c r="M35" s="22"/>
      <c r="N35" s="19"/>
      <c r="O35" s="19"/>
      <c r="P35" s="19"/>
      <c r="Q35" s="24"/>
    </row>
    <row r="36" spans="3:28" ht="18" customHeight="1" x14ac:dyDescent="0.2">
      <c r="C36" s="25"/>
      <c r="D36" s="18"/>
      <c r="E36" s="153"/>
      <c r="F36" s="224"/>
      <c r="G36" s="154"/>
      <c r="H36" s="154"/>
      <c r="I36" s="154"/>
      <c r="J36" s="154"/>
      <c r="K36" s="18"/>
      <c r="L36" s="22"/>
      <c r="M36" s="22"/>
      <c r="N36" s="19"/>
      <c r="O36" s="19"/>
      <c r="P36" s="19"/>
      <c r="Q36" s="24"/>
    </row>
    <row r="37" spans="3:28" ht="18" customHeight="1" x14ac:dyDescent="0.2">
      <c r="C37" s="25"/>
      <c r="D37" s="18"/>
      <c r="E37" s="153"/>
      <c r="F37" s="224"/>
      <c r="G37" s="154"/>
      <c r="H37" s="154"/>
      <c r="I37" s="154"/>
      <c r="J37" s="154"/>
      <c r="K37" s="18"/>
      <c r="L37" s="22"/>
      <c r="M37" s="22"/>
      <c r="N37" s="19"/>
      <c r="O37" s="19"/>
      <c r="P37" s="19"/>
      <c r="Q37" s="24"/>
    </row>
    <row r="38" spans="3:28" ht="18" customHeight="1" x14ac:dyDescent="0.2">
      <c r="C38" s="25"/>
      <c r="D38" s="18"/>
      <c r="E38" s="153"/>
      <c r="F38" s="224"/>
      <c r="G38" s="154"/>
      <c r="H38" s="154"/>
      <c r="I38" s="154"/>
      <c r="J38" s="154"/>
      <c r="K38" s="18"/>
      <c r="L38" s="22"/>
      <c r="M38" s="22"/>
      <c r="N38" s="19"/>
      <c r="O38" s="19"/>
      <c r="P38" s="19"/>
      <c r="Q38" s="24"/>
    </row>
    <row r="39" spans="3:28" ht="18" customHeight="1" x14ac:dyDescent="0.2">
      <c r="C39" s="25"/>
      <c r="D39" s="18"/>
      <c r="E39" s="153"/>
      <c r="F39" s="224"/>
      <c r="G39" s="154"/>
      <c r="H39" s="154"/>
      <c r="I39" s="154"/>
      <c r="J39" s="154"/>
      <c r="K39" s="18"/>
      <c r="L39" s="22"/>
      <c r="M39" s="22"/>
      <c r="N39" s="19"/>
      <c r="O39" s="19"/>
      <c r="P39" s="19"/>
      <c r="Q39" s="24"/>
    </row>
    <row r="40" spans="3:28" ht="18" customHeight="1" x14ac:dyDescent="0.2">
      <c r="C40" s="25"/>
      <c r="D40" s="18"/>
      <c r="E40" s="153"/>
      <c r="F40" s="224"/>
      <c r="G40" s="154"/>
      <c r="H40" s="154"/>
      <c r="I40" s="154"/>
      <c r="J40" s="154"/>
      <c r="K40" s="18"/>
      <c r="L40" s="22"/>
      <c r="M40" s="22"/>
      <c r="N40" s="19"/>
      <c r="O40" s="19"/>
      <c r="P40" s="19"/>
      <c r="Q40" s="24"/>
    </row>
    <row r="41" spans="3:28" ht="18" customHeight="1" x14ac:dyDescent="0.2">
      <c r="C41" s="25"/>
      <c r="D41" s="18"/>
      <c r="E41" s="153"/>
      <c r="F41" s="224"/>
      <c r="G41" s="154"/>
      <c r="H41" s="154"/>
      <c r="I41" s="154"/>
      <c r="J41" s="154"/>
      <c r="K41" s="18"/>
      <c r="L41" s="22"/>
      <c r="M41" s="22"/>
      <c r="N41" s="19"/>
      <c r="O41" s="19"/>
      <c r="P41" s="19"/>
      <c r="Q41" s="24"/>
    </row>
    <row r="42" spans="3:28" ht="18" customHeight="1" x14ac:dyDescent="0.2">
      <c r="C42" s="25"/>
      <c r="D42" s="18"/>
      <c r="E42" s="153"/>
      <c r="F42" s="224"/>
      <c r="G42" s="154"/>
      <c r="H42" s="154"/>
      <c r="I42" s="154"/>
      <c r="J42" s="154"/>
      <c r="K42" s="18"/>
      <c r="L42" s="22"/>
      <c r="M42" s="22"/>
      <c r="N42" s="19"/>
      <c r="O42" s="19"/>
      <c r="P42" s="19"/>
      <c r="Q42" s="24"/>
    </row>
    <row r="43" spans="3:28" ht="18" customHeight="1" x14ac:dyDescent="0.2">
      <c r="C43" s="25"/>
      <c r="D43" s="18"/>
      <c r="E43" s="153"/>
      <c r="F43" s="224"/>
      <c r="G43" s="154"/>
      <c r="H43" s="154"/>
      <c r="I43" s="154"/>
      <c r="J43" s="154"/>
      <c r="K43" s="18"/>
      <c r="L43" s="22"/>
      <c r="M43" s="22"/>
      <c r="N43" s="19"/>
      <c r="O43" s="19"/>
      <c r="P43" s="19"/>
      <c r="Q43" s="24"/>
    </row>
    <row r="44" spans="3:28" ht="18" customHeight="1" x14ac:dyDescent="0.2">
      <c r="C44" s="25"/>
      <c r="D44" s="18"/>
      <c r="E44" s="153"/>
      <c r="F44" s="224"/>
      <c r="G44" s="154"/>
      <c r="H44" s="154"/>
      <c r="I44" s="154"/>
      <c r="J44" s="154"/>
      <c r="K44" s="18"/>
      <c r="L44" s="22"/>
      <c r="M44" s="22"/>
      <c r="N44" s="19"/>
      <c r="O44" s="19"/>
      <c r="P44" s="19"/>
      <c r="Q44" s="24"/>
    </row>
    <row r="45" spans="3:28" ht="18" customHeight="1" x14ac:dyDescent="0.2">
      <c r="C45" s="25"/>
      <c r="D45" s="18"/>
      <c r="E45" s="153"/>
      <c r="F45" s="224"/>
      <c r="G45" s="154"/>
      <c r="H45" s="154"/>
      <c r="I45" s="154"/>
      <c r="J45" s="154"/>
      <c r="K45" s="18"/>
      <c r="L45" s="22"/>
      <c r="M45" s="22"/>
      <c r="N45" s="19"/>
      <c r="O45" s="19"/>
      <c r="P45" s="19"/>
      <c r="Q45" s="24"/>
    </row>
    <row r="46" spans="3:28" ht="18" customHeight="1" x14ac:dyDescent="0.2">
      <c r="C46" s="25"/>
      <c r="D46" s="18"/>
      <c r="E46" s="153"/>
      <c r="F46" s="224"/>
      <c r="G46" s="154"/>
      <c r="H46" s="154"/>
      <c r="I46" s="154"/>
      <c r="J46" s="154"/>
      <c r="K46" s="18"/>
      <c r="L46" s="22"/>
      <c r="M46" s="22"/>
      <c r="N46" s="19"/>
      <c r="O46" s="19"/>
      <c r="P46" s="19"/>
      <c r="Q46" s="24"/>
    </row>
  </sheetData>
  <sheetProtection algorithmName="SHA-512" hashValue="bFeWLKrQdI9YTogZKRaPQ2URVMEbp6IQcN17SmsLMOVVRBXsaYarH5+72xPsS9TLLFEZpffcZ/dAg43BxAEhQA==" saltValue="mTBjG+FZ3RGo7a1F/Dyf3A==" spinCount="100000" sheet="1" scenarios="1" selectLockedCells="1"/>
  <mergeCells count="4">
    <mergeCell ref="T5:U5"/>
    <mergeCell ref="W5:X5"/>
    <mergeCell ref="D4:D5"/>
    <mergeCell ref="G2:J3"/>
  </mergeCells>
  <phoneticPr fontId="2"/>
  <conditionalFormatting sqref="A1">
    <cfRule type="expression" dxfId="42" priority="8">
      <formula>$A$1&lt;&gt;""</formula>
    </cfRule>
  </conditionalFormatting>
  <conditionalFormatting sqref="I7:J46">
    <cfRule type="expression" dxfId="41" priority="3">
      <formula>$I7="無効"</formula>
    </cfRule>
  </conditionalFormatting>
  <conditionalFormatting sqref="J7:J46">
    <cfRule type="expression" dxfId="40" priority="1">
      <formula>$J7="無効"</formula>
    </cfRule>
  </conditionalFormatting>
  <dataValidations count="7">
    <dataValidation type="list" allowBlank="1" showInputMessage="1" showErrorMessage="1" sqref="J7:J46" xr:uid="{00000000-0002-0000-0300-000000000000}">
      <formula1>"有効,無効"</formula1>
    </dataValidation>
    <dataValidation imeMode="hiragana" allowBlank="1" showInputMessage="1" showErrorMessage="1" sqref="F12:F46" xr:uid="{00000000-0002-0000-0300-000001000000}"/>
    <dataValidation imeMode="off" allowBlank="1" showInputMessage="1" showErrorMessage="1" error="1000以上9999以下の値" sqref="E12:E46" xr:uid="{00000000-0002-0000-0300-000002000000}"/>
    <dataValidation type="list" allowBlank="1" showInputMessage="1" showErrorMessage="1" sqref="I7:I46" xr:uid="{00000000-0002-0000-0300-000003000000}">
      <formula1>"有"</formula1>
    </dataValidation>
    <dataValidation type="list" allowBlank="1" showInputMessage="1" showErrorMessage="1" sqref="G7:H46" xr:uid="{00000000-0002-0000-0300-000004000000}">
      <formula1>"有効,　　"</formula1>
    </dataValidation>
    <dataValidation type="whole" allowBlank="1" showInputMessage="1" showErrorMessage="1" sqref="U7:X33" xr:uid="{00000000-0002-0000-0300-000005000000}">
      <formula1>0</formula1>
      <formula2>24</formula2>
    </dataValidation>
    <dataValidation type="list" allowBlank="1" showInputMessage="1" showErrorMessage="1" sqref="D4" xr:uid="{00000000-0002-0000-0300-000006000000}">
      <formula1>"有効社員のみ,全て"</formula1>
    </dataValidation>
  </dataValidations>
  <pageMargins left="0.70866141732283472" right="0.70866141732283472" top="0.74803149606299213" bottom="0.74803149606299213" header="0.31496062992125984" footer="0.31496062992125984"/>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社員登録">
                <anchor moveWithCells="1" sizeWithCells="1">
                  <from>
                    <xdr:col>4</xdr:col>
                    <xdr:colOff>685800</xdr:colOff>
                    <xdr:row>3</xdr:row>
                    <xdr:rowOff>22860</xdr:rowOff>
                  </from>
                  <to>
                    <xdr:col>5</xdr:col>
                    <xdr:colOff>449580</xdr:colOff>
                    <xdr:row>4</xdr:row>
                    <xdr:rowOff>190500</xdr:rowOff>
                  </to>
                </anchor>
              </controlPr>
            </control>
          </mc:Choice>
        </mc:AlternateContent>
        <mc:AlternateContent xmlns:mc="http://schemas.openxmlformats.org/markup-compatibility/2006">
          <mc:Choice Requires="x14">
            <control shapeId="4098" r:id="rId5" name="Button 2">
              <controlPr defaultSize="0" print="0" autoFill="0" autoPict="0" macro="[0]!社員テーブル呼出">
                <anchor moveWithCells="1" sizeWithCells="1">
                  <from>
                    <xdr:col>4</xdr:col>
                    <xdr:colOff>0</xdr:colOff>
                    <xdr:row>3</xdr:row>
                    <xdr:rowOff>22860</xdr:rowOff>
                  </from>
                  <to>
                    <xdr:col>4</xdr:col>
                    <xdr:colOff>685800</xdr:colOff>
                    <xdr:row>4</xdr:row>
                    <xdr:rowOff>190500</xdr:rowOff>
                  </to>
                </anchor>
              </controlPr>
            </control>
          </mc:Choice>
        </mc:AlternateContent>
        <mc:AlternateContent xmlns:mc="http://schemas.openxmlformats.org/markup-compatibility/2006">
          <mc:Choice Requires="x14">
            <control shapeId="4100" r:id="rId6" name="Button 4">
              <controlPr defaultSize="0" print="0" autoFill="0" autoPict="0" macro="[0]!勤務時間テーブル記録">
                <anchor moveWithCells="1" sizeWithCells="1">
                  <from>
                    <xdr:col>22</xdr:col>
                    <xdr:colOff>22860</xdr:colOff>
                    <xdr:row>1</xdr:row>
                    <xdr:rowOff>175260</xdr:rowOff>
                  </from>
                  <to>
                    <xdr:col>23</xdr:col>
                    <xdr:colOff>571500</xdr:colOff>
                    <xdr:row>3</xdr:row>
                    <xdr:rowOff>121920</xdr:rowOff>
                  </to>
                </anchor>
              </controlPr>
            </control>
          </mc:Choice>
        </mc:AlternateContent>
        <mc:AlternateContent xmlns:mc="http://schemas.openxmlformats.org/markup-compatibility/2006">
          <mc:Choice Requires="x14">
            <control shapeId="4129" r:id="rId7" name="Button 33">
              <controlPr defaultSize="0" print="0" autoFill="0" autoPict="0" macro="[0]!回覧先書込">
                <anchor moveWithCells="1" sizeWithCells="1">
                  <from>
                    <xdr:col>28</xdr:col>
                    <xdr:colOff>0</xdr:colOff>
                    <xdr:row>1</xdr:row>
                    <xdr:rowOff>175260</xdr:rowOff>
                  </from>
                  <to>
                    <xdr:col>28</xdr:col>
                    <xdr:colOff>982980</xdr:colOff>
                    <xdr:row>3</xdr:row>
                    <xdr:rowOff>121920</xdr:rowOff>
                  </to>
                </anchor>
              </controlPr>
            </control>
          </mc:Choice>
        </mc:AlternateContent>
        <mc:AlternateContent xmlns:mc="http://schemas.openxmlformats.org/markup-compatibility/2006">
          <mc:Choice Requires="x14">
            <control shapeId="4131" r:id="rId8" name="Button 35">
              <controlPr defaultSize="0" print="0" autoFill="0" autoPict="0" macro="[0]!勤務時間テーブル読込">
                <anchor moveWithCells="1" sizeWithCells="1">
                  <from>
                    <xdr:col>20</xdr:col>
                    <xdr:colOff>487680</xdr:colOff>
                    <xdr:row>1</xdr:row>
                    <xdr:rowOff>160020</xdr:rowOff>
                  </from>
                  <to>
                    <xdr:col>21</xdr:col>
                    <xdr:colOff>579120</xdr:colOff>
                    <xdr:row>3</xdr:row>
                    <xdr:rowOff>121920</xdr:rowOff>
                  </to>
                </anchor>
              </controlPr>
            </control>
          </mc:Choice>
        </mc:AlternateContent>
        <mc:AlternateContent xmlns:mc="http://schemas.openxmlformats.org/markup-compatibility/2006">
          <mc:Choice Requires="x14">
            <control shapeId="4133" r:id="rId9" name="Button 37">
              <controlPr defaultSize="0" print="0" autoFill="0" autoPict="0" macro="[0]!回覧先読込">
                <anchor moveWithCells="1" sizeWithCells="1">
                  <from>
                    <xdr:col>28</xdr:col>
                    <xdr:colOff>175260</xdr:colOff>
                    <xdr:row>3</xdr:row>
                    <xdr:rowOff>144780</xdr:rowOff>
                  </from>
                  <to>
                    <xdr:col>28</xdr:col>
                    <xdr:colOff>861060</xdr:colOff>
                    <xdr:row>4</xdr:row>
                    <xdr:rowOff>236220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V38"/>
  <sheetViews>
    <sheetView showGridLines="0" showZeros="0" workbookViewId="0">
      <pane xSplit="7" ySplit="3" topLeftCell="H4" activePane="bottomRight" state="frozen"/>
      <selection pane="topRight" activeCell="H1" sqref="H1"/>
      <selection pane="bottomLeft" activeCell="A4" sqref="A4"/>
      <selection pane="bottomRight" activeCell="D4" sqref="D4"/>
    </sheetView>
  </sheetViews>
  <sheetFormatPr defaultRowHeight="13.2" x14ac:dyDescent="0.2"/>
  <cols>
    <col min="2" max="2" width="11.21875" customWidth="1"/>
    <col min="3" max="3" width="13.88671875" style="11" customWidth="1"/>
    <col min="4" max="4" width="8.77734375" customWidth="1"/>
    <col min="5" max="5" width="11.21875" customWidth="1"/>
    <col min="6" max="6" width="12.21875" style="11" customWidth="1"/>
    <col min="7" max="7" width="8.77734375" customWidth="1"/>
  </cols>
  <sheetData>
    <row r="1" spans="1:22" x14ac:dyDescent="0.2">
      <c r="A1" s="70"/>
    </row>
    <row r="2" spans="1:22" ht="24.75" customHeight="1" x14ac:dyDescent="0.2">
      <c r="B2" s="13" t="s">
        <v>50</v>
      </c>
      <c r="F2" s="210">
        <f>B4</f>
        <v>0</v>
      </c>
      <c r="G2" s="210"/>
    </row>
    <row r="3" spans="1:22" ht="21" customHeight="1" x14ac:dyDescent="0.2">
      <c r="B3" s="12" t="s">
        <v>10</v>
      </c>
      <c r="C3" s="12" t="s">
        <v>0</v>
      </c>
      <c r="D3" s="12" t="s">
        <v>11</v>
      </c>
      <c r="E3" s="12" t="s">
        <v>10</v>
      </c>
      <c r="F3" s="12" t="s">
        <v>0</v>
      </c>
      <c r="G3" s="12" t="s">
        <v>11</v>
      </c>
    </row>
    <row r="4" spans="1:22" ht="27" customHeight="1" x14ac:dyDescent="0.2">
      <c r="B4" s="14">
        <f>勤務計画!H10</f>
        <v>0</v>
      </c>
      <c r="C4" s="12" t="str">
        <f>トイレ掃除!H76</f>
        <v>*</v>
      </c>
      <c r="D4" s="15"/>
      <c r="E4" s="14">
        <f>勤務計画!X10</f>
        <v>0</v>
      </c>
      <c r="F4" s="12" t="str">
        <f>トイレ掃除!X76</f>
        <v>*</v>
      </c>
      <c r="G4" s="15"/>
      <c r="R4" s="10"/>
      <c r="S4" s="10"/>
      <c r="T4" s="10"/>
      <c r="U4" s="10"/>
      <c r="V4" s="10"/>
    </row>
    <row r="5" spans="1:22" ht="27" customHeight="1" x14ac:dyDescent="0.2">
      <c r="B5" s="14">
        <f>勤務計画!I10</f>
        <v>0</v>
      </c>
      <c r="C5" s="12" t="str">
        <f>トイレ掃除!I76</f>
        <v>*</v>
      </c>
      <c r="D5" s="15"/>
      <c r="E5" s="14">
        <f>勤務計画!Y10</f>
        <v>0</v>
      </c>
      <c r="F5" s="12" t="str">
        <f>トイレ掃除!Y76</f>
        <v>*</v>
      </c>
      <c r="G5" s="15"/>
    </row>
    <row r="6" spans="1:22" ht="27" customHeight="1" x14ac:dyDescent="0.2">
      <c r="B6" s="14">
        <f>勤務計画!J10</f>
        <v>0</v>
      </c>
      <c r="C6" s="12" t="str">
        <f>トイレ掃除!J76</f>
        <v>*</v>
      </c>
      <c r="D6" s="15"/>
      <c r="E6" s="14">
        <f>勤務計画!Z10</f>
        <v>0</v>
      </c>
      <c r="F6" s="12" t="str">
        <f>トイレ掃除!Z76</f>
        <v>*</v>
      </c>
      <c r="G6" s="15"/>
    </row>
    <row r="7" spans="1:22" ht="27" customHeight="1" x14ac:dyDescent="0.2">
      <c r="B7" s="14">
        <f>勤務計画!K10</f>
        <v>0</v>
      </c>
      <c r="C7" s="12" t="str">
        <f>トイレ掃除!K76</f>
        <v>*</v>
      </c>
      <c r="D7" s="15"/>
      <c r="E7" s="14">
        <f>勤務計画!AA10</f>
        <v>0</v>
      </c>
      <c r="F7" s="12" t="str">
        <f>トイレ掃除!AA76</f>
        <v>*</v>
      </c>
      <c r="G7" s="15"/>
    </row>
    <row r="8" spans="1:22" ht="27" customHeight="1" x14ac:dyDescent="0.2">
      <c r="B8" s="14">
        <f>勤務計画!L10</f>
        <v>0</v>
      </c>
      <c r="C8" s="12" t="str">
        <f>トイレ掃除!L76</f>
        <v>*</v>
      </c>
      <c r="D8" s="15"/>
      <c r="E8" s="14">
        <f>勤務計画!AB10</f>
        <v>0</v>
      </c>
      <c r="F8" s="12" t="str">
        <f>トイレ掃除!AB76</f>
        <v>*</v>
      </c>
      <c r="G8" s="15"/>
    </row>
    <row r="9" spans="1:22" ht="27" customHeight="1" x14ac:dyDescent="0.2">
      <c r="B9" s="14">
        <f>勤務計画!M10</f>
        <v>0</v>
      </c>
      <c r="C9" s="12" t="str">
        <f>トイレ掃除!M76</f>
        <v>*</v>
      </c>
      <c r="D9" s="15"/>
      <c r="E9" s="14">
        <f>勤務計画!AC10</f>
        <v>0</v>
      </c>
      <c r="F9" s="12" t="str">
        <f>トイレ掃除!AC76</f>
        <v>*</v>
      </c>
      <c r="G9" s="15"/>
    </row>
    <row r="10" spans="1:22" ht="27" customHeight="1" x14ac:dyDescent="0.2">
      <c r="B10" s="14">
        <f>勤務計画!N10</f>
        <v>0</v>
      </c>
      <c r="C10" s="12" t="str">
        <f>トイレ掃除!N76</f>
        <v>*</v>
      </c>
      <c r="D10" s="15"/>
      <c r="E10" s="14">
        <f>勤務計画!AD10</f>
        <v>0</v>
      </c>
      <c r="F10" s="12" t="str">
        <f>トイレ掃除!AD76</f>
        <v>*</v>
      </c>
      <c r="G10" s="15"/>
    </row>
    <row r="11" spans="1:22" ht="27" customHeight="1" x14ac:dyDescent="0.2">
      <c r="B11" s="14">
        <f>勤務計画!O10</f>
        <v>0</v>
      </c>
      <c r="C11" s="12" t="str">
        <f>トイレ掃除!O$76</f>
        <v>*</v>
      </c>
      <c r="D11" s="15"/>
      <c r="E11" s="14">
        <f>勤務計画!AE10</f>
        <v>0</v>
      </c>
      <c r="F11" s="12" t="str">
        <f>トイレ掃除!AE76</f>
        <v>*</v>
      </c>
      <c r="G11" s="15"/>
    </row>
    <row r="12" spans="1:22" ht="27" customHeight="1" x14ac:dyDescent="0.2">
      <c r="B12" s="14">
        <f>勤務計画!P10</f>
        <v>0</v>
      </c>
      <c r="C12" s="12" t="str">
        <f>トイレ掃除!P$76</f>
        <v>*</v>
      </c>
      <c r="D12" s="15"/>
      <c r="E12" s="14">
        <f>勤務計画!AF10</f>
        <v>0</v>
      </c>
      <c r="F12" s="12" t="str">
        <f>トイレ掃除!AF76</f>
        <v>*</v>
      </c>
      <c r="G12" s="15"/>
    </row>
    <row r="13" spans="1:22" ht="27" customHeight="1" x14ac:dyDescent="0.2">
      <c r="B13" s="14">
        <f>勤務計画!Q10</f>
        <v>0</v>
      </c>
      <c r="C13" s="12" t="str">
        <f>トイレ掃除!Q76</f>
        <v>*</v>
      </c>
      <c r="D13" s="15"/>
      <c r="E13" s="14">
        <f>勤務計画!AG10</f>
        <v>0</v>
      </c>
      <c r="F13" s="12" t="str">
        <f>トイレ掃除!AG76</f>
        <v>*</v>
      </c>
      <c r="G13" s="15"/>
    </row>
    <row r="14" spans="1:22" ht="27" customHeight="1" x14ac:dyDescent="0.2">
      <c r="B14" s="14">
        <f>勤務計画!R10</f>
        <v>0</v>
      </c>
      <c r="C14" s="12" t="str">
        <f>トイレ掃除!R76</f>
        <v>*</v>
      </c>
      <c r="D14" s="15"/>
      <c r="E14" s="14">
        <f>勤務計画!AH10</f>
        <v>0</v>
      </c>
      <c r="F14" s="12" t="str">
        <f>トイレ掃除!AH76</f>
        <v>*</v>
      </c>
      <c r="G14" s="15"/>
    </row>
    <row r="15" spans="1:22" ht="27" customHeight="1" x14ac:dyDescent="0.2">
      <c r="B15" s="14">
        <f>勤務計画!S10</f>
        <v>0</v>
      </c>
      <c r="C15" s="12" t="str">
        <f>トイレ掃除!S76</f>
        <v>*</v>
      </c>
      <c r="D15" s="15"/>
      <c r="E15" s="14">
        <f>勤務計画!AI10</f>
        <v>0</v>
      </c>
      <c r="F15" s="12" t="str">
        <f>IF(E15=0,"",トイレ掃除!AI76)</f>
        <v/>
      </c>
      <c r="G15" s="15"/>
    </row>
    <row r="16" spans="1:22" ht="27" customHeight="1" x14ac:dyDescent="0.2">
      <c r="B16" s="14">
        <f>勤務計画!T10</f>
        <v>0</v>
      </c>
      <c r="C16" s="12" t="str">
        <f>トイレ掃除!T76</f>
        <v>*</v>
      </c>
      <c r="D16" s="15"/>
      <c r="E16" s="14">
        <f>勤務計画!AJ10</f>
        <v>0</v>
      </c>
      <c r="F16" s="12" t="str">
        <f>IF(E16=0,"",トイレ掃除!AJ76)</f>
        <v/>
      </c>
      <c r="G16" s="15"/>
    </row>
    <row r="17" spans="2:7" ht="27" customHeight="1" x14ac:dyDescent="0.2">
      <c r="B17" s="14">
        <f>勤務計画!U10</f>
        <v>0</v>
      </c>
      <c r="C17" s="12" t="str">
        <f>トイレ掃除!U76</f>
        <v>*</v>
      </c>
      <c r="D17" s="15"/>
      <c r="E17" s="14">
        <f>勤務計画!AK10</f>
        <v>0</v>
      </c>
      <c r="F17" s="12" t="str">
        <f>IF(E17=0,"",トイレ掃除!AK76)</f>
        <v/>
      </c>
      <c r="G17" s="15"/>
    </row>
    <row r="18" spans="2:7" ht="27" customHeight="1" x14ac:dyDescent="0.2">
      <c r="B18" s="14">
        <f>勤務計画!V10</f>
        <v>0</v>
      </c>
      <c r="C18" s="12" t="str">
        <f>トイレ掃除!V76</f>
        <v>*</v>
      </c>
      <c r="D18" s="15"/>
      <c r="E18" s="14">
        <f>勤務計画!AL11</f>
        <v>0</v>
      </c>
      <c r="F18" s="12" t="str">
        <f>IF(E18=0,"",トイレ掃除!AL76)</f>
        <v/>
      </c>
      <c r="G18" s="15"/>
    </row>
    <row r="19" spans="2:7" ht="27" customHeight="1" x14ac:dyDescent="0.2">
      <c r="B19" s="14">
        <f>勤務計画!W10</f>
        <v>0</v>
      </c>
      <c r="C19" s="12" t="str">
        <f>トイレ掃除!W76</f>
        <v>*</v>
      </c>
      <c r="D19" s="15"/>
      <c r="E19" s="14"/>
      <c r="F19" s="12"/>
      <c r="G19" s="15"/>
    </row>
    <row r="20" spans="2:7" x14ac:dyDescent="0.2">
      <c r="B20" s="10"/>
    </row>
    <row r="21" spans="2:7" x14ac:dyDescent="0.2">
      <c r="B21" s="10"/>
    </row>
    <row r="22" spans="2:7" x14ac:dyDescent="0.2">
      <c r="B22" s="10"/>
    </row>
    <row r="23" spans="2:7" x14ac:dyDescent="0.2">
      <c r="B23" s="10"/>
    </row>
    <row r="24" spans="2:7" x14ac:dyDescent="0.2">
      <c r="B24" s="10"/>
    </row>
    <row r="25" spans="2:7" x14ac:dyDescent="0.2">
      <c r="B25" s="10"/>
    </row>
    <row r="26" spans="2:7" x14ac:dyDescent="0.2">
      <c r="B26" s="10"/>
    </row>
    <row r="27" spans="2:7" x14ac:dyDescent="0.2">
      <c r="B27" s="10"/>
    </row>
    <row r="28" spans="2:7" x14ac:dyDescent="0.2">
      <c r="B28" s="10"/>
    </row>
    <row r="29" spans="2:7" x14ac:dyDescent="0.2">
      <c r="B29" s="10"/>
    </row>
    <row r="30" spans="2:7" x14ac:dyDescent="0.2">
      <c r="B30" s="10"/>
    </row>
    <row r="31" spans="2:7" x14ac:dyDescent="0.2">
      <c r="B31" s="10"/>
    </row>
    <row r="32" spans="2:7" x14ac:dyDescent="0.2">
      <c r="B32" s="10"/>
    </row>
    <row r="33" spans="2:2" x14ac:dyDescent="0.2">
      <c r="B33" s="10"/>
    </row>
    <row r="34" spans="2:2" x14ac:dyDescent="0.2">
      <c r="B34" s="10"/>
    </row>
    <row r="35" spans="2:2" x14ac:dyDescent="0.2">
      <c r="B35" s="10"/>
    </row>
    <row r="36" spans="2:2" x14ac:dyDescent="0.2">
      <c r="B36" s="10"/>
    </row>
    <row r="37" spans="2:2" x14ac:dyDescent="0.2">
      <c r="B37" s="10"/>
    </row>
    <row r="38" spans="2:2" x14ac:dyDescent="0.2">
      <c r="B38" s="10"/>
    </row>
  </sheetData>
  <sheetProtection algorithmName="SHA-512" hashValue="5WqKRVDO7RHDBlc6uoQLV7rw9Vc+4mO/WEzDNGZsRzg+NLoRQljRE4h0mOdq0e4veldFqy0Kph+nP4ODILGNlA==" saltValue="Q+40e7bKbyE0uEPT4qF3oA==" spinCount="100000" sheet="1" scenarios="1" selectLockedCells="1"/>
  <mergeCells count="1">
    <mergeCell ref="F2:G2"/>
  </mergeCells>
  <phoneticPr fontId="2"/>
  <printOptions horizontalCentered="1" verticalCentered="1"/>
  <pageMargins left="0.20833333333333334" right="0.20833333333333334" top="0.1388888888888889" bottom="0.1388888888888889" header="0.51181102362204722" footer="0.51181102362204722"/>
  <pageSetup paperSize="9" scale="130" orientation="portrait" horizontalDpi="4294967293"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fitToPage="1"/>
  </sheetPr>
  <dimension ref="A1:IB40"/>
  <sheetViews>
    <sheetView showGridLines="0" showOutlineSymbols="0" defaultGridColor="0" colorId="55" zoomScale="80" zoomScaleNormal="80" zoomScaleSheetLayoutView="75" workbookViewId="0">
      <pane xSplit="42" ySplit="11" topLeftCell="AQ12" activePane="bottomRight" state="frozen"/>
      <selection pane="topRight" activeCell="AQ1" sqref="AQ1"/>
      <selection pane="bottomLeft" activeCell="A12" sqref="A12"/>
      <selection pane="bottomRight"/>
    </sheetView>
  </sheetViews>
  <sheetFormatPr defaultColWidth="4.109375" defaultRowHeight="13.2" x14ac:dyDescent="0.2"/>
  <cols>
    <col min="1" max="1" width="2.6640625" style="1" customWidth="1"/>
    <col min="2" max="4" width="5.6640625" style="1" hidden="1" customWidth="1"/>
    <col min="5" max="6" width="8.6640625" style="2" hidden="1" customWidth="1"/>
    <col min="7" max="7" width="11.44140625" style="1" customWidth="1"/>
    <col min="8" max="38" width="4.33203125" style="1" customWidth="1"/>
    <col min="39" max="41" width="5.33203125" style="1" customWidth="1"/>
    <col min="42" max="42" width="10" style="1" customWidth="1"/>
    <col min="43" max="43" width="4.44140625" customWidth="1"/>
    <col min="44" max="50" width="4.109375" style="1" customWidth="1"/>
    <col min="51" max="51" width="9.33203125" style="1" customWidth="1"/>
    <col min="52" max="52" width="4.88671875" style="1" customWidth="1"/>
    <col min="53" max="54" width="4.109375" style="1" customWidth="1"/>
    <col min="55" max="55" width="4.109375" style="1"/>
    <col min="56" max="74" width="0" style="1" hidden="1" customWidth="1"/>
    <col min="75" max="16384" width="4.109375" style="1"/>
  </cols>
  <sheetData>
    <row r="1" spans="1:47" s="2" customFormat="1" ht="7.5" customHeight="1" x14ac:dyDescent="0.2">
      <c r="A1" s="125"/>
    </row>
    <row r="2" spans="1:47" ht="14.4" hidden="1" x14ac:dyDescent="0.2">
      <c r="B2" s="2"/>
      <c r="C2" s="2"/>
      <c r="D2" s="2"/>
      <c r="F2" s="1"/>
      <c r="G2" s="2"/>
      <c r="H2" s="77"/>
      <c r="I2" s="77"/>
      <c r="J2" s="77"/>
      <c r="K2" s="77"/>
      <c r="L2" s="77"/>
      <c r="M2" s="77"/>
      <c r="N2" s="77"/>
      <c r="O2" s="77"/>
      <c r="P2" s="77"/>
      <c r="Q2" s="77"/>
      <c r="R2" s="77"/>
      <c r="S2" s="77"/>
      <c r="T2" s="77"/>
      <c r="U2" s="77"/>
      <c r="V2" s="77"/>
      <c r="W2" s="77"/>
      <c r="X2" s="77"/>
      <c r="Y2" s="77"/>
      <c r="Z2" s="77"/>
      <c r="AA2" s="77"/>
      <c r="AB2" s="77"/>
      <c r="AC2" s="77"/>
      <c r="AD2" s="77"/>
      <c r="AE2" s="77"/>
      <c r="AF2" s="77"/>
      <c r="AG2" s="77"/>
      <c r="AH2" s="77"/>
      <c r="AI2" s="77"/>
      <c r="AJ2" s="77"/>
      <c r="AK2" s="77"/>
      <c r="AL2" s="77"/>
      <c r="AM2" s="2"/>
      <c r="AN2" s="2"/>
      <c r="AP2" s="2"/>
    </row>
    <row r="3" spans="1:47" s="2" customFormat="1" ht="18" hidden="1" customHeight="1" x14ac:dyDescent="0.2"/>
    <row r="4" spans="1:47" hidden="1" x14ac:dyDescent="0.2"/>
    <row r="5" spans="1:47" ht="21.75" customHeight="1" x14ac:dyDescent="0.2">
      <c r="M5" s="58"/>
      <c r="N5" s="3"/>
      <c r="P5" s="211"/>
      <c r="Q5" s="211"/>
      <c r="R5" s="211"/>
      <c r="S5" s="211"/>
      <c r="T5" s="211"/>
      <c r="U5" s="211"/>
      <c r="V5" s="211"/>
      <c r="W5" s="211"/>
      <c r="X5" s="211"/>
      <c r="Y5" s="211"/>
      <c r="Z5" s="211"/>
      <c r="AA5" s="211"/>
      <c r="AB5" s="211"/>
      <c r="AC5" s="3"/>
    </row>
    <row r="6" spans="1:47" ht="33" customHeight="1" x14ac:dyDescent="0.2">
      <c r="G6" s="62" t="str">
        <f>勤務計画!$G$6</f>
        <v>------</v>
      </c>
      <c r="H6" s="3"/>
      <c r="I6" s="3"/>
      <c r="J6" s="3"/>
      <c r="K6" s="3"/>
      <c r="L6" s="3"/>
      <c r="M6" s="3"/>
      <c r="N6" s="3"/>
      <c r="R6" s="4"/>
      <c r="S6" s="182"/>
      <c r="T6" s="182"/>
      <c r="U6" s="182"/>
      <c r="V6" s="182"/>
      <c r="X6" s="4"/>
      <c r="Y6" s="4"/>
      <c r="Z6" s="4"/>
      <c r="AA6" s="4"/>
      <c r="AB6" s="4"/>
    </row>
    <row r="7" spans="1:47" ht="23.25" customHeight="1" x14ac:dyDescent="0.2">
      <c r="G7" s="123" t="str">
        <f>S_Day</f>
        <v>年月日入力</v>
      </c>
      <c r="H7" s="107" t="s">
        <v>3</v>
      </c>
      <c r="I7" s="191">
        <f>E_day</f>
        <v>0</v>
      </c>
      <c r="J7" s="191" t="str">
        <f>S_Day</f>
        <v>年月日入力</v>
      </c>
      <c r="K7" s="192" t="str">
        <f>S_Day</f>
        <v>年月日入力</v>
      </c>
      <c r="L7" s="185" t="s">
        <v>64</v>
      </c>
      <c r="M7" s="186"/>
      <c r="N7" s="183" t="str">
        <f>勤務計画!$N$7</f>
        <v/>
      </c>
      <c r="O7" s="184"/>
      <c r="P7" s="186" t="s">
        <v>1</v>
      </c>
      <c r="Q7" s="186"/>
      <c r="R7" s="183" t="str">
        <f>勤務計画!$R$7</f>
        <v/>
      </c>
      <c r="S7" s="184"/>
    </row>
    <row r="8" spans="1:47" ht="27.75" hidden="1" customHeight="1" x14ac:dyDescent="0.2">
      <c r="G8" s="82"/>
      <c r="H8" s="111"/>
      <c r="I8" s="111"/>
      <c r="J8" s="111"/>
      <c r="K8" s="112"/>
      <c r="L8" s="113"/>
      <c r="M8" s="114"/>
      <c r="N8" s="114"/>
      <c r="O8" s="113"/>
      <c r="P8" s="114"/>
      <c r="Q8" s="115"/>
      <c r="R8" s="115"/>
      <c r="S8" s="115"/>
      <c r="T8" s="115"/>
      <c r="U8" s="115"/>
      <c r="V8" s="115"/>
      <c r="W8" s="115"/>
      <c r="X8" s="115"/>
      <c r="Y8" s="115"/>
      <c r="Z8" s="115"/>
      <c r="AA8" s="115"/>
      <c r="AB8" s="115"/>
      <c r="AC8" s="115"/>
      <c r="AD8" s="115"/>
      <c r="AE8" s="115"/>
      <c r="AF8" s="115"/>
      <c r="AG8" s="114"/>
      <c r="AH8" s="115"/>
      <c r="AI8" s="115"/>
      <c r="AJ8" s="115"/>
      <c r="AK8" s="115"/>
      <c r="AL8" s="114"/>
      <c r="AM8" s="110"/>
      <c r="AN8" s="179"/>
      <c r="AO8" s="179"/>
      <c r="AU8" s="61"/>
    </row>
    <row r="9" spans="1:47" s="11" customFormat="1" ht="27.75" hidden="1" customHeight="1" x14ac:dyDescent="0.2">
      <c r="G9" s="57" t="s">
        <v>26</v>
      </c>
      <c r="H9" s="105" t="str">
        <f>勤務計画!H9&amp;""</f>
        <v/>
      </c>
      <c r="I9" s="105" t="str">
        <f>勤務計画!I9&amp;""</f>
        <v/>
      </c>
      <c r="J9" s="105" t="str">
        <f>勤務計画!J9&amp;""</f>
        <v/>
      </c>
      <c r="K9" s="105" t="str">
        <f>勤務計画!K9&amp;""</f>
        <v/>
      </c>
      <c r="L9" s="105" t="str">
        <f>勤務計画!L9&amp;""</f>
        <v/>
      </c>
      <c r="M9" s="105" t="str">
        <f>勤務計画!M9&amp;""</f>
        <v/>
      </c>
      <c r="N9" s="105" t="str">
        <f>勤務計画!N9&amp;""</f>
        <v/>
      </c>
      <c r="O9" s="105" t="str">
        <f>勤務計画!O9&amp;""</f>
        <v/>
      </c>
      <c r="P9" s="105" t="str">
        <f>勤務計画!P9&amp;""</f>
        <v/>
      </c>
      <c r="Q9" s="105" t="str">
        <f>勤務計画!Q9&amp;""</f>
        <v/>
      </c>
      <c r="R9" s="105" t="str">
        <f>勤務計画!R9&amp;""</f>
        <v/>
      </c>
      <c r="S9" s="105" t="str">
        <f>勤務計画!S9&amp;""</f>
        <v/>
      </c>
      <c r="T9" s="105" t="str">
        <f>勤務計画!T9&amp;""</f>
        <v/>
      </c>
      <c r="U9" s="105" t="str">
        <f>勤務計画!U9&amp;""</f>
        <v/>
      </c>
      <c r="V9" s="105" t="str">
        <f>勤務計画!V9&amp;""</f>
        <v/>
      </c>
      <c r="W9" s="105" t="str">
        <f>勤務計画!W9&amp;""</f>
        <v/>
      </c>
      <c r="X9" s="105" t="str">
        <f>勤務計画!X9&amp;""</f>
        <v/>
      </c>
      <c r="Y9" s="105" t="str">
        <f>勤務計画!Y9&amp;""</f>
        <v/>
      </c>
      <c r="Z9" s="105" t="str">
        <f>勤務計画!Z9&amp;""</f>
        <v/>
      </c>
      <c r="AA9" s="105" t="str">
        <f>勤務計画!AA9&amp;""</f>
        <v/>
      </c>
      <c r="AB9" s="105" t="str">
        <f>勤務計画!AB9&amp;""</f>
        <v/>
      </c>
      <c r="AC9" s="105" t="str">
        <f>勤務計画!AC9&amp;""</f>
        <v/>
      </c>
      <c r="AD9" s="105" t="str">
        <f>勤務計画!AD9&amp;""</f>
        <v/>
      </c>
      <c r="AE9" s="105" t="str">
        <f>勤務計画!AE9&amp;""</f>
        <v/>
      </c>
      <c r="AF9" s="105" t="str">
        <f>勤務計画!AF9&amp;""</f>
        <v/>
      </c>
      <c r="AG9" s="105" t="str">
        <f>勤務計画!AG9&amp;""</f>
        <v/>
      </c>
      <c r="AH9" s="105" t="str">
        <f>勤務計画!AH9&amp;""</f>
        <v/>
      </c>
      <c r="AI9" s="105" t="str">
        <f>勤務計画!AI9&amp;""</f>
        <v/>
      </c>
      <c r="AJ9" s="105" t="str">
        <f>勤務計画!AJ9&amp;""</f>
        <v/>
      </c>
      <c r="AK9" s="105" t="str">
        <f>勤務計画!AK9&amp;""</f>
        <v/>
      </c>
      <c r="AL9" s="105" t="str">
        <f>勤務計画!AL9&amp;""</f>
        <v/>
      </c>
      <c r="AM9" s="105" t="str">
        <f>勤務計画!AM9&amp;""</f>
        <v/>
      </c>
      <c r="AO9" s="2"/>
    </row>
    <row r="10" spans="1:47" ht="18.75" customHeight="1" x14ac:dyDescent="0.2">
      <c r="G10" s="82" t="s">
        <v>27</v>
      </c>
      <c r="H10" s="105">
        <f>勤務計画!H10</f>
        <v>0</v>
      </c>
      <c r="I10" s="105">
        <f>勤務計画!I10</f>
        <v>0</v>
      </c>
      <c r="J10" s="105">
        <f>勤務計画!J10</f>
        <v>0</v>
      </c>
      <c r="K10" s="105">
        <f>勤務計画!K10</f>
        <v>0</v>
      </c>
      <c r="L10" s="105">
        <f>勤務計画!L10</f>
        <v>0</v>
      </c>
      <c r="M10" s="105">
        <f>勤務計画!M10</f>
        <v>0</v>
      </c>
      <c r="N10" s="105">
        <f>勤務計画!N10</f>
        <v>0</v>
      </c>
      <c r="O10" s="105">
        <f>勤務計画!O10</f>
        <v>0</v>
      </c>
      <c r="P10" s="105">
        <f>勤務計画!P10</f>
        <v>0</v>
      </c>
      <c r="Q10" s="105">
        <f>勤務計画!Q10</f>
        <v>0</v>
      </c>
      <c r="R10" s="105">
        <f>勤務計画!R10</f>
        <v>0</v>
      </c>
      <c r="S10" s="105">
        <f>勤務計画!S10</f>
        <v>0</v>
      </c>
      <c r="T10" s="105">
        <f>勤務計画!T10</f>
        <v>0</v>
      </c>
      <c r="U10" s="105">
        <f>勤務計画!U10</f>
        <v>0</v>
      </c>
      <c r="V10" s="105">
        <f>勤務計画!V10</f>
        <v>0</v>
      </c>
      <c r="W10" s="105">
        <f>勤務計画!W10</f>
        <v>0</v>
      </c>
      <c r="X10" s="105">
        <f>勤務計画!X10</f>
        <v>0</v>
      </c>
      <c r="Y10" s="105">
        <f>勤務計画!Y10</f>
        <v>0</v>
      </c>
      <c r="Z10" s="105">
        <f>勤務計画!Z10</f>
        <v>0</v>
      </c>
      <c r="AA10" s="105">
        <f>勤務計画!AA10</f>
        <v>0</v>
      </c>
      <c r="AB10" s="105">
        <f>勤務計画!AB10</f>
        <v>0</v>
      </c>
      <c r="AC10" s="105">
        <f>勤務計画!AC10</f>
        <v>0</v>
      </c>
      <c r="AD10" s="105">
        <f>勤務計画!AD10</f>
        <v>0</v>
      </c>
      <c r="AE10" s="105">
        <f>勤務計画!AE10</f>
        <v>0</v>
      </c>
      <c r="AF10" s="105">
        <f>勤務計画!AF10</f>
        <v>0</v>
      </c>
      <c r="AG10" s="105">
        <f>勤務計画!AG10</f>
        <v>0</v>
      </c>
      <c r="AH10" s="105">
        <f>勤務計画!AH10</f>
        <v>0</v>
      </c>
      <c r="AI10" s="105">
        <f>勤務計画!AI10</f>
        <v>0</v>
      </c>
      <c r="AJ10" s="105">
        <f>勤務計画!AJ10</f>
        <v>0</v>
      </c>
      <c r="AK10" s="105">
        <f>勤務計画!AK10</f>
        <v>0</v>
      </c>
      <c r="AL10" s="105">
        <f>勤務計画!AL10</f>
        <v>0</v>
      </c>
      <c r="AM10" s="84" t="str">
        <f>勤務計画!AM10</f>
        <v>休み</v>
      </c>
      <c r="AN10" s="174" t="s">
        <v>51</v>
      </c>
      <c r="AO10" s="174" t="s">
        <v>49</v>
      </c>
      <c r="AP10" s="177" t="s">
        <v>0</v>
      </c>
      <c r="AQ10" s="124"/>
    </row>
    <row r="11" spans="1:47" ht="18.75" customHeight="1" x14ac:dyDescent="0.2">
      <c r="E11" s="42" t="s">
        <v>71</v>
      </c>
      <c r="F11" s="42" t="s">
        <v>14</v>
      </c>
      <c r="G11" s="82" t="s">
        <v>70</v>
      </c>
      <c r="H11" s="85">
        <f>勤務計画!H11</f>
        <v>0</v>
      </c>
      <c r="I11" s="85">
        <f>勤務計画!I11</f>
        <v>0</v>
      </c>
      <c r="J11" s="85">
        <f>勤務計画!J11</f>
        <v>0</v>
      </c>
      <c r="K11" s="85">
        <f>勤務計画!K11</f>
        <v>0</v>
      </c>
      <c r="L11" s="85">
        <f>勤務計画!L11</f>
        <v>0</v>
      </c>
      <c r="M11" s="85">
        <f>勤務計画!M11</f>
        <v>0</v>
      </c>
      <c r="N11" s="85">
        <f>勤務計画!N11</f>
        <v>0</v>
      </c>
      <c r="O11" s="85">
        <f>勤務計画!O11</f>
        <v>0</v>
      </c>
      <c r="P11" s="85">
        <f>勤務計画!P11</f>
        <v>0</v>
      </c>
      <c r="Q11" s="85">
        <f>勤務計画!Q11</f>
        <v>0</v>
      </c>
      <c r="R11" s="85">
        <f>勤務計画!R11</f>
        <v>0</v>
      </c>
      <c r="S11" s="85">
        <f>勤務計画!S11</f>
        <v>0</v>
      </c>
      <c r="T11" s="85">
        <f>勤務計画!T11</f>
        <v>0</v>
      </c>
      <c r="U11" s="85">
        <f>勤務計画!U11</f>
        <v>0</v>
      </c>
      <c r="V11" s="85">
        <f>勤務計画!V11</f>
        <v>0</v>
      </c>
      <c r="W11" s="85">
        <f>勤務計画!W11</f>
        <v>0</v>
      </c>
      <c r="X11" s="85">
        <f>勤務計画!X11</f>
        <v>0</v>
      </c>
      <c r="Y11" s="85">
        <f>勤務計画!Y11</f>
        <v>0</v>
      </c>
      <c r="Z11" s="85">
        <f>勤務計画!Z11</f>
        <v>0</v>
      </c>
      <c r="AA11" s="85">
        <f>勤務計画!AA11</f>
        <v>0</v>
      </c>
      <c r="AB11" s="85">
        <f>勤務計画!AB11</f>
        <v>0</v>
      </c>
      <c r="AC11" s="85">
        <f>勤務計画!AC11</f>
        <v>0</v>
      </c>
      <c r="AD11" s="85">
        <f>勤務計画!AD11</f>
        <v>0</v>
      </c>
      <c r="AE11" s="85">
        <f>勤務計画!AE11</f>
        <v>0</v>
      </c>
      <c r="AF11" s="85">
        <f>勤務計画!AF11</f>
        <v>0</v>
      </c>
      <c r="AG11" s="85">
        <f>勤務計画!AG11</f>
        <v>0</v>
      </c>
      <c r="AH11" s="85">
        <f>勤務計画!AH11</f>
        <v>0</v>
      </c>
      <c r="AI11" s="85">
        <f>勤務計画!AI11</f>
        <v>0</v>
      </c>
      <c r="AJ11" s="85">
        <f>勤務計画!AJ11</f>
        <v>0</v>
      </c>
      <c r="AK11" s="85">
        <f>勤務計画!AK11</f>
        <v>0</v>
      </c>
      <c r="AL11" s="85">
        <f>勤務計画!AL11</f>
        <v>0</v>
      </c>
      <c r="AM11" s="83">
        <f>勤務計画!AM11</f>
        <v>0</v>
      </c>
      <c r="AN11" s="175"/>
      <c r="AO11" s="175"/>
      <c r="AP11" s="178"/>
      <c r="AQ11" s="124"/>
      <c r="AR11" s="2"/>
    </row>
    <row r="12" spans="1:47" ht="27.75" customHeight="1" x14ac:dyDescent="0.2">
      <c r="E12" s="42">
        <v>1110</v>
      </c>
      <c r="F12" s="42">
        <v>3</v>
      </c>
      <c r="G12" s="83" t="str">
        <f>勤務計画!G12&amp;""</f>
        <v/>
      </c>
      <c r="H12" s="116" t="str">
        <f>IF(勤務計画!H12="休希","休",勤務計画!H12&amp;"")</f>
        <v/>
      </c>
      <c r="I12" s="116" t="str">
        <f>IF(勤務計画!I12="休希","休",勤務計画!I12&amp;"")</f>
        <v/>
      </c>
      <c r="J12" s="116" t="str">
        <f>IF(勤務計画!J12="休希","休",勤務計画!J12&amp;"")</f>
        <v/>
      </c>
      <c r="K12" s="116" t="str">
        <f>IF(勤務計画!K12="休希","休",勤務計画!K12&amp;"")</f>
        <v/>
      </c>
      <c r="L12" s="116" t="str">
        <f>IF(勤務計画!L12="休希","休",勤務計画!L12&amp;"")</f>
        <v/>
      </c>
      <c r="M12" s="116" t="str">
        <f>IF(勤務計画!M12="休希","休",勤務計画!M12&amp;"")</f>
        <v/>
      </c>
      <c r="N12" s="116" t="str">
        <f>IF(勤務計画!N12="休希","休",勤務計画!N12&amp;"")</f>
        <v/>
      </c>
      <c r="O12" s="116" t="str">
        <f>IF(勤務計画!O12="休希","休",勤務計画!O12&amp;"")</f>
        <v/>
      </c>
      <c r="P12" s="116" t="str">
        <f>IF(勤務計画!P12="休希","休",勤務計画!P12&amp;"")</f>
        <v/>
      </c>
      <c r="Q12" s="116" t="str">
        <f>IF(勤務計画!Q12="休希","休",勤務計画!Q12&amp;"")</f>
        <v/>
      </c>
      <c r="R12" s="116" t="str">
        <f>IF(勤務計画!R12="休希","休",勤務計画!R12&amp;"")</f>
        <v/>
      </c>
      <c r="S12" s="116" t="str">
        <f>IF(勤務計画!S12="休希","休",勤務計画!S12&amp;"")</f>
        <v/>
      </c>
      <c r="T12" s="116" t="str">
        <f>IF(勤務計画!T12="休希","休",勤務計画!T12&amp;"")</f>
        <v/>
      </c>
      <c r="U12" s="116" t="str">
        <f>IF(勤務計画!U12="休希","休",勤務計画!U12&amp;"")</f>
        <v/>
      </c>
      <c r="V12" s="116" t="str">
        <f>IF(勤務計画!V12="休希","休",勤務計画!V12&amp;"")</f>
        <v/>
      </c>
      <c r="W12" s="116" t="str">
        <f>IF(勤務計画!W12="休希","休",勤務計画!W12&amp;"")</f>
        <v/>
      </c>
      <c r="X12" s="116" t="str">
        <f>IF(勤務計画!X12="休希","休",勤務計画!X12&amp;"")</f>
        <v/>
      </c>
      <c r="Y12" s="116" t="str">
        <f>IF(勤務計画!Y12="休希","休",勤務計画!Y12&amp;"")</f>
        <v/>
      </c>
      <c r="Z12" s="116" t="str">
        <f>IF(勤務計画!Z12="休希","休",勤務計画!Z12&amp;"")</f>
        <v/>
      </c>
      <c r="AA12" s="116" t="str">
        <f>IF(勤務計画!AA12="休希","休",勤務計画!AA12&amp;"")</f>
        <v/>
      </c>
      <c r="AB12" s="116" t="str">
        <f>IF(勤務計画!AB12="休希","休",勤務計画!AB12&amp;"")</f>
        <v/>
      </c>
      <c r="AC12" s="116" t="str">
        <f>IF(勤務計画!AC12="休希","休",勤務計画!AC12&amp;"")</f>
        <v/>
      </c>
      <c r="AD12" s="116" t="str">
        <f>IF(勤務計画!AD12="休希","休",勤務計画!AD12&amp;"")</f>
        <v/>
      </c>
      <c r="AE12" s="116" t="str">
        <f>IF(勤務計画!AE12="休希","休",勤務計画!AE12&amp;"")</f>
        <v/>
      </c>
      <c r="AF12" s="116" t="str">
        <f>IF(勤務計画!AF12="休希","休",勤務計画!AF12&amp;"")</f>
        <v/>
      </c>
      <c r="AG12" s="116" t="str">
        <f>IF(勤務計画!AG12="休希","休",勤務計画!AG12&amp;"")</f>
        <v/>
      </c>
      <c r="AH12" s="116" t="str">
        <f>IF(勤務計画!AH12="休希","休",勤務計画!AH12&amp;"")</f>
        <v/>
      </c>
      <c r="AI12" s="116" t="str">
        <f>IF(勤務計画!AI12="休希","休",勤務計画!AI12&amp;"")</f>
        <v/>
      </c>
      <c r="AJ12" s="116" t="str">
        <f>IF(勤務計画!AJ12="休希","休",勤務計画!AJ12&amp;"")</f>
        <v/>
      </c>
      <c r="AK12" s="116" t="str">
        <f>IF(勤務計画!AK12="休希","休",勤務計画!AK12&amp;"")</f>
        <v/>
      </c>
      <c r="AL12" s="116" t="str">
        <f>IF(勤務計画!AL12="休希","休",勤務計画!AL12&amp;"")</f>
        <v/>
      </c>
      <c r="AM12" s="83" t="str">
        <f>勤務計画!AM12</f>
        <v/>
      </c>
      <c r="AN12" s="83" t="str">
        <f>勤務計画!AN12</f>
        <v/>
      </c>
      <c r="AO12" s="83" t="str">
        <f>勤務計画!AO12&amp;""</f>
        <v>0</v>
      </c>
      <c r="AP12" s="86" t="str">
        <f t="shared" ref="AP12:AP39" si="0">G12&amp;""</f>
        <v/>
      </c>
      <c r="AQ12" s="122"/>
    </row>
    <row r="13" spans="1:47" ht="27.75" customHeight="1" x14ac:dyDescent="0.2">
      <c r="E13" s="42">
        <v>1136</v>
      </c>
      <c r="F13" s="42">
        <v>4</v>
      </c>
      <c r="G13" s="83" t="str">
        <f>勤務計画!G13&amp;""</f>
        <v/>
      </c>
      <c r="H13" s="116" t="str">
        <f>IF(勤務計画!H13="休希","休",勤務計画!H13&amp;"")</f>
        <v/>
      </c>
      <c r="I13" s="116" t="str">
        <f>IF(勤務計画!I13="休希","休",勤務計画!I13&amp;"")</f>
        <v/>
      </c>
      <c r="J13" s="116" t="str">
        <f>IF(勤務計画!J13="休希","休",勤務計画!J13&amp;"")</f>
        <v/>
      </c>
      <c r="K13" s="116" t="str">
        <f>IF(勤務計画!K13="休希","休",勤務計画!K13&amp;"")</f>
        <v/>
      </c>
      <c r="L13" s="116" t="str">
        <f>IF(勤務計画!L13="休希","休",勤務計画!L13&amp;"")</f>
        <v/>
      </c>
      <c r="M13" s="116" t="str">
        <f>IF(勤務計画!M13="休希","休",勤務計画!M13&amp;"")</f>
        <v/>
      </c>
      <c r="N13" s="116" t="str">
        <f>IF(勤務計画!N13="休希","休",勤務計画!N13&amp;"")</f>
        <v/>
      </c>
      <c r="O13" s="116" t="str">
        <f>IF(勤務計画!O13="休希","休",勤務計画!O13&amp;"")</f>
        <v/>
      </c>
      <c r="P13" s="116" t="str">
        <f>IF(勤務計画!P13="休希","休",勤務計画!P13&amp;"")</f>
        <v/>
      </c>
      <c r="Q13" s="116" t="str">
        <f>IF(勤務計画!Q13="休希","休",勤務計画!Q13&amp;"")</f>
        <v/>
      </c>
      <c r="R13" s="116" t="str">
        <f>IF(勤務計画!R13="休希","休",勤務計画!R13&amp;"")</f>
        <v/>
      </c>
      <c r="S13" s="116" t="str">
        <f>IF(勤務計画!S13="休希","休",勤務計画!S13&amp;"")</f>
        <v/>
      </c>
      <c r="T13" s="116" t="str">
        <f>IF(勤務計画!T13="休希","休",勤務計画!T13&amp;"")</f>
        <v/>
      </c>
      <c r="U13" s="116" t="str">
        <f>IF(勤務計画!U13="休希","休",勤務計画!U13&amp;"")</f>
        <v/>
      </c>
      <c r="V13" s="116" t="str">
        <f>IF(勤務計画!V13="休希","休",勤務計画!V13&amp;"")</f>
        <v/>
      </c>
      <c r="W13" s="116" t="str">
        <f>IF(勤務計画!W13="休希","休",勤務計画!W13&amp;"")</f>
        <v/>
      </c>
      <c r="X13" s="116" t="str">
        <f>IF(勤務計画!X13="休希","休",勤務計画!X13&amp;"")</f>
        <v/>
      </c>
      <c r="Y13" s="116" t="str">
        <f>IF(勤務計画!Y13="休希","休",勤務計画!Y13&amp;"")</f>
        <v/>
      </c>
      <c r="Z13" s="116" t="str">
        <f>IF(勤務計画!Z13="休希","休",勤務計画!Z13&amp;"")</f>
        <v/>
      </c>
      <c r="AA13" s="116" t="str">
        <f>IF(勤務計画!AA13="休希","休",勤務計画!AA13&amp;"")</f>
        <v/>
      </c>
      <c r="AB13" s="116" t="str">
        <f>IF(勤務計画!AB13="休希","休",勤務計画!AB13&amp;"")</f>
        <v/>
      </c>
      <c r="AC13" s="116" t="str">
        <f>IF(勤務計画!AC13="休希","休",勤務計画!AC13&amp;"")</f>
        <v/>
      </c>
      <c r="AD13" s="116" t="str">
        <f>IF(勤務計画!AD13="休希","休",勤務計画!AD13&amp;"")</f>
        <v/>
      </c>
      <c r="AE13" s="116" t="str">
        <f>IF(勤務計画!AE13="休希","休",勤務計画!AE13&amp;"")</f>
        <v/>
      </c>
      <c r="AF13" s="116" t="str">
        <f>IF(勤務計画!AF13="休希","休",勤務計画!AF13&amp;"")</f>
        <v/>
      </c>
      <c r="AG13" s="116" t="str">
        <f>IF(勤務計画!AG13="休希","休",勤務計画!AG13&amp;"")</f>
        <v/>
      </c>
      <c r="AH13" s="116" t="str">
        <f>IF(勤務計画!AH13="休希","休",勤務計画!AH13&amp;"")</f>
        <v/>
      </c>
      <c r="AI13" s="116" t="str">
        <f>IF(勤務計画!AI13="休希","休",勤務計画!AI13&amp;"")</f>
        <v/>
      </c>
      <c r="AJ13" s="116" t="str">
        <f>IF(勤務計画!AJ13="休希","休",勤務計画!AJ13&amp;"")</f>
        <v/>
      </c>
      <c r="AK13" s="116" t="str">
        <f>IF(勤務計画!AK13="休希","休",勤務計画!AK13&amp;"")</f>
        <v/>
      </c>
      <c r="AL13" s="116" t="str">
        <f>IF(勤務計画!AL13="休希","休",勤務計画!AL13&amp;"")</f>
        <v/>
      </c>
      <c r="AM13" s="83" t="str">
        <f>勤務計画!AM13</f>
        <v/>
      </c>
      <c r="AN13" s="83" t="str">
        <f>勤務計画!AN13</f>
        <v/>
      </c>
      <c r="AO13" s="83" t="str">
        <f>勤務計画!AO13&amp;""</f>
        <v>0</v>
      </c>
      <c r="AP13" s="86" t="str">
        <f t="shared" si="0"/>
        <v/>
      </c>
      <c r="AQ13" s="122"/>
    </row>
    <row r="14" spans="1:47" ht="27.75" customHeight="1" x14ac:dyDescent="0.2">
      <c r="E14" s="42">
        <v>1171</v>
      </c>
      <c r="F14" s="42">
        <v>5</v>
      </c>
      <c r="G14" s="83" t="str">
        <f>勤務計画!G14&amp;""</f>
        <v/>
      </c>
      <c r="H14" s="116" t="str">
        <f>IF(勤務計画!H14="休希","休",勤務計画!H14&amp;"")</f>
        <v/>
      </c>
      <c r="I14" s="116" t="str">
        <f>IF(勤務計画!I14="休希","休",勤務計画!I14&amp;"")</f>
        <v/>
      </c>
      <c r="J14" s="116" t="str">
        <f>IF(勤務計画!J14="休希","休",勤務計画!J14&amp;"")</f>
        <v/>
      </c>
      <c r="K14" s="116" t="str">
        <f>IF(勤務計画!K14="休希","休",勤務計画!K14&amp;"")</f>
        <v/>
      </c>
      <c r="L14" s="116" t="str">
        <f>IF(勤務計画!L14="休希","休",勤務計画!L14&amp;"")</f>
        <v/>
      </c>
      <c r="M14" s="116" t="str">
        <f>IF(勤務計画!M14="休希","休",勤務計画!M14&amp;"")</f>
        <v/>
      </c>
      <c r="N14" s="116" t="str">
        <f>IF(勤務計画!N14="休希","休",勤務計画!N14&amp;"")</f>
        <v/>
      </c>
      <c r="O14" s="116" t="str">
        <f>IF(勤務計画!O14="休希","休",勤務計画!O14&amp;"")</f>
        <v/>
      </c>
      <c r="P14" s="116" t="str">
        <f>IF(勤務計画!P14="休希","休",勤務計画!P14&amp;"")</f>
        <v/>
      </c>
      <c r="Q14" s="116" t="str">
        <f>IF(勤務計画!Q14="休希","休",勤務計画!Q14&amp;"")</f>
        <v/>
      </c>
      <c r="R14" s="116" t="str">
        <f>IF(勤務計画!R14="休希","休",勤務計画!R14&amp;"")</f>
        <v/>
      </c>
      <c r="S14" s="116" t="str">
        <f>IF(勤務計画!S14="休希","休",勤務計画!S14&amp;"")</f>
        <v/>
      </c>
      <c r="T14" s="116" t="str">
        <f>IF(勤務計画!T14="休希","休",勤務計画!T14&amp;"")</f>
        <v/>
      </c>
      <c r="U14" s="116" t="str">
        <f>IF(勤務計画!U14="休希","休",勤務計画!U14&amp;"")</f>
        <v/>
      </c>
      <c r="V14" s="116" t="str">
        <f>IF(勤務計画!V14="休希","休",勤務計画!V14&amp;"")</f>
        <v/>
      </c>
      <c r="W14" s="116" t="str">
        <f>IF(勤務計画!W14="休希","休",勤務計画!W14&amp;"")</f>
        <v/>
      </c>
      <c r="X14" s="116" t="str">
        <f>IF(勤務計画!X14="休希","休",勤務計画!X14&amp;"")</f>
        <v/>
      </c>
      <c r="Y14" s="116" t="str">
        <f>IF(勤務計画!Y14="休希","休",勤務計画!Y14&amp;"")</f>
        <v/>
      </c>
      <c r="Z14" s="116" t="str">
        <f>IF(勤務計画!Z14="休希","休",勤務計画!Z14&amp;"")</f>
        <v/>
      </c>
      <c r="AA14" s="116" t="str">
        <f>IF(勤務計画!AA14="休希","休",勤務計画!AA14&amp;"")</f>
        <v/>
      </c>
      <c r="AB14" s="116" t="str">
        <f>IF(勤務計画!AB14="休希","休",勤務計画!AB14&amp;"")</f>
        <v/>
      </c>
      <c r="AC14" s="116" t="str">
        <f>IF(勤務計画!AC14="休希","休",勤務計画!AC14&amp;"")</f>
        <v/>
      </c>
      <c r="AD14" s="116" t="str">
        <f>IF(勤務計画!AD14="休希","休",勤務計画!AD14&amp;"")</f>
        <v/>
      </c>
      <c r="AE14" s="116" t="str">
        <f>IF(勤務計画!AE14="休希","休",勤務計画!AE14&amp;"")</f>
        <v/>
      </c>
      <c r="AF14" s="116" t="str">
        <f>IF(勤務計画!AF14="休希","休",勤務計画!AF14&amp;"")</f>
        <v/>
      </c>
      <c r="AG14" s="116" t="str">
        <f>IF(勤務計画!AG14="休希","休",勤務計画!AG14&amp;"")</f>
        <v/>
      </c>
      <c r="AH14" s="116" t="str">
        <f>IF(勤務計画!AH14="休希","休",勤務計画!AH14&amp;"")</f>
        <v/>
      </c>
      <c r="AI14" s="116" t="str">
        <f>IF(勤務計画!AI14="休希","休",勤務計画!AI14&amp;"")</f>
        <v/>
      </c>
      <c r="AJ14" s="116" t="str">
        <f>IF(勤務計画!AJ14="休希","休",勤務計画!AJ14&amp;"")</f>
        <v/>
      </c>
      <c r="AK14" s="116" t="str">
        <f>IF(勤務計画!AK14="休希","休",勤務計画!AK14&amp;"")</f>
        <v/>
      </c>
      <c r="AL14" s="116" t="str">
        <f>IF(勤務計画!AL14="休希","休",勤務計画!AL14&amp;"")</f>
        <v/>
      </c>
      <c r="AM14" s="83" t="str">
        <f>勤務計画!AM14</f>
        <v/>
      </c>
      <c r="AN14" s="83" t="str">
        <f>勤務計画!AN14</f>
        <v/>
      </c>
      <c r="AO14" s="83" t="str">
        <f>勤務計画!AO14&amp;""</f>
        <v>0</v>
      </c>
      <c r="AP14" s="86" t="str">
        <f t="shared" si="0"/>
        <v/>
      </c>
      <c r="AQ14" s="122"/>
    </row>
    <row r="15" spans="1:47" ht="27.75" customHeight="1" x14ac:dyDescent="0.2">
      <c r="E15" s="42">
        <v>1149</v>
      </c>
      <c r="F15" s="42">
        <v>6</v>
      </c>
      <c r="G15" s="83" t="str">
        <f>勤務計画!G15&amp;""</f>
        <v/>
      </c>
      <c r="H15" s="116" t="str">
        <f>IF(勤務計画!H15="休希","休",勤務計画!H15&amp;"")</f>
        <v/>
      </c>
      <c r="I15" s="116" t="str">
        <f>IF(勤務計画!I15="休希","休",勤務計画!I15&amp;"")</f>
        <v/>
      </c>
      <c r="J15" s="116" t="str">
        <f>IF(勤務計画!J15="休希","休",勤務計画!J15&amp;"")</f>
        <v/>
      </c>
      <c r="K15" s="116" t="str">
        <f>IF(勤務計画!K15="休希","休",勤務計画!K15&amp;"")</f>
        <v/>
      </c>
      <c r="L15" s="116" t="str">
        <f>IF(勤務計画!L15="休希","休",勤務計画!L15&amp;"")</f>
        <v/>
      </c>
      <c r="M15" s="116" t="str">
        <f>IF(勤務計画!M15="休希","休",勤務計画!M15&amp;"")</f>
        <v/>
      </c>
      <c r="N15" s="116" t="str">
        <f>IF(勤務計画!N15="休希","休",勤務計画!N15&amp;"")</f>
        <v/>
      </c>
      <c r="O15" s="116" t="str">
        <f>IF(勤務計画!O15="休希","休",勤務計画!O15&amp;"")</f>
        <v/>
      </c>
      <c r="P15" s="116" t="str">
        <f>IF(勤務計画!P15="休希","休",勤務計画!P15&amp;"")</f>
        <v/>
      </c>
      <c r="Q15" s="116" t="str">
        <f>IF(勤務計画!Q15="休希","休",勤務計画!Q15&amp;"")</f>
        <v/>
      </c>
      <c r="R15" s="116" t="str">
        <f>IF(勤務計画!R15="休希","休",勤務計画!R15&amp;"")</f>
        <v/>
      </c>
      <c r="S15" s="116" t="str">
        <f>IF(勤務計画!S15="休希","休",勤務計画!S15&amp;"")</f>
        <v/>
      </c>
      <c r="T15" s="116" t="str">
        <f>IF(勤務計画!T15="休希","休",勤務計画!T15&amp;"")</f>
        <v/>
      </c>
      <c r="U15" s="116" t="str">
        <f>IF(勤務計画!U15="休希","休",勤務計画!U15&amp;"")</f>
        <v/>
      </c>
      <c r="V15" s="116" t="str">
        <f>IF(勤務計画!V15="休希","休",勤務計画!V15&amp;"")</f>
        <v/>
      </c>
      <c r="W15" s="116" t="str">
        <f>IF(勤務計画!W15="休希","休",勤務計画!W15&amp;"")</f>
        <v/>
      </c>
      <c r="X15" s="116" t="str">
        <f>IF(勤務計画!X15="休希","休",勤務計画!X15&amp;"")</f>
        <v/>
      </c>
      <c r="Y15" s="116" t="str">
        <f>IF(勤務計画!Y15="休希","休",勤務計画!Y15&amp;"")</f>
        <v/>
      </c>
      <c r="Z15" s="116" t="str">
        <f>IF(勤務計画!Z15="休希","休",勤務計画!Z15&amp;"")</f>
        <v/>
      </c>
      <c r="AA15" s="116" t="str">
        <f>IF(勤務計画!AA15="休希","休",勤務計画!AA15&amp;"")</f>
        <v/>
      </c>
      <c r="AB15" s="116" t="str">
        <f>IF(勤務計画!AB15="休希","休",勤務計画!AB15&amp;"")</f>
        <v/>
      </c>
      <c r="AC15" s="116" t="str">
        <f>IF(勤務計画!AC15="休希","休",勤務計画!AC15&amp;"")</f>
        <v/>
      </c>
      <c r="AD15" s="116" t="str">
        <f>IF(勤務計画!AD15="休希","休",勤務計画!AD15&amp;"")</f>
        <v/>
      </c>
      <c r="AE15" s="116" t="str">
        <f>IF(勤務計画!AE15="休希","休",勤務計画!AE15&amp;"")</f>
        <v/>
      </c>
      <c r="AF15" s="116" t="str">
        <f>IF(勤務計画!AF15="休希","休",勤務計画!AF15&amp;"")</f>
        <v/>
      </c>
      <c r="AG15" s="116" t="str">
        <f>IF(勤務計画!AG15="休希","休",勤務計画!AG15&amp;"")</f>
        <v/>
      </c>
      <c r="AH15" s="116" t="str">
        <f>IF(勤務計画!AH15="休希","休",勤務計画!AH15&amp;"")</f>
        <v/>
      </c>
      <c r="AI15" s="116" t="str">
        <f>IF(勤務計画!AI15="休希","休",勤務計画!AI15&amp;"")</f>
        <v/>
      </c>
      <c r="AJ15" s="116" t="str">
        <f>IF(勤務計画!AJ15="休希","休",勤務計画!AJ15&amp;"")</f>
        <v/>
      </c>
      <c r="AK15" s="116" t="str">
        <f>IF(勤務計画!AK15="休希","休",勤務計画!AK15&amp;"")</f>
        <v/>
      </c>
      <c r="AL15" s="116" t="str">
        <f>IF(勤務計画!AL15="休希","休",勤務計画!AL15&amp;"")</f>
        <v/>
      </c>
      <c r="AM15" s="83" t="str">
        <f>勤務計画!AM15</f>
        <v/>
      </c>
      <c r="AN15" s="83" t="str">
        <f>勤務計画!AN15</f>
        <v/>
      </c>
      <c r="AO15" s="83" t="str">
        <f>勤務計画!AO15&amp;""</f>
        <v>0</v>
      </c>
      <c r="AP15" s="86" t="str">
        <f t="shared" si="0"/>
        <v/>
      </c>
      <c r="AQ15" s="122"/>
    </row>
    <row r="16" spans="1:47" ht="27.75" customHeight="1" x14ac:dyDescent="0.2">
      <c r="E16" s="42">
        <v>1158</v>
      </c>
      <c r="F16" s="42">
        <v>7</v>
      </c>
      <c r="G16" s="83" t="str">
        <f>勤務計画!G16&amp;""</f>
        <v/>
      </c>
      <c r="H16" s="116" t="str">
        <f>IF(勤務計画!H16="休希","休",勤務計画!H16&amp;"")</f>
        <v/>
      </c>
      <c r="I16" s="116" t="str">
        <f>IF(勤務計画!I16="休希","休",勤務計画!I16&amp;"")</f>
        <v/>
      </c>
      <c r="J16" s="116" t="str">
        <f>IF(勤務計画!J16="休希","休",勤務計画!J16&amp;"")</f>
        <v/>
      </c>
      <c r="K16" s="116" t="str">
        <f>IF(勤務計画!K16="休希","休",勤務計画!K16&amp;"")</f>
        <v/>
      </c>
      <c r="L16" s="116" t="str">
        <f>IF(勤務計画!L16="休希","休",勤務計画!L16&amp;"")</f>
        <v/>
      </c>
      <c r="M16" s="116" t="str">
        <f>IF(勤務計画!M16="休希","休",勤務計画!M16&amp;"")</f>
        <v/>
      </c>
      <c r="N16" s="116" t="str">
        <f>IF(勤務計画!N16="休希","休",勤務計画!N16&amp;"")</f>
        <v/>
      </c>
      <c r="O16" s="116" t="str">
        <f>IF(勤務計画!O16="休希","休",勤務計画!O16&amp;"")</f>
        <v/>
      </c>
      <c r="P16" s="116" t="str">
        <f>IF(勤務計画!P16="休希","休",勤務計画!P16&amp;"")</f>
        <v/>
      </c>
      <c r="Q16" s="116" t="str">
        <f>IF(勤務計画!Q16="休希","休",勤務計画!Q16&amp;"")</f>
        <v/>
      </c>
      <c r="R16" s="116" t="str">
        <f>IF(勤務計画!R16="休希","休",勤務計画!R16&amp;"")</f>
        <v/>
      </c>
      <c r="S16" s="116" t="str">
        <f>IF(勤務計画!S16="休希","休",勤務計画!S16&amp;"")</f>
        <v/>
      </c>
      <c r="T16" s="116" t="str">
        <f>IF(勤務計画!T16="休希","休",勤務計画!T16&amp;"")</f>
        <v/>
      </c>
      <c r="U16" s="116" t="str">
        <f>IF(勤務計画!U16="休希","休",勤務計画!U16&amp;"")</f>
        <v/>
      </c>
      <c r="V16" s="116" t="str">
        <f>IF(勤務計画!V16="休希","休",勤務計画!V16&amp;"")</f>
        <v/>
      </c>
      <c r="W16" s="116" t="str">
        <f>IF(勤務計画!W16="休希","休",勤務計画!W16&amp;"")</f>
        <v/>
      </c>
      <c r="X16" s="116" t="str">
        <f>IF(勤務計画!X16="休希","休",勤務計画!X16&amp;"")</f>
        <v/>
      </c>
      <c r="Y16" s="116" t="str">
        <f>IF(勤務計画!Y16="休希","休",勤務計画!Y16&amp;"")</f>
        <v/>
      </c>
      <c r="Z16" s="116" t="str">
        <f>IF(勤務計画!Z16="休希","休",勤務計画!Z16&amp;"")</f>
        <v/>
      </c>
      <c r="AA16" s="116" t="str">
        <f>IF(勤務計画!AA16="休希","休",勤務計画!AA16&amp;"")</f>
        <v/>
      </c>
      <c r="AB16" s="116" t="str">
        <f>IF(勤務計画!AB16="休希","休",勤務計画!AB16&amp;"")</f>
        <v/>
      </c>
      <c r="AC16" s="116" t="str">
        <f>IF(勤務計画!AC16="休希","休",勤務計画!AC16&amp;"")</f>
        <v/>
      </c>
      <c r="AD16" s="116" t="str">
        <f>IF(勤務計画!AD16="休希","休",勤務計画!AD16&amp;"")</f>
        <v/>
      </c>
      <c r="AE16" s="116" t="str">
        <f>IF(勤務計画!AE16="休希","休",勤務計画!AE16&amp;"")</f>
        <v/>
      </c>
      <c r="AF16" s="116" t="str">
        <f>IF(勤務計画!AF16="休希","休",勤務計画!AF16&amp;"")</f>
        <v/>
      </c>
      <c r="AG16" s="116" t="str">
        <f>IF(勤務計画!AG16="休希","休",勤務計画!AG16&amp;"")</f>
        <v/>
      </c>
      <c r="AH16" s="116" t="str">
        <f>IF(勤務計画!AH16="休希","休",勤務計画!AH16&amp;"")</f>
        <v/>
      </c>
      <c r="AI16" s="116" t="str">
        <f>IF(勤務計画!AI16="休希","休",勤務計画!AI16&amp;"")</f>
        <v/>
      </c>
      <c r="AJ16" s="116" t="str">
        <f>IF(勤務計画!AJ16="休希","休",勤務計画!AJ16&amp;"")</f>
        <v/>
      </c>
      <c r="AK16" s="116" t="str">
        <f>IF(勤務計画!AK16="休希","休",勤務計画!AK16&amp;"")</f>
        <v/>
      </c>
      <c r="AL16" s="116" t="str">
        <f>IF(勤務計画!AL16="休希","休",勤務計画!AL16&amp;"")</f>
        <v/>
      </c>
      <c r="AM16" s="83" t="str">
        <f>勤務計画!AM16</f>
        <v/>
      </c>
      <c r="AN16" s="83" t="str">
        <f>勤務計画!AN16</f>
        <v/>
      </c>
      <c r="AO16" s="83" t="str">
        <f>勤務計画!AO16&amp;""</f>
        <v>0</v>
      </c>
      <c r="AP16" s="86" t="str">
        <f t="shared" si="0"/>
        <v/>
      </c>
      <c r="AQ16" s="122"/>
    </row>
    <row r="17" spans="5:43" ht="27.75" customHeight="1" x14ac:dyDescent="0.2">
      <c r="E17" s="42">
        <v>1157</v>
      </c>
      <c r="F17" s="42">
        <v>8</v>
      </c>
      <c r="G17" s="83" t="str">
        <f>勤務計画!G17&amp;""</f>
        <v/>
      </c>
      <c r="H17" s="116" t="str">
        <f>IF(勤務計画!H17="休希","休",勤務計画!H17&amp;"")</f>
        <v/>
      </c>
      <c r="I17" s="116" t="str">
        <f>IF(勤務計画!I17="休希","休",勤務計画!I17&amp;"")</f>
        <v/>
      </c>
      <c r="J17" s="116" t="str">
        <f>IF(勤務計画!J17="休希","休",勤務計画!J17&amp;"")</f>
        <v/>
      </c>
      <c r="K17" s="116" t="str">
        <f>IF(勤務計画!K17="休希","休",勤務計画!K17&amp;"")</f>
        <v/>
      </c>
      <c r="L17" s="116" t="str">
        <f>IF(勤務計画!L17="休希","休",勤務計画!L17&amp;"")</f>
        <v/>
      </c>
      <c r="M17" s="116" t="str">
        <f>IF(勤務計画!M17="休希","休",勤務計画!M17&amp;"")</f>
        <v/>
      </c>
      <c r="N17" s="116" t="str">
        <f>IF(勤務計画!N17="休希","休",勤務計画!N17&amp;"")</f>
        <v/>
      </c>
      <c r="O17" s="116" t="str">
        <f>IF(勤務計画!O17="休希","休",勤務計画!O17&amp;"")</f>
        <v/>
      </c>
      <c r="P17" s="116" t="str">
        <f>IF(勤務計画!P17="休希","休",勤務計画!P17&amp;"")</f>
        <v/>
      </c>
      <c r="Q17" s="116" t="str">
        <f>IF(勤務計画!Q17="休希","休",勤務計画!Q17&amp;"")</f>
        <v/>
      </c>
      <c r="R17" s="116" t="str">
        <f>IF(勤務計画!R17="休希","休",勤務計画!R17&amp;"")</f>
        <v/>
      </c>
      <c r="S17" s="116" t="str">
        <f>IF(勤務計画!S17="休希","休",勤務計画!S17&amp;"")</f>
        <v/>
      </c>
      <c r="T17" s="116" t="str">
        <f>IF(勤務計画!T17="休希","休",勤務計画!T17&amp;"")</f>
        <v/>
      </c>
      <c r="U17" s="116" t="str">
        <f>IF(勤務計画!U17="休希","休",勤務計画!U17&amp;"")</f>
        <v/>
      </c>
      <c r="V17" s="116" t="str">
        <f>IF(勤務計画!V17="休希","休",勤務計画!V17&amp;"")</f>
        <v/>
      </c>
      <c r="W17" s="116" t="str">
        <f>IF(勤務計画!W17="休希","休",勤務計画!W17&amp;"")</f>
        <v/>
      </c>
      <c r="X17" s="116" t="str">
        <f>IF(勤務計画!X17="休希","休",勤務計画!X17&amp;"")</f>
        <v/>
      </c>
      <c r="Y17" s="116" t="str">
        <f>IF(勤務計画!Y17="休希","休",勤務計画!Y17&amp;"")</f>
        <v/>
      </c>
      <c r="Z17" s="116" t="str">
        <f>IF(勤務計画!Z17="休希","休",勤務計画!Z17&amp;"")</f>
        <v/>
      </c>
      <c r="AA17" s="116" t="str">
        <f>IF(勤務計画!AA17="休希","休",勤務計画!AA17&amp;"")</f>
        <v/>
      </c>
      <c r="AB17" s="116" t="str">
        <f>IF(勤務計画!AB17="休希","休",勤務計画!AB17&amp;"")</f>
        <v/>
      </c>
      <c r="AC17" s="116" t="str">
        <f>IF(勤務計画!AC17="休希","休",勤務計画!AC17&amp;"")</f>
        <v/>
      </c>
      <c r="AD17" s="116" t="str">
        <f>IF(勤務計画!AD17="休希","休",勤務計画!AD17&amp;"")</f>
        <v/>
      </c>
      <c r="AE17" s="116" t="str">
        <f>IF(勤務計画!AE17="休希","休",勤務計画!AE17&amp;"")</f>
        <v/>
      </c>
      <c r="AF17" s="116" t="str">
        <f>IF(勤務計画!AF17="休希","休",勤務計画!AF17&amp;"")</f>
        <v/>
      </c>
      <c r="AG17" s="116" t="str">
        <f>IF(勤務計画!AG17="休希","休",勤務計画!AG17&amp;"")</f>
        <v/>
      </c>
      <c r="AH17" s="116" t="str">
        <f>IF(勤務計画!AH17="休希","休",勤務計画!AH17&amp;"")</f>
        <v/>
      </c>
      <c r="AI17" s="116" t="str">
        <f>IF(勤務計画!AI17="休希","休",勤務計画!AI17&amp;"")</f>
        <v/>
      </c>
      <c r="AJ17" s="116" t="str">
        <f>IF(勤務計画!AJ17="休希","休",勤務計画!AJ17&amp;"")</f>
        <v/>
      </c>
      <c r="AK17" s="116" t="str">
        <f>IF(勤務計画!AK17="休希","休",勤務計画!AK17&amp;"")</f>
        <v/>
      </c>
      <c r="AL17" s="116" t="str">
        <f>IF(勤務計画!AL17="休希","休",勤務計画!AL17&amp;"")</f>
        <v/>
      </c>
      <c r="AM17" s="83" t="str">
        <f>勤務計画!AM17</f>
        <v/>
      </c>
      <c r="AN17" s="83" t="str">
        <f>勤務計画!AN17</f>
        <v/>
      </c>
      <c r="AO17" s="83" t="str">
        <f>勤務計画!AO17&amp;""</f>
        <v>0</v>
      </c>
      <c r="AP17" s="86" t="str">
        <f t="shared" si="0"/>
        <v/>
      </c>
      <c r="AQ17" s="122"/>
    </row>
    <row r="18" spans="5:43" ht="27.75" customHeight="1" x14ac:dyDescent="0.2">
      <c r="E18" s="42">
        <v>1170</v>
      </c>
      <c r="F18" s="42">
        <v>9</v>
      </c>
      <c r="G18" s="83" t="str">
        <f>勤務計画!G18&amp;""</f>
        <v/>
      </c>
      <c r="H18" s="116" t="str">
        <f>IF(勤務計画!H18="休希","休",勤務計画!H18&amp;"")</f>
        <v/>
      </c>
      <c r="I18" s="116" t="str">
        <f>IF(勤務計画!I18="休希","休",勤務計画!I18&amp;"")</f>
        <v/>
      </c>
      <c r="J18" s="116" t="str">
        <f>IF(勤務計画!J18="休希","休",勤務計画!J18&amp;"")</f>
        <v/>
      </c>
      <c r="K18" s="116" t="str">
        <f>IF(勤務計画!K18="休希","休",勤務計画!K18&amp;"")</f>
        <v/>
      </c>
      <c r="L18" s="116" t="str">
        <f>IF(勤務計画!L18="休希","休",勤務計画!L18&amp;"")</f>
        <v/>
      </c>
      <c r="M18" s="116" t="str">
        <f>IF(勤務計画!M18="休希","休",勤務計画!M18&amp;"")</f>
        <v/>
      </c>
      <c r="N18" s="116" t="str">
        <f>IF(勤務計画!N18="休希","休",勤務計画!N18&amp;"")</f>
        <v/>
      </c>
      <c r="O18" s="116" t="str">
        <f>IF(勤務計画!O18="休希","休",勤務計画!O18&amp;"")</f>
        <v/>
      </c>
      <c r="P18" s="116" t="str">
        <f>IF(勤務計画!P18="休希","休",勤務計画!P18&amp;"")</f>
        <v/>
      </c>
      <c r="Q18" s="116" t="str">
        <f>IF(勤務計画!Q18="休希","休",勤務計画!Q18&amp;"")</f>
        <v/>
      </c>
      <c r="R18" s="116" t="str">
        <f>IF(勤務計画!R18="休希","休",勤務計画!R18&amp;"")</f>
        <v/>
      </c>
      <c r="S18" s="116" t="str">
        <f>IF(勤務計画!S18="休希","休",勤務計画!S18&amp;"")</f>
        <v/>
      </c>
      <c r="T18" s="116" t="str">
        <f>IF(勤務計画!T18="休希","休",勤務計画!T18&amp;"")</f>
        <v/>
      </c>
      <c r="U18" s="116" t="str">
        <f>IF(勤務計画!U18="休希","休",勤務計画!U18&amp;"")</f>
        <v/>
      </c>
      <c r="V18" s="116" t="str">
        <f>IF(勤務計画!V18="休希","休",勤務計画!V18&amp;"")</f>
        <v/>
      </c>
      <c r="W18" s="116" t="str">
        <f>IF(勤務計画!W18="休希","休",勤務計画!W18&amp;"")</f>
        <v/>
      </c>
      <c r="X18" s="116" t="str">
        <f>IF(勤務計画!X18="休希","休",勤務計画!X18&amp;"")</f>
        <v/>
      </c>
      <c r="Y18" s="116" t="str">
        <f>IF(勤務計画!Y18="休希","休",勤務計画!Y18&amp;"")</f>
        <v/>
      </c>
      <c r="Z18" s="116" t="str">
        <f>IF(勤務計画!Z18="休希","休",勤務計画!Z18&amp;"")</f>
        <v/>
      </c>
      <c r="AA18" s="116" t="str">
        <f>IF(勤務計画!AA18="休希","休",勤務計画!AA18&amp;"")</f>
        <v/>
      </c>
      <c r="AB18" s="116" t="str">
        <f>IF(勤務計画!AB18="休希","休",勤務計画!AB18&amp;"")</f>
        <v/>
      </c>
      <c r="AC18" s="116" t="str">
        <f>IF(勤務計画!AC18="休希","休",勤務計画!AC18&amp;"")</f>
        <v/>
      </c>
      <c r="AD18" s="116" t="str">
        <f>IF(勤務計画!AD18="休希","休",勤務計画!AD18&amp;"")</f>
        <v/>
      </c>
      <c r="AE18" s="116" t="str">
        <f>IF(勤務計画!AE18="休希","休",勤務計画!AE18&amp;"")</f>
        <v/>
      </c>
      <c r="AF18" s="116" t="str">
        <f>IF(勤務計画!AF18="休希","休",勤務計画!AF18&amp;"")</f>
        <v/>
      </c>
      <c r="AG18" s="116" t="str">
        <f>IF(勤務計画!AG18="休希","休",勤務計画!AG18&amp;"")</f>
        <v/>
      </c>
      <c r="AH18" s="116" t="str">
        <f>IF(勤務計画!AH18="休希","休",勤務計画!AH18&amp;"")</f>
        <v/>
      </c>
      <c r="AI18" s="116" t="str">
        <f>IF(勤務計画!AI18="休希","休",勤務計画!AI18&amp;"")</f>
        <v/>
      </c>
      <c r="AJ18" s="116" t="str">
        <f>IF(勤務計画!AJ18="休希","休",勤務計画!AJ18&amp;"")</f>
        <v/>
      </c>
      <c r="AK18" s="116" t="str">
        <f>IF(勤務計画!AK18="休希","休",勤務計画!AK18&amp;"")</f>
        <v/>
      </c>
      <c r="AL18" s="116" t="str">
        <f>IF(勤務計画!AL18="休希","休",勤務計画!AL18&amp;"")</f>
        <v/>
      </c>
      <c r="AM18" s="83" t="str">
        <f>勤務計画!AM18</f>
        <v/>
      </c>
      <c r="AN18" s="83" t="str">
        <f>勤務計画!AN18</f>
        <v/>
      </c>
      <c r="AO18" s="83" t="str">
        <f>勤務計画!AO18&amp;""</f>
        <v>0</v>
      </c>
      <c r="AP18" s="86" t="str">
        <f t="shared" si="0"/>
        <v/>
      </c>
      <c r="AQ18" s="122"/>
    </row>
    <row r="19" spans="5:43" ht="27.75" customHeight="1" x14ac:dyDescent="0.2">
      <c r="E19" s="42">
        <v>1187</v>
      </c>
      <c r="F19" s="42">
        <v>10</v>
      </c>
      <c r="G19" s="83" t="str">
        <f>勤務計画!G19&amp;""</f>
        <v/>
      </c>
      <c r="H19" s="116" t="str">
        <f>IF(勤務計画!H19="休希","休",勤務計画!H19&amp;"")</f>
        <v/>
      </c>
      <c r="I19" s="116" t="str">
        <f>IF(勤務計画!I19="休希","休",勤務計画!I19&amp;"")</f>
        <v/>
      </c>
      <c r="J19" s="116" t="str">
        <f>IF(勤務計画!J19="休希","休",勤務計画!J19&amp;"")</f>
        <v/>
      </c>
      <c r="K19" s="116" t="str">
        <f>IF(勤務計画!K19="休希","休",勤務計画!K19&amp;"")</f>
        <v/>
      </c>
      <c r="L19" s="116" t="str">
        <f>IF(勤務計画!L19="休希","休",勤務計画!L19&amp;"")</f>
        <v/>
      </c>
      <c r="M19" s="116" t="str">
        <f>IF(勤務計画!M19="休希","休",勤務計画!M19&amp;"")</f>
        <v/>
      </c>
      <c r="N19" s="116" t="str">
        <f>IF(勤務計画!N19="休希","休",勤務計画!N19&amp;"")</f>
        <v/>
      </c>
      <c r="O19" s="116" t="str">
        <f>IF(勤務計画!O19="休希","休",勤務計画!O19&amp;"")</f>
        <v/>
      </c>
      <c r="P19" s="116" t="str">
        <f>IF(勤務計画!P19="休希","休",勤務計画!P19&amp;"")</f>
        <v/>
      </c>
      <c r="Q19" s="116" t="str">
        <f>IF(勤務計画!Q19="休希","休",勤務計画!Q19&amp;"")</f>
        <v/>
      </c>
      <c r="R19" s="116" t="str">
        <f>IF(勤務計画!R19="休希","休",勤務計画!R19&amp;"")</f>
        <v/>
      </c>
      <c r="S19" s="116" t="str">
        <f>IF(勤務計画!S19="休希","休",勤務計画!S19&amp;"")</f>
        <v/>
      </c>
      <c r="T19" s="116" t="str">
        <f>IF(勤務計画!T19="休希","休",勤務計画!T19&amp;"")</f>
        <v/>
      </c>
      <c r="U19" s="116" t="str">
        <f>IF(勤務計画!U19="休希","休",勤務計画!U19&amp;"")</f>
        <v/>
      </c>
      <c r="V19" s="116" t="str">
        <f>IF(勤務計画!V19="休希","休",勤務計画!V19&amp;"")</f>
        <v/>
      </c>
      <c r="W19" s="116" t="str">
        <f>IF(勤務計画!W19="休希","休",勤務計画!W19&amp;"")</f>
        <v/>
      </c>
      <c r="X19" s="116" t="str">
        <f>IF(勤務計画!X19="休希","休",勤務計画!X19&amp;"")</f>
        <v/>
      </c>
      <c r="Y19" s="116" t="str">
        <f>IF(勤務計画!Y19="休希","休",勤務計画!Y19&amp;"")</f>
        <v/>
      </c>
      <c r="Z19" s="116" t="str">
        <f>IF(勤務計画!Z19="休希","休",勤務計画!Z19&amp;"")</f>
        <v/>
      </c>
      <c r="AA19" s="116" t="str">
        <f>IF(勤務計画!AA19="休希","休",勤務計画!AA19&amp;"")</f>
        <v/>
      </c>
      <c r="AB19" s="116" t="str">
        <f>IF(勤務計画!AB19="休希","休",勤務計画!AB19&amp;"")</f>
        <v/>
      </c>
      <c r="AC19" s="116" t="str">
        <f>IF(勤務計画!AC19="休希","休",勤務計画!AC19&amp;"")</f>
        <v/>
      </c>
      <c r="AD19" s="116" t="str">
        <f>IF(勤務計画!AD19="休希","休",勤務計画!AD19&amp;"")</f>
        <v/>
      </c>
      <c r="AE19" s="116" t="str">
        <f>IF(勤務計画!AE19="休希","休",勤務計画!AE19&amp;"")</f>
        <v/>
      </c>
      <c r="AF19" s="116" t="str">
        <f>IF(勤務計画!AF19="休希","休",勤務計画!AF19&amp;"")</f>
        <v/>
      </c>
      <c r="AG19" s="116" t="str">
        <f>IF(勤務計画!AG19="休希","休",勤務計画!AG19&amp;"")</f>
        <v/>
      </c>
      <c r="AH19" s="116" t="str">
        <f>IF(勤務計画!AH19="休希","休",勤務計画!AH19&amp;"")</f>
        <v/>
      </c>
      <c r="AI19" s="116" t="str">
        <f>IF(勤務計画!AI19="休希","休",勤務計画!AI19&amp;"")</f>
        <v/>
      </c>
      <c r="AJ19" s="116" t="str">
        <f>IF(勤務計画!AJ19="休希","休",勤務計画!AJ19&amp;"")</f>
        <v/>
      </c>
      <c r="AK19" s="116" t="str">
        <f>IF(勤務計画!AK19="休希","休",勤務計画!AK19&amp;"")</f>
        <v/>
      </c>
      <c r="AL19" s="116" t="str">
        <f>IF(勤務計画!AL19="休希","休",勤務計画!AL19&amp;"")</f>
        <v/>
      </c>
      <c r="AM19" s="83" t="str">
        <f>勤務計画!AM19</f>
        <v/>
      </c>
      <c r="AN19" s="83" t="str">
        <f>勤務計画!AN19</f>
        <v/>
      </c>
      <c r="AO19" s="83" t="str">
        <f>勤務計画!AO19&amp;""</f>
        <v>0</v>
      </c>
      <c r="AP19" s="86" t="str">
        <f t="shared" si="0"/>
        <v/>
      </c>
      <c r="AQ19" s="122"/>
    </row>
    <row r="20" spans="5:43" ht="27.75" customHeight="1" x14ac:dyDescent="0.2">
      <c r="E20" s="42">
        <v>1188</v>
      </c>
      <c r="F20" s="42">
        <v>11</v>
      </c>
      <c r="G20" s="83" t="str">
        <f>勤務計画!G20&amp;""</f>
        <v/>
      </c>
      <c r="H20" s="116" t="str">
        <f>IF(勤務計画!H20="休希","休",勤務計画!H20&amp;"")</f>
        <v/>
      </c>
      <c r="I20" s="116" t="str">
        <f>IF(勤務計画!I20="休希","休",勤務計画!I20&amp;"")</f>
        <v/>
      </c>
      <c r="J20" s="116" t="str">
        <f>IF(勤務計画!J20="休希","休",勤務計画!J20&amp;"")</f>
        <v/>
      </c>
      <c r="K20" s="116" t="str">
        <f>IF(勤務計画!K20="休希","休",勤務計画!K20&amp;"")</f>
        <v/>
      </c>
      <c r="L20" s="116" t="str">
        <f>IF(勤務計画!L20="休希","休",勤務計画!L20&amp;"")</f>
        <v/>
      </c>
      <c r="M20" s="116" t="str">
        <f>IF(勤務計画!M20="休希","休",勤務計画!M20&amp;"")</f>
        <v/>
      </c>
      <c r="N20" s="116" t="str">
        <f>IF(勤務計画!N20="休希","休",勤務計画!N20&amp;"")</f>
        <v/>
      </c>
      <c r="O20" s="116" t="str">
        <f>IF(勤務計画!O20="休希","休",勤務計画!O20&amp;"")</f>
        <v/>
      </c>
      <c r="P20" s="116" t="str">
        <f>IF(勤務計画!P20="休希","休",勤務計画!P20&amp;"")</f>
        <v/>
      </c>
      <c r="Q20" s="116" t="str">
        <f>IF(勤務計画!Q20="休希","休",勤務計画!Q20&amp;"")</f>
        <v/>
      </c>
      <c r="R20" s="116" t="str">
        <f>IF(勤務計画!R20="休希","休",勤務計画!R20&amp;"")</f>
        <v/>
      </c>
      <c r="S20" s="116" t="str">
        <f>IF(勤務計画!S20="休希","休",勤務計画!S20&amp;"")</f>
        <v/>
      </c>
      <c r="T20" s="116" t="str">
        <f>IF(勤務計画!T20="休希","休",勤務計画!T20&amp;"")</f>
        <v/>
      </c>
      <c r="U20" s="116" t="str">
        <f>IF(勤務計画!U20="休希","休",勤務計画!U20&amp;"")</f>
        <v/>
      </c>
      <c r="V20" s="116" t="str">
        <f>IF(勤務計画!V20="休希","休",勤務計画!V20&amp;"")</f>
        <v/>
      </c>
      <c r="W20" s="116" t="str">
        <f>IF(勤務計画!W20="休希","休",勤務計画!W20&amp;"")</f>
        <v/>
      </c>
      <c r="X20" s="116" t="str">
        <f>IF(勤務計画!X20="休希","休",勤務計画!X20&amp;"")</f>
        <v/>
      </c>
      <c r="Y20" s="116" t="str">
        <f>IF(勤務計画!Y20="休希","休",勤務計画!Y20&amp;"")</f>
        <v/>
      </c>
      <c r="Z20" s="116" t="str">
        <f>IF(勤務計画!Z20="休希","休",勤務計画!Z20&amp;"")</f>
        <v/>
      </c>
      <c r="AA20" s="116" t="str">
        <f>IF(勤務計画!AA20="休希","休",勤務計画!AA20&amp;"")</f>
        <v/>
      </c>
      <c r="AB20" s="116" t="str">
        <f>IF(勤務計画!AB20="休希","休",勤務計画!AB20&amp;"")</f>
        <v/>
      </c>
      <c r="AC20" s="116" t="str">
        <f>IF(勤務計画!AC20="休希","休",勤務計画!AC20&amp;"")</f>
        <v/>
      </c>
      <c r="AD20" s="116" t="str">
        <f>IF(勤務計画!AD20="休希","休",勤務計画!AD20&amp;"")</f>
        <v/>
      </c>
      <c r="AE20" s="116" t="str">
        <f>IF(勤務計画!AE20="休希","休",勤務計画!AE20&amp;"")</f>
        <v/>
      </c>
      <c r="AF20" s="116" t="str">
        <f>IF(勤務計画!AF20="休希","休",勤務計画!AF20&amp;"")</f>
        <v/>
      </c>
      <c r="AG20" s="116" t="str">
        <f>IF(勤務計画!AG20="休希","休",勤務計画!AG20&amp;"")</f>
        <v/>
      </c>
      <c r="AH20" s="116" t="str">
        <f>IF(勤務計画!AH20="休希","休",勤務計画!AH20&amp;"")</f>
        <v/>
      </c>
      <c r="AI20" s="116" t="str">
        <f>IF(勤務計画!AI20="休希","休",勤務計画!AI20&amp;"")</f>
        <v/>
      </c>
      <c r="AJ20" s="116" t="str">
        <f>IF(勤務計画!AJ20="休希","休",勤務計画!AJ20&amp;"")</f>
        <v/>
      </c>
      <c r="AK20" s="116" t="str">
        <f>IF(勤務計画!AK20="休希","休",勤務計画!AK20&amp;"")</f>
        <v/>
      </c>
      <c r="AL20" s="116" t="str">
        <f>IF(勤務計画!AL20="休希","休",勤務計画!AL20&amp;"")</f>
        <v/>
      </c>
      <c r="AM20" s="83" t="str">
        <f>勤務計画!AM20</f>
        <v/>
      </c>
      <c r="AN20" s="83" t="str">
        <f>勤務計画!AN20</f>
        <v/>
      </c>
      <c r="AO20" s="83" t="str">
        <f>勤務計画!AO20&amp;""</f>
        <v>0</v>
      </c>
      <c r="AP20" s="86" t="str">
        <f t="shared" si="0"/>
        <v/>
      </c>
      <c r="AQ20" s="122"/>
    </row>
    <row r="21" spans="5:43" ht="27.75" customHeight="1" x14ac:dyDescent="0.2">
      <c r="E21" s="42">
        <v>1204</v>
      </c>
      <c r="F21" s="42">
        <v>12</v>
      </c>
      <c r="G21" s="83" t="str">
        <f>勤務計画!G21&amp;""</f>
        <v/>
      </c>
      <c r="H21" s="116" t="str">
        <f>IF(勤務計画!H21="休希","休",勤務計画!H21&amp;"")</f>
        <v/>
      </c>
      <c r="I21" s="116" t="str">
        <f>IF(勤務計画!I21="休希","休",勤務計画!I21&amp;"")</f>
        <v/>
      </c>
      <c r="J21" s="116" t="str">
        <f>IF(勤務計画!J21="休希","休",勤務計画!J21&amp;"")</f>
        <v/>
      </c>
      <c r="K21" s="116" t="str">
        <f>IF(勤務計画!K21="休希","休",勤務計画!K21&amp;"")</f>
        <v/>
      </c>
      <c r="L21" s="116" t="str">
        <f>IF(勤務計画!L21="休希","休",勤務計画!L21&amp;"")</f>
        <v/>
      </c>
      <c r="M21" s="116" t="str">
        <f>IF(勤務計画!M21="休希","休",勤務計画!M21&amp;"")</f>
        <v/>
      </c>
      <c r="N21" s="116" t="str">
        <f>IF(勤務計画!N21="休希","休",勤務計画!N21&amp;"")</f>
        <v/>
      </c>
      <c r="O21" s="116" t="str">
        <f>IF(勤務計画!O21="休希","休",勤務計画!O21&amp;"")</f>
        <v/>
      </c>
      <c r="P21" s="116" t="str">
        <f>IF(勤務計画!P21="休希","休",勤務計画!P21&amp;"")</f>
        <v/>
      </c>
      <c r="Q21" s="116" t="str">
        <f>IF(勤務計画!Q21="休希","休",勤務計画!Q21&amp;"")</f>
        <v/>
      </c>
      <c r="R21" s="116" t="str">
        <f>IF(勤務計画!R21="休希","休",勤務計画!R21&amp;"")</f>
        <v/>
      </c>
      <c r="S21" s="116" t="str">
        <f>IF(勤務計画!S21="休希","休",勤務計画!S21&amp;"")</f>
        <v/>
      </c>
      <c r="T21" s="116" t="str">
        <f>IF(勤務計画!T21="休希","休",勤務計画!T21&amp;"")</f>
        <v/>
      </c>
      <c r="U21" s="116" t="str">
        <f>IF(勤務計画!U21="休希","休",勤務計画!U21&amp;"")</f>
        <v/>
      </c>
      <c r="V21" s="116" t="str">
        <f>IF(勤務計画!V21="休希","休",勤務計画!V21&amp;"")</f>
        <v/>
      </c>
      <c r="W21" s="116" t="str">
        <f>IF(勤務計画!W21="休希","休",勤務計画!W21&amp;"")</f>
        <v/>
      </c>
      <c r="X21" s="116" t="str">
        <f>IF(勤務計画!X21="休希","休",勤務計画!X21&amp;"")</f>
        <v/>
      </c>
      <c r="Y21" s="116" t="str">
        <f>IF(勤務計画!Y21="休希","休",勤務計画!Y21&amp;"")</f>
        <v/>
      </c>
      <c r="Z21" s="116" t="str">
        <f>IF(勤務計画!Z21="休希","休",勤務計画!Z21&amp;"")</f>
        <v/>
      </c>
      <c r="AA21" s="116" t="str">
        <f>IF(勤務計画!AA21="休希","休",勤務計画!AA21&amp;"")</f>
        <v/>
      </c>
      <c r="AB21" s="116" t="str">
        <f>IF(勤務計画!AB21="休希","休",勤務計画!AB21&amp;"")</f>
        <v/>
      </c>
      <c r="AC21" s="116" t="str">
        <f>IF(勤務計画!AC21="休希","休",勤務計画!AC21&amp;"")</f>
        <v/>
      </c>
      <c r="AD21" s="116" t="str">
        <f>IF(勤務計画!AD21="休希","休",勤務計画!AD21&amp;"")</f>
        <v/>
      </c>
      <c r="AE21" s="116" t="str">
        <f>IF(勤務計画!AE21="休希","休",勤務計画!AE21&amp;"")</f>
        <v/>
      </c>
      <c r="AF21" s="116" t="str">
        <f>IF(勤務計画!AF21="休希","休",勤務計画!AF21&amp;"")</f>
        <v/>
      </c>
      <c r="AG21" s="116" t="str">
        <f>IF(勤務計画!AG21="休希","休",勤務計画!AG21&amp;"")</f>
        <v/>
      </c>
      <c r="AH21" s="116" t="str">
        <f>IF(勤務計画!AH21="休希","休",勤務計画!AH21&amp;"")</f>
        <v/>
      </c>
      <c r="AI21" s="116" t="str">
        <f>IF(勤務計画!AI21="休希","休",勤務計画!AI21&amp;"")</f>
        <v/>
      </c>
      <c r="AJ21" s="116" t="str">
        <f>IF(勤務計画!AJ21="休希","休",勤務計画!AJ21&amp;"")</f>
        <v/>
      </c>
      <c r="AK21" s="116" t="str">
        <f>IF(勤務計画!AK21="休希","休",勤務計画!AK21&amp;"")</f>
        <v/>
      </c>
      <c r="AL21" s="116" t="str">
        <f>IF(勤務計画!AL21="休希","休",勤務計画!AL21&amp;"")</f>
        <v/>
      </c>
      <c r="AM21" s="83" t="str">
        <f>勤務計画!AM21</f>
        <v/>
      </c>
      <c r="AN21" s="83" t="str">
        <f>勤務計画!AN21</f>
        <v/>
      </c>
      <c r="AO21" s="83" t="str">
        <f>勤務計画!AO21&amp;""</f>
        <v>0</v>
      </c>
      <c r="AP21" s="86" t="str">
        <f t="shared" si="0"/>
        <v/>
      </c>
      <c r="AQ21" s="122"/>
    </row>
    <row r="22" spans="5:43" ht="27.75" customHeight="1" x14ac:dyDescent="0.2">
      <c r="E22" s="42">
        <v>1206</v>
      </c>
      <c r="F22" s="42">
        <v>13</v>
      </c>
      <c r="G22" s="83" t="str">
        <f>勤務計画!G22&amp;""</f>
        <v/>
      </c>
      <c r="H22" s="116" t="str">
        <f>IF(勤務計画!H22="休希","休",勤務計画!H22&amp;"")</f>
        <v/>
      </c>
      <c r="I22" s="116" t="str">
        <f>IF(勤務計画!I22="休希","休",勤務計画!I22&amp;"")</f>
        <v/>
      </c>
      <c r="J22" s="116" t="str">
        <f>IF(勤務計画!J22="休希","休",勤務計画!J22&amp;"")</f>
        <v/>
      </c>
      <c r="K22" s="116" t="str">
        <f>IF(勤務計画!K22="休希","休",勤務計画!K22&amp;"")</f>
        <v/>
      </c>
      <c r="L22" s="116" t="str">
        <f>IF(勤務計画!L22="休希","休",勤務計画!L22&amp;"")</f>
        <v/>
      </c>
      <c r="M22" s="116" t="str">
        <f>IF(勤務計画!M22="休希","休",勤務計画!M22&amp;"")</f>
        <v/>
      </c>
      <c r="N22" s="116" t="str">
        <f>IF(勤務計画!N22="休希","休",勤務計画!N22&amp;"")</f>
        <v/>
      </c>
      <c r="O22" s="116" t="str">
        <f>IF(勤務計画!O22="休希","休",勤務計画!O22&amp;"")</f>
        <v/>
      </c>
      <c r="P22" s="116" t="str">
        <f>IF(勤務計画!P22="休希","休",勤務計画!P22&amp;"")</f>
        <v/>
      </c>
      <c r="Q22" s="116" t="str">
        <f>IF(勤務計画!Q22="休希","休",勤務計画!Q22&amp;"")</f>
        <v/>
      </c>
      <c r="R22" s="116" t="str">
        <f>IF(勤務計画!R22="休希","休",勤務計画!R22&amp;"")</f>
        <v/>
      </c>
      <c r="S22" s="116" t="str">
        <f>IF(勤務計画!S22="休希","休",勤務計画!S22&amp;"")</f>
        <v/>
      </c>
      <c r="T22" s="116" t="str">
        <f>IF(勤務計画!T22="休希","休",勤務計画!T22&amp;"")</f>
        <v/>
      </c>
      <c r="U22" s="116" t="str">
        <f>IF(勤務計画!U22="休希","休",勤務計画!U22&amp;"")</f>
        <v/>
      </c>
      <c r="V22" s="116" t="str">
        <f>IF(勤務計画!V22="休希","休",勤務計画!V22&amp;"")</f>
        <v/>
      </c>
      <c r="W22" s="116" t="str">
        <f>IF(勤務計画!W22="休希","休",勤務計画!W22&amp;"")</f>
        <v/>
      </c>
      <c r="X22" s="116" t="str">
        <f>IF(勤務計画!X22="休希","休",勤務計画!X22&amp;"")</f>
        <v/>
      </c>
      <c r="Y22" s="116" t="str">
        <f>IF(勤務計画!Y22="休希","休",勤務計画!Y22&amp;"")</f>
        <v/>
      </c>
      <c r="Z22" s="116" t="str">
        <f>IF(勤務計画!Z22="休希","休",勤務計画!Z22&amp;"")</f>
        <v/>
      </c>
      <c r="AA22" s="116" t="str">
        <f>IF(勤務計画!AA22="休希","休",勤務計画!AA22&amp;"")</f>
        <v/>
      </c>
      <c r="AB22" s="116" t="str">
        <f>IF(勤務計画!AB22="休希","休",勤務計画!AB22&amp;"")</f>
        <v/>
      </c>
      <c r="AC22" s="116" t="str">
        <f>IF(勤務計画!AC22="休希","休",勤務計画!AC22&amp;"")</f>
        <v/>
      </c>
      <c r="AD22" s="116" t="str">
        <f>IF(勤務計画!AD22="休希","休",勤務計画!AD22&amp;"")</f>
        <v/>
      </c>
      <c r="AE22" s="116" t="str">
        <f>IF(勤務計画!AE22="休希","休",勤務計画!AE22&amp;"")</f>
        <v/>
      </c>
      <c r="AF22" s="116" t="str">
        <f>IF(勤務計画!AF22="休希","休",勤務計画!AF22&amp;"")</f>
        <v/>
      </c>
      <c r="AG22" s="116" t="str">
        <f>IF(勤務計画!AG22="休希","休",勤務計画!AG22&amp;"")</f>
        <v/>
      </c>
      <c r="AH22" s="116" t="str">
        <f>IF(勤務計画!AH22="休希","休",勤務計画!AH22&amp;"")</f>
        <v/>
      </c>
      <c r="AI22" s="116" t="str">
        <f>IF(勤務計画!AI22="休希","休",勤務計画!AI22&amp;"")</f>
        <v/>
      </c>
      <c r="AJ22" s="116" t="str">
        <f>IF(勤務計画!AJ22="休希","休",勤務計画!AJ22&amp;"")</f>
        <v/>
      </c>
      <c r="AK22" s="116" t="str">
        <f>IF(勤務計画!AK22="休希","休",勤務計画!AK22&amp;"")</f>
        <v/>
      </c>
      <c r="AL22" s="116" t="str">
        <f>IF(勤務計画!AL22="休希","休",勤務計画!AL22&amp;"")</f>
        <v/>
      </c>
      <c r="AM22" s="83" t="str">
        <f>勤務計画!AM22</f>
        <v/>
      </c>
      <c r="AN22" s="83" t="str">
        <f>勤務計画!AN22</f>
        <v/>
      </c>
      <c r="AO22" s="83" t="str">
        <f>勤務計画!AO22&amp;""</f>
        <v>0</v>
      </c>
      <c r="AP22" s="86" t="str">
        <f t="shared" si="0"/>
        <v/>
      </c>
      <c r="AQ22" s="122"/>
    </row>
    <row r="23" spans="5:43" ht="27.75" customHeight="1" x14ac:dyDescent="0.2">
      <c r="E23" s="42">
        <v>1214</v>
      </c>
      <c r="F23" s="42">
        <v>14</v>
      </c>
      <c r="G23" s="83" t="str">
        <f>勤務計画!G23&amp;""</f>
        <v/>
      </c>
      <c r="H23" s="116" t="str">
        <f>IF(勤務計画!H23="休希","休",勤務計画!H23&amp;"")</f>
        <v/>
      </c>
      <c r="I23" s="116" t="str">
        <f>IF(勤務計画!I23="休希","休",勤務計画!I23&amp;"")</f>
        <v/>
      </c>
      <c r="J23" s="116" t="str">
        <f>IF(勤務計画!J23="休希","休",勤務計画!J23&amp;"")</f>
        <v/>
      </c>
      <c r="K23" s="116" t="str">
        <f>IF(勤務計画!K23="休希","休",勤務計画!K23&amp;"")</f>
        <v/>
      </c>
      <c r="L23" s="116" t="str">
        <f>IF(勤務計画!L23="休希","休",勤務計画!L23&amp;"")</f>
        <v/>
      </c>
      <c r="M23" s="116" t="str">
        <f>IF(勤務計画!M23="休希","休",勤務計画!M23&amp;"")</f>
        <v/>
      </c>
      <c r="N23" s="116" t="str">
        <f>IF(勤務計画!N23="休希","休",勤務計画!N23&amp;"")</f>
        <v/>
      </c>
      <c r="O23" s="116" t="str">
        <f>IF(勤務計画!O23="休希","休",勤務計画!O23&amp;"")</f>
        <v/>
      </c>
      <c r="P23" s="116" t="str">
        <f>IF(勤務計画!P23="休希","休",勤務計画!P23&amp;"")</f>
        <v/>
      </c>
      <c r="Q23" s="116" t="str">
        <f>IF(勤務計画!Q23="休希","休",勤務計画!Q23&amp;"")</f>
        <v/>
      </c>
      <c r="R23" s="116" t="str">
        <f>IF(勤務計画!R23="休希","休",勤務計画!R23&amp;"")</f>
        <v/>
      </c>
      <c r="S23" s="116" t="str">
        <f>IF(勤務計画!S23="休希","休",勤務計画!S23&amp;"")</f>
        <v/>
      </c>
      <c r="T23" s="116" t="str">
        <f>IF(勤務計画!T23="休希","休",勤務計画!T23&amp;"")</f>
        <v/>
      </c>
      <c r="U23" s="116" t="str">
        <f>IF(勤務計画!U23="休希","休",勤務計画!U23&amp;"")</f>
        <v/>
      </c>
      <c r="V23" s="116" t="str">
        <f>IF(勤務計画!V23="休希","休",勤務計画!V23&amp;"")</f>
        <v/>
      </c>
      <c r="W23" s="116" t="str">
        <f>IF(勤務計画!W23="休希","休",勤務計画!W23&amp;"")</f>
        <v/>
      </c>
      <c r="X23" s="116" t="str">
        <f>IF(勤務計画!X23="休希","休",勤務計画!X23&amp;"")</f>
        <v/>
      </c>
      <c r="Y23" s="116" t="str">
        <f>IF(勤務計画!Y23="休希","休",勤務計画!Y23&amp;"")</f>
        <v/>
      </c>
      <c r="Z23" s="116" t="str">
        <f>IF(勤務計画!Z23="休希","休",勤務計画!Z23&amp;"")</f>
        <v/>
      </c>
      <c r="AA23" s="116" t="str">
        <f>IF(勤務計画!AA23="休希","休",勤務計画!AA23&amp;"")</f>
        <v/>
      </c>
      <c r="AB23" s="116" t="str">
        <f>IF(勤務計画!AB23="休希","休",勤務計画!AB23&amp;"")</f>
        <v/>
      </c>
      <c r="AC23" s="116" t="str">
        <f>IF(勤務計画!AC23="休希","休",勤務計画!AC23&amp;"")</f>
        <v/>
      </c>
      <c r="AD23" s="116" t="str">
        <f>IF(勤務計画!AD23="休希","休",勤務計画!AD23&amp;"")</f>
        <v/>
      </c>
      <c r="AE23" s="116" t="str">
        <f>IF(勤務計画!AE23="休希","休",勤務計画!AE23&amp;"")</f>
        <v/>
      </c>
      <c r="AF23" s="116" t="str">
        <f>IF(勤務計画!AF23="休希","休",勤務計画!AF23&amp;"")</f>
        <v/>
      </c>
      <c r="AG23" s="116" t="str">
        <f>IF(勤務計画!AG23="休希","休",勤務計画!AG23&amp;"")</f>
        <v/>
      </c>
      <c r="AH23" s="116" t="str">
        <f>IF(勤務計画!AH23="休希","休",勤務計画!AH23&amp;"")</f>
        <v/>
      </c>
      <c r="AI23" s="116" t="str">
        <f>IF(勤務計画!AI23="休希","休",勤務計画!AI23&amp;"")</f>
        <v/>
      </c>
      <c r="AJ23" s="116" t="str">
        <f>IF(勤務計画!AJ23="休希","休",勤務計画!AJ23&amp;"")</f>
        <v/>
      </c>
      <c r="AK23" s="116" t="str">
        <f>IF(勤務計画!AK23="休希","休",勤務計画!AK23&amp;"")</f>
        <v/>
      </c>
      <c r="AL23" s="116" t="str">
        <f>IF(勤務計画!AL23="休希","休",勤務計画!AL23&amp;"")</f>
        <v/>
      </c>
      <c r="AM23" s="83" t="str">
        <f>勤務計画!AM23</f>
        <v/>
      </c>
      <c r="AN23" s="83" t="str">
        <f>勤務計画!AN23</f>
        <v/>
      </c>
      <c r="AO23" s="83" t="str">
        <f>勤務計画!AO23&amp;""</f>
        <v>0</v>
      </c>
      <c r="AP23" s="86" t="str">
        <f t="shared" si="0"/>
        <v/>
      </c>
      <c r="AQ23" s="122"/>
    </row>
    <row r="24" spans="5:43" ht="27.75" customHeight="1" x14ac:dyDescent="0.2">
      <c r="E24" s="42">
        <v>1121</v>
      </c>
      <c r="F24" s="42">
        <v>15</v>
      </c>
      <c r="G24" s="83" t="str">
        <f>勤務計画!G24&amp;""</f>
        <v/>
      </c>
      <c r="H24" s="116" t="str">
        <f>IF(勤務計画!H24="休希","休",勤務計画!H24&amp;"")</f>
        <v/>
      </c>
      <c r="I24" s="116" t="str">
        <f>IF(勤務計画!I24="休希","休",勤務計画!I24&amp;"")</f>
        <v/>
      </c>
      <c r="J24" s="116" t="str">
        <f>IF(勤務計画!J24="休希","休",勤務計画!J24&amp;"")</f>
        <v/>
      </c>
      <c r="K24" s="116" t="str">
        <f>IF(勤務計画!K24="休希","休",勤務計画!K24&amp;"")</f>
        <v/>
      </c>
      <c r="L24" s="116" t="str">
        <f>IF(勤務計画!L24="休希","休",勤務計画!L24&amp;"")</f>
        <v/>
      </c>
      <c r="M24" s="116" t="str">
        <f>IF(勤務計画!M24="休希","休",勤務計画!M24&amp;"")</f>
        <v/>
      </c>
      <c r="N24" s="116" t="str">
        <f>IF(勤務計画!N24="休希","休",勤務計画!N24&amp;"")</f>
        <v/>
      </c>
      <c r="O24" s="116" t="str">
        <f>IF(勤務計画!O24="休希","休",勤務計画!O24&amp;"")</f>
        <v/>
      </c>
      <c r="P24" s="116" t="str">
        <f>IF(勤務計画!P24="休希","休",勤務計画!P24&amp;"")</f>
        <v/>
      </c>
      <c r="Q24" s="116" t="str">
        <f>IF(勤務計画!Q24="休希","休",勤務計画!Q24&amp;"")</f>
        <v/>
      </c>
      <c r="R24" s="116" t="str">
        <f>IF(勤務計画!R24="休希","休",勤務計画!R24&amp;"")</f>
        <v/>
      </c>
      <c r="S24" s="116" t="str">
        <f>IF(勤務計画!S24="休希","休",勤務計画!S24&amp;"")</f>
        <v/>
      </c>
      <c r="T24" s="116" t="str">
        <f>IF(勤務計画!T24="休希","休",勤務計画!T24&amp;"")</f>
        <v/>
      </c>
      <c r="U24" s="116" t="str">
        <f>IF(勤務計画!U24="休希","休",勤務計画!U24&amp;"")</f>
        <v/>
      </c>
      <c r="V24" s="116" t="str">
        <f>IF(勤務計画!V24="休希","休",勤務計画!V24&amp;"")</f>
        <v/>
      </c>
      <c r="W24" s="116" t="str">
        <f>IF(勤務計画!W24="休希","休",勤務計画!W24&amp;"")</f>
        <v/>
      </c>
      <c r="X24" s="116" t="str">
        <f>IF(勤務計画!X24="休希","休",勤務計画!X24&amp;"")</f>
        <v/>
      </c>
      <c r="Y24" s="116" t="str">
        <f>IF(勤務計画!Y24="休希","休",勤務計画!Y24&amp;"")</f>
        <v/>
      </c>
      <c r="Z24" s="116" t="str">
        <f>IF(勤務計画!Z24="休希","休",勤務計画!Z24&amp;"")</f>
        <v/>
      </c>
      <c r="AA24" s="116" t="str">
        <f>IF(勤務計画!AA24="休希","休",勤務計画!AA24&amp;"")</f>
        <v/>
      </c>
      <c r="AB24" s="116" t="str">
        <f>IF(勤務計画!AB24="休希","休",勤務計画!AB24&amp;"")</f>
        <v/>
      </c>
      <c r="AC24" s="116" t="str">
        <f>IF(勤務計画!AC24="休希","休",勤務計画!AC24&amp;"")</f>
        <v/>
      </c>
      <c r="AD24" s="116" t="str">
        <f>IF(勤務計画!AD24="休希","休",勤務計画!AD24&amp;"")</f>
        <v/>
      </c>
      <c r="AE24" s="116" t="str">
        <f>IF(勤務計画!AE24="休希","休",勤務計画!AE24&amp;"")</f>
        <v/>
      </c>
      <c r="AF24" s="116" t="str">
        <f>IF(勤務計画!AF24="休希","休",勤務計画!AF24&amp;"")</f>
        <v/>
      </c>
      <c r="AG24" s="116" t="str">
        <f>IF(勤務計画!AG24="休希","休",勤務計画!AG24&amp;"")</f>
        <v/>
      </c>
      <c r="AH24" s="116" t="str">
        <f>IF(勤務計画!AH24="休希","休",勤務計画!AH24&amp;"")</f>
        <v/>
      </c>
      <c r="AI24" s="116" t="str">
        <f>IF(勤務計画!AI24="休希","休",勤務計画!AI24&amp;"")</f>
        <v/>
      </c>
      <c r="AJ24" s="116" t="str">
        <f>IF(勤務計画!AJ24="休希","休",勤務計画!AJ24&amp;"")</f>
        <v/>
      </c>
      <c r="AK24" s="116" t="str">
        <f>IF(勤務計画!AK24="休希","休",勤務計画!AK24&amp;"")</f>
        <v/>
      </c>
      <c r="AL24" s="116" t="str">
        <f>IF(勤務計画!AL24="休希","休",勤務計画!AL24&amp;"")</f>
        <v/>
      </c>
      <c r="AM24" s="83" t="str">
        <f>勤務計画!AM24</f>
        <v/>
      </c>
      <c r="AN24" s="83" t="str">
        <f>勤務計画!AN24</f>
        <v/>
      </c>
      <c r="AO24" s="83" t="str">
        <f>勤務計画!AO24&amp;""</f>
        <v>0</v>
      </c>
      <c r="AP24" s="86" t="str">
        <f t="shared" si="0"/>
        <v/>
      </c>
      <c r="AQ24" s="122"/>
    </row>
    <row r="25" spans="5:43" ht="27.75" customHeight="1" x14ac:dyDescent="0.2">
      <c r="E25" s="42">
        <v>1203</v>
      </c>
      <c r="F25" s="42">
        <v>16</v>
      </c>
      <c r="G25" s="83" t="str">
        <f>勤務計画!G25&amp;""</f>
        <v/>
      </c>
      <c r="H25" s="116" t="str">
        <f>IF(勤務計画!H25="休希","休",勤務計画!H25&amp;"")</f>
        <v/>
      </c>
      <c r="I25" s="116" t="str">
        <f>IF(勤務計画!I25="休希","休",勤務計画!I25&amp;"")</f>
        <v/>
      </c>
      <c r="J25" s="116" t="str">
        <f>IF(勤務計画!J25="休希","休",勤務計画!J25&amp;"")</f>
        <v/>
      </c>
      <c r="K25" s="116" t="str">
        <f>IF(勤務計画!K25="休希","休",勤務計画!K25&amp;"")</f>
        <v/>
      </c>
      <c r="L25" s="116" t="str">
        <f>IF(勤務計画!L25="休希","休",勤務計画!L25&amp;"")</f>
        <v/>
      </c>
      <c r="M25" s="116" t="str">
        <f>IF(勤務計画!M25="休希","休",勤務計画!M25&amp;"")</f>
        <v/>
      </c>
      <c r="N25" s="116" t="str">
        <f>IF(勤務計画!N25="休希","休",勤務計画!N25&amp;"")</f>
        <v/>
      </c>
      <c r="O25" s="116" t="str">
        <f>IF(勤務計画!O25="休希","休",勤務計画!O25&amp;"")</f>
        <v/>
      </c>
      <c r="P25" s="116" t="str">
        <f>IF(勤務計画!P25="休希","休",勤務計画!P25&amp;"")</f>
        <v/>
      </c>
      <c r="Q25" s="116" t="str">
        <f>IF(勤務計画!Q25="休希","休",勤務計画!Q25&amp;"")</f>
        <v/>
      </c>
      <c r="R25" s="116" t="str">
        <f>IF(勤務計画!R25="休希","休",勤務計画!R25&amp;"")</f>
        <v/>
      </c>
      <c r="S25" s="116" t="str">
        <f>IF(勤務計画!S25="休希","休",勤務計画!S25&amp;"")</f>
        <v/>
      </c>
      <c r="T25" s="116" t="str">
        <f>IF(勤務計画!T25="休希","休",勤務計画!T25&amp;"")</f>
        <v/>
      </c>
      <c r="U25" s="116" t="str">
        <f>IF(勤務計画!U25="休希","休",勤務計画!U25&amp;"")</f>
        <v/>
      </c>
      <c r="V25" s="116" t="str">
        <f>IF(勤務計画!V25="休希","休",勤務計画!V25&amp;"")</f>
        <v/>
      </c>
      <c r="W25" s="116" t="str">
        <f>IF(勤務計画!W25="休希","休",勤務計画!W25&amp;"")</f>
        <v/>
      </c>
      <c r="X25" s="116" t="str">
        <f>IF(勤務計画!X25="休希","休",勤務計画!X25&amp;"")</f>
        <v/>
      </c>
      <c r="Y25" s="116" t="str">
        <f>IF(勤務計画!Y25="休希","休",勤務計画!Y25&amp;"")</f>
        <v/>
      </c>
      <c r="Z25" s="116" t="str">
        <f>IF(勤務計画!Z25="休希","休",勤務計画!Z25&amp;"")</f>
        <v/>
      </c>
      <c r="AA25" s="116" t="str">
        <f>IF(勤務計画!AA25="休希","休",勤務計画!AA25&amp;"")</f>
        <v/>
      </c>
      <c r="AB25" s="116" t="str">
        <f>IF(勤務計画!AB25="休希","休",勤務計画!AB25&amp;"")</f>
        <v/>
      </c>
      <c r="AC25" s="116" t="str">
        <f>IF(勤務計画!AC25="休希","休",勤務計画!AC25&amp;"")</f>
        <v/>
      </c>
      <c r="AD25" s="116" t="str">
        <f>IF(勤務計画!AD25="休希","休",勤務計画!AD25&amp;"")</f>
        <v/>
      </c>
      <c r="AE25" s="116" t="str">
        <f>IF(勤務計画!AE25="休希","休",勤務計画!AE25&amp;"")</f>
        <v/>
      </c>
      <c r="AF25" s="116" t="str">
        <f>IF(勤務計画!AF25="休希","休",勤務計画!AF25&amp;"")</f>
        <v/>
      </c>
      <c r="AG25" s="116" t="str">
        <f>IF(勤務計画!AG25="休希","休",勤務計画!AG25&amp;"")</f>
        <v/>
      </c>
      <c r="AH25" s="116" t="str">
        <f>IF(勤務計画!AH25="休希","休",勤務計画!AH25&amp;"")</f>
        <v/>
      </c>
      <c r="AI25" s="116" t="str">
        <f>IF(勤務計画!AI25="休希","休",勤務計画!AI25&amp;"")</f>
        <v/>
      </c>
      <c r="AJ25" s="116" t="str">
        <f>IF(勤務計画!AJ25="休希","休",勤務計画!AJ25&amp;"")</f>
        <v/>
      </c>
      <c r="AK25" s="116" t="str">
        <f>IF(勤務計画!AK25="休希","休",勤務計画!AK25&amp;"")</f>
        <v/>
      </c>
      <c r="AL25" s="116" t="str">
        <f>IF(勤務計画!AL25="休希","休",勤務計画!AL25&amp;"")</f>
        <v/>
      </c>
      <c r="AM25" s="83" t="str">
        <f>勤務計画!AM25</f>
        <v/>
      </c>
      <c r="AN25" s="83" t="str">
        <f>勤務計画!AN25</f>
        <v/>
      </c>
      <c r="AO25" s="83" t="str">
        <f>勤務計画!AO25&amp;""</f>
        <v>0</v>
      </c>
      <c r="AP25" s="86" t="str">
        <f t="shared" si="0"/>
        <v/>
      </c>
      <c r="AQ25" s="122"/>
    </row>
    <row r="26" spans="5:43" ht="27.75" customHeight="1" x14ac:dyDescent="0.2">
      <c r="E26" s="42">
        <v>1209</v>
      </c>
      <c r="F26" s="42">
        <v>17</v>
      </c>
      <c r="G26" s="83" t="str">
        <f>勤務計画!G26&amp;""</f>
        <v/>
      </c>
      <c r="H26" s="116" t="str">
        <f>IF(勤務計画!H26="休希","休",勤務計画!H26&amp;"")</f>
        <v/>
      </c>
      <c r="I26" s="116" t="str">
        <f>IF(勤務計画!I26="休希","休",勤務計画!I26&amp;"")</f>
        <v/>
      </c>
      <c r="J26" s="116" t="str">
        <f>IF(勤務計画!J26="休希","休",勤務計画!J26&amp;"")</f>
        <v/>
      </c>
      <c r="K26" s="116" t="str">
        <f>IF(勤務計画!K26="休希","休",勤務計画!K26&amp;"")</f>
        <v/>
      </c>
      <c r="L26" s="116" t="str">
        <f>IF(勤務計画!L26="休希","休",勤務計画!L26&amp;"")</f>
        <v/>
      </c>
      <c r="M26" s="116" t="str">
        <f>IF(勤務計画!M26="休希","休",勤務計画!M26&amp;"")</f>
        <v/>
      </c>
      <c r="N26" s="116" t="str">
        <f>IF(勤務計画!N26="休希","休",勤務計画!N26&amp;"")</f>
        <v/>
      </c>
      <c r="O26" s="116" t="str">
        <f>IF(勤務計画!O26="休希","休",勤務計画!O26&amp;"")</f>
        <v/>
      </c>
      <c r="P26" s="116" t="str">
        <f>IF(勤務計画!P26="休希","休",勤務計画!P26&amp;"")</f>
        <v/>
      </c>
      <c r="Q26" s="116" t="str">
        <f>IF(勤務計画!Q26="休希","休",勤務計画!Q26&amp;"")</f>
        <v/>
      </c>
      <c r="R26" s="116" t="str">
        <f>IF(勤務計画!R26="休希","休",勤務計画!R26&amp;"")</f>
        <v/>
      </c>
      <c r="S26" s="116" t="str">
        <f>IF(勤務計画!S26="休希","休",勤務計画!S26&amp;"")</f>
        <v/>
      </c>
      <c r="T26" s="116" t="str">
        <f>IF(勤務計画!T26="休希","休",勤務計画!T26&amp;"")</f>
        <v/>
      </c>
      <c r="U26" s="116" t="str">
        <f>IF(勤務計画!U26="休希","休",勤務計画!U26&amp;"")</f>
        <v/>
      </c>
      <c r="V26" s="116" t="str">
        <f>IF(勤務計画!V26="休希","休",勤務計画!V26&amp;"")</f>
        <v/>
      </c>
      <c r="W26" s="116" t="str">
        <f>IF(勤務計画!W26="休希","休",勤務計画!W26&amp;"")</f>
        <v/>
      </c>
      <c r="X26" s="116" t="str">
        <f>IF(勤務計画!X26="休希","休",勤務計画!X26&amp;"")</f>
        <v/>
      </c>
      <c r="Y26" s="116" t="str">
        <f>IF(勤務計画!Y26="休希","休",勤務計画!Y26&amp;"")</f>
        <v/>
      </c>
      <c r="Z26" s="116" t="str">
        <f>IF(勤務計画!Z26="休希","休",勤務計画!Z26&amp;"")</f>
        <v/>
      </c>
      <c r="AA26" s="116" t="str">
        <f>IF(勤務計画!AA26="休希","休",勤務計画!AA26&amp;"")</f>
        <v/>
      </c>
      <c r="AB26" s="116" t="str">
        <f>IF(勤務計画!AB26="休希","休",勤務計画!AB26&amp;"")</f>
        <v/>
      </c>
      <c r="AC26" s="116" t="str">
        <f>IF(勤務計画!AC26="休希","休",勤務計画!AC26&amp;"")</f>
        <v/>
      </c>
      <c r="AD26" s="116" t="str">
        <f>IF(勤務計画!AD26="休希","休",勤務計画!AD26&amp;"")</f>
        <v/>
      </c>
      <c r="AE26" s="116" t="str">
        <f>IF(勤務計画!AE26="休希","休",勤務計画!AE26&amp;"")</f>
        <v/>
      </c>
      <c r="AF26" s="116" t="str">
        <f>IF(勤務計画!AF26="休希","休",勤務計画!AF26&amp;"")</f>
        <v/>
      </c>
      <c r="AG26" s="116" t="str">
        <f>IF(勤務計画!AG26="休希","休",勤務計画!AG26&amp;"")</f>
        <v/>
      </c>
      <c r="AH26" s="116" t="str">
        <f>IF(勤務計画!AH26="休希","休",勤務計画!AH26&amp;"")</f>
        <v/>
      </c>
      <c r="AI26" s="116" t="str">
        <f>IF(勤務計画!AI26="休希","休",勤務計画!AI26&amp;"")</f>
        <v/>
      </c>
      <c r="AJ26" s="116" t="str">
        <f>IF(勤務計画!AJ26="休希","休",勤務計画!AJ26&amp;"")</f>
        <v/>
      </c>
      <c r="AK26" s="116" t="str">
        <f>IF(勤務計画!AK26="休希","休",勤務計画!AK26&amp;"")</f>
        <v/>
      </c>
      <c r="AL26" s="116" t="str">
        <f>IF(勤務計画!AL26="休希","休",勤務計画!AL26&amp;"")</f>
        <v/>
      </c>
      <c r="AM26" s="83" t="str">
        <f>勤務計画!AM26</f>
        <v/>
      </c>
      <c r="AN26" s="83" t="str">
        <f>勤務計画!AN26</f>
        <v/>
      </c>
      <c r="AO26" s="83" t="str">
        <f>勤務計画!AO26&amp;""</f>
        <v>0</v>
      </c>
      <c r="AP26" s="86" t="str">
        <f t="shared" si="0"/>
        <v/>
      </c>
      <c r="AQ26" s="122"/>
    </row>
    <row r="27" spans="5:43" ht="27.75" customHeight="1" x14ac:dyDescent="0.2">
      <c r="E27" s="42">
        <v>1217</v>
      </c>
      <c r="F27" s="42">
        <v>18</v>
      </c>
      <c r="G27" s="83" t="str">
        <f>勤務計画!G27&amp;""</f>
        <v/>
      </c>
      <c r="H27" s="116" t="str">
        <f>IF(勤務計画!H27="休希","休",勤務計画!H27&amp;"")</f>
        <v/>
      </c>
      <c r="I27" s="116" t="str">
        <f>IF(勤務計画!I27="休希","休",勤務計画!I27&amp;"")</f>
        <v/>
      </c>
      <c r="J27" s="116" t="str">
        <f>IF(勤務計画!J27="休希","休",勤務計画!J27&amp;"")</f>
        <v/>
      </c>
      <c r="K27" s="116" t="str">
        <f>IF(勤務計画!K27="休希","休",勤務計画!K27&amp;"")</f>
        <v/>
      </c>
      <c r="L27" s="116" t="str">
        <f>IF(勤務計画!L27="休希","休",勤務計画!L27&amp;"")</f>
        <v/>
      </c>
      <c r="M27" s="116" t="str">
        <f>IF(勤務計画!M27="休希","休",勤務計画!M27&amp;"")</f>
        <v/>
      </c>
      <c r="N27" s="116" t="str">
        <f>IF(勤務計画!N27="休希","休",勤務計画!N27&amp;"")</f>
        <v/>
      </c>
      <c r="O27" s="116" t="str">
        <f>IF(勤務計画!O27="休希","休",勤務計画!O27&amp;"")</f>
        <v/>
      </c>
      <c r="P27" s="116" t="str">
        <f>IF(勤務計画!P27="休希","休",勤務計画!P27&amp;"")</f>
        <v/>
      </c>
      <c r="Q27" s="116" t="str">
        <f>IF(勤務計画!Q27="休希","休",勤務計画!Q27&amp;"")</f>
        <v/>
      </c>
      <c r="R27" s="116" t="str">
        <f>IF(勤務計画!R27="休希","休",勤務計画!R27&amp;"")</f>
        <v/>
      </c>
      <c r="S27" s="116" t="str">
        <f>IF(勤務計画!S27="休希","休",勤務計画!S27&amp;"")</f>
        <v/>
      </c>
      <c r="T27" s="116" t="str">
        <f>IF(勤務計画!T27="休希","休",勤務計画!T27&amp;"")</f>
        <v/>
      </c>
      <c r="U27" s="116" t="str">
        <f>IF(勤務計画!U27="休希","休",勤務計画!U27&amp;"")</f>
        <v/>
      </c>
      <c r="V27" s="116" t="str">
        <f>IF(勤務計画!V27="休希","休",勤務計画!V27&amp;"")</f>
        <v/>
      </c>
      <c r="W27" s="116" t="str">
        <f>IF(勤務計画!W27="休希","休",勤務計画!W27&amp;"")</f>
        <v/>
      </c>
      <c r="X27" s="116" t="str">
        <f>IF(勤務計画!X27="休希","休",勤務計画!X27&amp;"")</f>
        <v/>
      </c>
      <c r="Y27" s="116" t="str">
        <f>IF(勤務計画!Y27="休希","休",勤務計画!Y27&amp;"")</f>
        <v/>
      </c>
      <c r="Z27" s="116" t="str">
        <f>IF(勤務計画!Z27="休希","休",勤務計画!Z27&amp;"")</f>
        <v/>
      </c>
      <c r="AA27" s="116" t="str">
        <f>IF(勤務計画!AA27="休希","休",勤務計画!AA27&amp;"")</f>
        <v/>
      </c>
      <c r="AB27" s="116" t="str">
        <f>IF(勤務計画!AB27="休希","休",勤務計画!AB27&amp;"")</f>
        <v/>
      </c>
      <c r="AC27" s="116" t="str">
        <f>IF(勤務計画!AC27="休希","休",勤務計画!AC27&amp;"")</f>
        <v/>
      </c>
      <c r="AD27" s="116" t="str">
        <f>IF(勤務計画!AD27="休希","休",勤務計画!AD27&amp;"")</f>
        <v/>
      </c>
      <c r="AE27" s="116" t="str">
        <f>IF(勤務計画!AE27="休希","休",勤務計画!AE27&amp;"")</f>
        <v/>
      </c>
      <c r="AF27" s="116" t="str">
        <f>IF(勤務計画!AF27="休希","休",勤務計画!AF27&amp;"")</f>
        <v/>
      </c>
      <c r="AG27" s="116" t="str">
        <f>IF(勤務計画!AG27="休希","休",勤務計画!AG27&amp;"")</f>
        <v/>
      </c>
      <c r="AH27" s="116" t="str">
        <f>IF(勤務計画!AH27="休希","休",勤務計画!AH27&amp;"")</f>
        <v/>
      </c>
      <c r="AI27" s="116" t="str">
        <f>IF(勤務計画!AI27="休希","休",勤務計画!AI27&amp;"")</f>
        <v/>
      </c>
      <c r="AJ27" s="116" t="str">
        <f>IF(勤務計画!AJ27="休希","休",勤務計画!AJ27&amp;"")</f>
        <v/>
      </c>
      <c r="AK27" s="116" t="str">
        <f>IF(勤務計画!AK27="休希","休",勤務計画!AK27&amp;"")</f>
        <v/>
      </c>
      <c r="AL27" s="116" t="str">
        <f>IF(勤務計画!AL27="休希","休",勤務計画!AL27&amp;"")</f>
        <v/>
      </c>
      <c r="AM27" s="83" t="str">
        <f>勤務計画!AM27</f>
        <v/>
      </c>
      <c r="AN27" s="83" t="str">
        <f>勤務計画!AN27</f>
        <v/>
      </c>
      <c r="AO27" s="83" t="str">
        <f>勤務計画!AO27&amp;""</f>
        <v>0</v>
      </c>
      <c r="AP27" s="86" t="str">
        <f t="shared" si="0"/>
        <v/>
      </c>
      <c r="AQ27" s="122"/>
    </row>
    <row r="28" spans="5:43" ht="27.75" customHeight="1" x14ac:dyDescent="0.2">
      <c r="E28" s="42"/>
      <c r="F28" s="42"/>
      <c r="G28" s="83" t="str">
        <f>勤務計画!G28&amp;""</f>
        <v/>
      </c>
      <c r="H28" s="116" t="str">
        <f>IF(勤務計画!H28="休希","休",勤務計画!H28&amp;"")</f>
        <v/>
      </c>
      <c r="I28" s="116" t="str">
        <f>IF(勤務計画!I28="休希","休",勤務計画!I28&amp;"")</f>
        <v/>
      </c>
      <c r="J28" s="116" t="str">
        <f>IF(勤務計画!J28="休希","休",勤務計画!J28&amp;"")</f>
        <v/>
      </c>
      <c r="K28" s="116" t="str">
        <f>IF(勤務計画!K28="休希","休",勤務計画!K28&amp;"")</f>
        <v/>
      </c>
      <c r="L28" s="116" t="str">
        <f>IF(勤務計画!L28="休希","休",勤務計画!L28&amp;"")</f>
        <v/>
      </c>
      <c r="M28" s="116" t="str">
        <f>IF(勤務計画!M28="休希","休",勤務計画!M28&amp;"")</f>
        <v/>
      </c>
      <c r="N28" s="116" t="str">
        <f>IF(勤務計画!N28="休希","休",勤務計画!N28&amp;"")</f>
        <v/>
      </c>
      <c r="O28" s="116" t="str">
        <f>IF(勤務計画!O28="休希","休",勤務計画!O28&amp;"")</f>
        <v/>
      </c>
      <c r="P28" s="116" t="str">
        <f>IF(勤務計画!P28="休希","休",勤務計画!P28&amp;"")</f>
        <v/>
      </c>
      <c r="Q28" s="116" t="str">
        <f>IF(勤務計画!Q28="休希","休",勤務計画!Q28&amp;"")</f>
        <v/>
      </c>
      <c r="R28" s="116" t="str">
        <f>IF(勤務計画!R28="休希","休",勤務計画!R28&amp;"")</f>
        <v/>
      </c>
      <c r="S28" s="116" t="str">
        <f>IF(勤務計画!S28="休希","休",勤務計画!S28&amp;"")</f>
        <v/>
      </c>
      <c r="T28" s="116" t="str">
        <f>IF(勤務計画!T28="休希","休",勤務計画!T28&amp;"")</f>
        <v/>
      </c>
      <c r="U28" s="116" t="str">
        <f>IF(勤務計画!U28="休希","休",勤務計画!U28&amp;"")</f>
        <v/>
      </c>
      <c r="V28" s="116" t="str">
        <f>IF(勤務計画!V28="休希","休",勤務計画!V28&amp;"")</f>
        <v/>
      </c>
      <c r="W28" s="116" t="str">
        <f>IF(勤務計画!W28="休希","休",勤務計画!W28&amp;"")</f>
        <v/>
      </c>
      <c r="X28" s="116" t="str">
        <f>IF(勤務計画!X28="休希","休",勤務計画!X28&amp;"")</f>
        <v/>
      </c>
      <c r="Y28" s="116" t="str">
        <f>IF(勤務計画!Y28="休希","休",勤務計画!Y28&amp;"")</f>
        <v/>
      </c>
      <c r="Z28" s="116" t="str">
        <f>IF(勤務計画!Z28="休希","休",勤務計画!Z28&amp;"")</f>
        <v/>
      </c>
      <c r="AA28" s="116" t="str">
        <f>IF(勤務計画!AA28="休希","休",勤務計画!AA28&amp;"")</f>
        <v/>
      </c>
      <c r="AB28" s="116" t="str">
        <f>IF(勤務計画!AB28="休希","休",勤務計画!AB28&amp;"")</f>
        <v/>
      </c>
      <c r="AC28" s="116" t="str">
        <f>IF(勤務計画!AC28="休希","休",勤務計画!AC28&amp;"")</f>
        <v/>
      </c>
      <c r="AD28" s="116" t="str">
        <f>IF(勤務計画!AD28="休希","休",勤務計画!AD28&amp;"")</f>
        <v/>
      </c>
      <c r="AE28" s="116" t="str">
        <f>IF(勤務計画!AE28="休希","休",勤務計画!AE28&amp;"")</f>
        <v/>
      </c>
      <c r="AF28" s="116" t="str">
        <f>IF(勤務計画!AF28="休希","休",勤務計画!AF28&amp;"")</f>
        <v/>
      </c>
      <c r="AG28" s="116" t="str">
        <f>IF(勤務計画!AG28="休希","休",勤務計画!AG28&amp;"")</f>
        <v/>
      </c>
      <c r="AH28" s="116" t="str">
        <f>IF(勤務計画!AH28="休希","休",勤務計画!AH28&amp;"")</f>
        <v/>
      </c>
      <c r="AI28" s="116" t="str">
        <f>IF(勤務計画!AI28="休希","休",勤務計画!AI28&amp;"")</f>
        <v/>
      </c>
      <c r="AJ28" s="116" t="str">
        <f>IF(勤務計画!AJ28="休希","休",勤務計画!AJ28&amp;"")</f>
        <v/>
      </c>
      <c r="AK28" s="116" t="str">
        <f>IF(勤務計画!AK28="休希","休",勤務計画!AK28&amp;"")</f>
        <v/>
      </c>
      <c r="AL28" s="116" t="str">
        <f>IF(勤務計画!AL28="休希","休",勤務計画!AL28&amp;"")</f>
        <v/>
      </c>
      <c r="AM28" s="83" t="str">
        <f>勤務計画!AM28</f>
        <v/>
      </c>
      <c r="AN28" s="83" t="str">
        <f>勤務計画!AN28</f>
        <v/>
      </c>
      <c r="AO28" s="83" t="str">
        <f>勤務計画!AO28&amp;""</f>
        <v>0</v>
      </c>
      <c r="AP28" s="86" t="str">
        <f t="shared" si="0"/>
        <v/>
      </c>
      <c r="AQ28" s="122"/>
    </row>
    <row r="29" spans="5:43" ht="27.75" customHeight="1" x14ac:dyDescent="0.2">
      <c r="E29" s="42"/>
      <c r="F29" s="42"/>
      <c r="G29" s="83" t="str">
        <f>勤務計画!G29&amp;""</f>
        <v/>
      </c>
      <c r="H29" s="116" t="str">
        <f>IF(勤務計画!H29="休希","休",勤務計画!H29&amp;"")</f>
        <v/>
      </c>
      <c r="I29" s="116" t="str">
        <f>IF(勤務計画!I29="休希","休",勤務計画!I29&amp;"")</f>
        <v/>
      </c>
      <c r="J29" s="116" t="str">
        <f>IF(勤務計画!J29="休希","休",勤務計画!J29&amp;"")</f>
        <v/>
      </c>
      <c r="K29" s="116" t="str">
        <f>IF(勤務計画!K29="休希","休",勤務計画!K29&amp;"")</f>
        <v/>
      </c>
      <c r="L29" s="116" t="str">
        <f>IF(勤務計画!L29="休希","休",勤務計画!L29&amp;"")</f>
        <v/>
      </c>
      <c r="M29" s="116" t="str">
        <f>IF(勤務計画!M29="休希","休",勤務計画!M29&amp;"")</f>
        <v/>
      </c>
      <c r="N29" s="116" t="str">
        <f>IF(勤務計画!N29="休希","休",勤務計画!N29&amp;"")</f>
        <v/>
      </c>
      <c r="O29" s="116" t="str">
        <f>IF(勤務計画!O29="休希","休",勤務計画!O29&amp;"")</f>
        <v/>
      </c>
      <c r="P29" s="116" t="str">
        <f>IF(勤務計画!P29="休希","休",勤務計画!P29&amp;"")</f>
        <v/>
      </c>
      <c r="Q29" s="116" t="str">
        <f>IF(勤務計画!Q29="休希","休",勤務計画!Q29&amp;"")</f>
        <v/>
      </c>
      <c r="R29" s="116" t="str">
        <f>IF(勤務計画!R29="休希","休",勤務計画!R29&amp;"")</f>
        <v/>
      </c>
      <c r="S29" s="116" t="str">
        <f>IF(勤務計画!S29="休希","休",勤務計画!S29&amp;"")</f>
        <v/>
      </c>
      <c r="T29" s="116" t="str">
        <f>IF(勤務計画!T29="休希","休",勤務計画!T29&amp;"")</f>
        <v/>
      </c>
      <c r="U29" s="116" t="str">
        <f>IF(勤務計画!U29="休希","休",勤務計画!U29&amp;"")</f>
        <v/>
      </c>
      <c r="V29" s="116" t="str">
        <f>IF(勤務計画!V29="休希","休",勤務計画!V29&amp;"")</f>
        <v/>
      </c>
      <c r="W29" s="116" t="str">
        <f>IF(勤務計画!W29="休希","休",勤務計画!W29&amp;"")</f>
        <v/>
      </c>
      <c r="X29" s="116" t="str">
        <f>IF(勤務計画!X29="休希","休",勤務計画!X29&amp;"")</f>
        <v/>
      </c>
      <c r="Y29" s="116" t="str">
        <f>IF(勤務計画!Y29="休希","休",勤務計画!Y29&amp;"")</f>
        <v/>
      </c>
      <c r="Z29" s="116" t="str">
        <f>IF(勤務計画!Z29="休希","休",勤務計画!Z29&amp;"")</f>
        <v/>
      </c>
      <c r="AA29" s="116" t="str">
        <f>IF(勤務計画!AA29="休希","休",勤務計画!AA29&amp;"")</f>
        <v/>
      </c>
      <c r="AB29" s="116" t="str">
        <f>IF(勤務計画!AB29="休希","休",勤務計画!AB29&amp;"")</f>
        <v/>
      </c>
      <c r="AC29" s="116" t="str">
        <f>IF(勤務計画!AC29="休希","休",勤務計画!AC29&amp;"")</f>
        <v/>
      </c>
      <c r="AD29" s="116" t="str">
        <f>IF(勤務計画!AD29="休希","休",勤務計画!AD29&amp;"")</f>
        <v/>
      </c>
      <c r="AE29" s="116" t="str">
        <f>IF(勤務計画!AE29="休希","休",勤務計画!AE29&amp;"")</f>
        <v/>
      </c>
      <c r="AF29" s="116" t="str">
        <f>IF(勤務計画!AF29="休希","休",勤務計画!AF29&amp;"")</f>
        <v/>
      </c>
      <c r="AG29" s="116" t="str">
        <f>IF(勤務計画!AG29="休希","休",勤務計画!AG29&amp;"")</f>
        <v/>
      </c>
      <c r="AH29" s="116" t="str">
        <f>IF(勤務計画!AH29="休希","休",勤務計画!AH29&amp;"")</f>
        <v/>
      </c>
      <c r="AI29" s="116" t="str">
        <f>IF(勤務計画!AI29="休希","休",勤務計画!AI29&amp;"")</f>
        <v/>
      </c>
      <c r="AJ29" s="116" t="str">
        <f>IF(勤務計画!AJ29="休希","休",勤務計画!AJ29&amp;"")</f>
        <v/>
      </c>
      <c r="AK29" s="116" t="str">
        <f>IF(勤務計画!AK29="休希","休",勤務計画!AK29&amp;"")</f>
        <v/>
      </c>
      <c r="AL29" s="116" t="str">
        <f>IF(勤務計画!AL29="休希","休",勤務計画!AL29&amp;"")</f>
        <v/>
      </c>
      <c r="AM29" s="83" t="str">
        <f>勤務計画!AM29</f>
        <v/>
      </c>
      <c r="AN29" s="83" t="str">
        <f>勤務計画!AN29</f>
        <v/>
      </c>
      <c r="AO29" s="83" t="str">
        <f>勤務計画!AO29&amp;""</f>
        <v>0</v>
      </c>
      <c r="AP29" s="86" t="str">
        <f t="shared" si="0"/>
        <v/>
      </c>
      <c r="AQ29" s="122"/>
    </row>
    <row r="30" spans="5:43" ht="27.75" customHeight="1" x14ac:dyDescent="0.2">
      <c r="E30" s="42"/>
      <c r="F30" s="42"/>
      <c r="G30" s="83" t="str">
        <f>勤務計画!G30&amp;""</f>
        <v/>
      </c>
      <c r="H30" s="116" t="str">
        <f>IF(勤務計画!H30="休希","休",勤務計画!H30&amp;"")</f>
        <v/>
      </c>
      <c r="I30" s="116" t="str">
        <f>IF(勤務計画!I30="休希","休",勤務計画!I30&amp;"")</f>
        <v/>
      </c>
      <c r="J30" s="116" t="str">
        <f>IF(勤務計画!J30="休希","休",勤務計画!J30&amp;"")</f>
        <v/>
      </c>
      <c r="K30" s="116" t="str">
        <f>IF(勤務計画!K30="休希","休",勤務計画!K30&amp;"")</f>
        <v/>
      </c>
      <c r="L30" s="116" t="str">
        <f>IF(勤務計画!L30="休希","休",勤務計画!L30&amp;"")</f>
        <v/>
      </c>
      <c r="M30" s="116" t="str">
        <f>IF(勤務計画!M30="休希","休",勤務計画!M30&amp;"")</f>
        <v/>
      </c>
      <c r="N30" s="116" t="str">
        <f>IF(勤務計画!N30="休希","休",勤務計画!N30&amp;"")</f>
        <v/>
      </c>
      <c r="O30" s="116" t="str">
        <f>IF(勤務計画!O30="休希","休",勤務計画!O30&amp;"")</f>
        <v/>
      </c>
      <c r="P30" s="116" t="str">
        <f>IF(勤務計画!P30="休希","休",勤務計画!P30&amp;"")</f>
        <v/>
      </c>
      <c r="Q30" s="116" t="str">
        <f>IF(勤務計画!Q30="休希","休",勤務計画!Q30&amp;"")</f>
        <v/>
      </c>
      <c r="R30" s="116" t="str">
        <f>IF(勤務計画!R30="休希","休",勤務計画!R30&amp;"")</f>
        <v/>
      </c>
      <c r="S30" s="116" t="str">
        <f>IF(勤務計画!S30="休希","休",勤務計画!S30&amp;"")</f>
        <v/>
      </c>
      <c r="T30" s="116" t="str">
        <f>IF(勤務計画!T30="休希","休",勤務計画!T30&amp;"")</f>
        <v/>
      </c>
      <c r="U30" s="116" t="str">
        <f>IF(勤務計画!U30="休希","休",勤務計画!U30&amp;"")</f>
        <v/>
      </c>
      <c r="V30" s="116" t="str">
        <f>IF(勤務計画!V30="休希","休",勤務計画!V30&amp;"")</f>
        <v/>
      </c>
      <c r="W30" s="116" t="str">
        <f>IF(勤務計画!W30="休希","休",勤務計画!W30&amp;"")</f>
        <v/>
      </c>
      <c r="X30" s="116" t="str">
        <f>IF(勤務計画!X30="休希","休",勤務計画!X30&amp;"")</f>
        <v/>
      </c>
      <c r="Y30" s="116" t="str">
        <f>IF(勤務計画!Y30="休希","休",勤務計画!Y30&amp;"")</f>
        <v/>
      </c>
      <c r="Z30" s="116" t="str">
        <f>IF(勤務計画!Z30="休希","休",勤務計画!Z30&amp;"")</f>
        <v/>
      </c>
      <c r="AA30" s="116" t="str">
        <f>IF(勤務計画!AA30="休希","休",勤務計画!AA30&amp;"")</f>
        <v/>
      </c>
      <c r="AB30" s="116" t="str">
        <f>IF(勤務計画!AB30="休希","休",勤務計画!AB30&amp;"")</f>
        <v/>
      </c>
      <c r="AC30" s="116" t="str">
        <f>IF(勤務計画!AC30="休希","休",勤務計画!AC30&amp;"")</f>
        <v/>
      </c>
      <c r="AD30" s="116" t="str">
        <f>IF(勤務計画!AD30="休希","休",勤務計画!AD30&amp;"")</f>
        <v/>
      </c>
      <c r="AE30" s="116" t="str">
        <f>IF(勤務計画!AE30="休希","休",勤務計画!AE30&amp;"")</f>
        <v/>
      </c>
      <c r="AF30" s="116" t="str">
        <f>IF(勤務計画!AF30="休希","休",勤務計画!AF30&amp;"")</f>
        <v/>
      </c>
      <c r="AG30" s="116" t="str">
        <f>IF(勤務計画!AG30="休希","休",勤務計画!AG30&amp;"")</f>
        <v/>
      </c>
      <c r="AH30" s="116" t="str">
        <f>IF(勤務計画!AH30="休希","休",勤務計画!AH30&amp;"")</f>
        <v/>
      </c>
      <c r="AI30" s="116" t="str">
        <f>IF(勤務計画!AI30="休希","休",勤務計画!AI30&amp;"")</f>
        <v/>
      </c>
      <c r="AJ30" s="116" t="str">
        <f>IF(勤務計画!AJ30="休希","休",勤務計画!AJ30&amp;"")</f>
        <v/>
      </c>
      <c r="AK30" s="116" t="str">
        <f>IF(勤務計画!AK30="休希","休",勤務計画!AK30&amp;"")</f>
        <v/>
      </c>
      <c r="AL30" s="116" t="str">
        <f>IF(勤務計画!AL30="休希","休",勤務計画!AL30&amp;"")</f>
        <v/>
      </c>
      <c r="AM30" s="83" t="str">
        <f>勤務計画!AM30</f>
        <v/>
      </c>
      <c r="AN30" s="83" t="str">
        <f>勤務計画!AN30</f>
        <v/>
      </c>
      <c r="AO30" s="83" t="str">
        <f>勤務計画!AO30&amp;""</f>
        <v>0</v>
      </c>
      <c r="AP30" s="86" t="str">
        <f t="shared" si="0"/>
        <v/>
      </c>
      <c r="AQ30" s="122"/>
    </row>
    <row r="31" spans="5:43" ht="27" customHeight="1" x14ac:dyDescent="0.2">
      <c r="E31" s="42"/>
      <c r="F31" s="42"/>
      <c r="G31" s="83" t="str">
        <f>勤務計画!G31&amp;""</f>
        <v/>
      </c>
      <c r="H31" s="116" t="str">
        <f>IF(勤務計画!H31="休希","休",勤務計画!H31&amp;"")</f>
        <v/>
      </c>
      <c r="I31" s="116" t="str">
        <f>IF(勤務計画!I31="休希","休",勤務計画!I31&amp;"")</f>
        <v/>
      </c>
      <c r="J31" s="116" t="str">
        <f>IF(勤務計画!J31="休希","休",勤務計画!J31&amp;"")</f>
        <v/>
      </c>
      <c r="K31" s="116" t="str">
        <f>IF(勤務計画!K31="休希","休",勤務計画!K31&amp;"")</f>
        <v/>
      </c>
      <c r="L31" s="116" t="str">
        <f>IF(勤務計画!L31="休希","休",勤務計画!L31&amp;"")</f>
        <v/>
      </c>
      <c r="M31" s="116" t="str">
        <f>IF(勤務計画!M31="休希","休",勤務計画!M31&amp;"")</f>
        <v/>
      </c>
      <c r="N31" s="116" t="str">
        <f>IF(勤務計画!N31="休希","休",勤務計画!N31&amp;"")</f>
        <v/>
      </c>
      <c r="O31" s="116" t="str">
        <f>IF(勤務計画!O31="休希","休",勤務計画!O31&amp;"")</f>
        <v/>
      </c>
      <c r="P31" s="116" t="str">
        <f>IF(勤務計画!P31="休希","休",勤務計画!P31&amp;"")</f>
        <v/>
      </c>
      <c r="Q31" s="116" t="str">
        <f>IF(勤務計画!Q31="休希","休",勤務計画!Q31&amp;"")</f>
        <v/>
      </c>
      <c r="R31" s="116" t="str">
        <f>IF(勤務計画!R31="休希","休",勤務計画!R31&amp;"")</f>
        <v/>
      </c>
      <c r="S31" s="116" t="str">
        <f>IF(勤務計画!S31="休希","休",勤務計画!S31&amp;"")</f>
        <v/>
      </c>
      <c r="T31" s="116" t="str">
        <f>IF(勤務計画!T31="休希","休",勤務計画!T31&amp;"")</f>
        <v/>
      </c>
      <c r="U31" s="116" t="str">
        <f>IF(勤務計画!U31="休希","休",勤務計画!U31&amp;"")</f>
        <v/>
      </c>
      <c r="V31" s="116" t="str">
        <f>IF(勤務計画!V31="休希","休",勤務計画!V31&amp;"")</f>
        <v/>
      </c>
      <c r="W31" s="116" t="str">
        <f>IF(勤務計画!W31="休希","休",勤務計画!W31&amp;"")</f>
        <v/>
      </c>
      <c r="X31" s="116" t="str">
        <f>IF(勤務計画!X31="休希","休",勤務計画!X31&amp;"")</f>
        <v/>
      </c>
      <c r="Y31" s="116" t="str">
        <f>IF(勤務計画!Y31="休希","休",勤務計画!Y31&amp;"")</f>
        <v/>
      </c>
      <c r="Z31" s="116" t="str">
        <f>IF(勤務計画!Z31="休希","休",勤務計画!Z31&amp;"")</f>
        <v/>
      </c>
      <c r="AA31" s="116" t="str">
        <f>IF(勤務計画!AA31="休希","休",勤務計画!AA31&amp;"")</f>
        <v/>
      </c>
      <c r="AB31" s="116" t="str">
        <f>IF(勤務計画!AB31="休希","休",勤務計画!AB31&amp;"")</f>
        <v/>
      </c>
      <c r="AC31" s="116" t="str">
        <f>IF(勤務計画!AC31="休希","休",勤務計画!AC31&amp;"")</f>
        <v/>
      </c>
      <c r="AD31" s="116" t="str">
        <f>IF(勤務計画!AD31="休希","休",勤務計画!AD31&amp;"")</f>
        <v/>
      </c>
      <c r="AE31" s="116" t="str">
        <f>IF(勤務計画!AE31="休希","休",勤務計画!AE31&amp;"")</f>
        <v/>
      </c>
      <c r="AF31" s="116" t="str">
        <f>IF(勤務計画!AF31="休希","休",勤務計画!AF31&amp;"")</f>
        <v/>
      </c>
      <c r="AG31" s="116" t="str">
        <f>IF(勤務計画!AG31="休希","休",勤務計画!AG31&amp;"")</f>
        <v/>
      </c>
      <c r="AH31" s="116" t="str">
        <f>IF(勤務計画!AH31="休希","休",勤務計画!AH31&amp;"")</f>
        <v/>
      </c>
      <c r="AI31" s="116" t="str">
        <f>IF(勤務計画!AI31="休希","休",勤務計画!AI31&amp;"")</f>
        <v/>
      </c>
      <c r="AJ31" s="116" t="str">
        <f>IF(勤務計画!AJ31="休希","休",勤務計画!AJ31&amp;"")</f>
        <v/>
      </c>
      <c r="AK31" s="116" t="str">
        <f>IF(勤務計画!AK31="休希","休",勤務計画!AK31&amp;"")</f>
        <v/>
      </c>
      <c r="AL31" s="116" t="str">
        <f>IF(勤務計画!AL31="休希","休",勤務計画!AL31&amp;"")</f>
        <v/>
      </c>
      <c r="AM31" s="83" t="str">
        <f>勤務計画!AM31</f>
        <v/>
      </c>
      <c r="AN31" s="83" t="str">
        <f>勤務計画!AN31</f>
        <v/>
      </c>
      <c r="AO31" s="83" t="str">
        <f>勤務計画!AO31&amp;""</f>
        <v>0</v>
      </c>
      <c r="AP31" s="86" t="str">
        <f t="shared" si="0"/>
        <v/>
      </c>
      <c r="AQ31" s="122"/>
    </row>
    <row r="32" spans="5:43" ht="26.25" customHeight="1" x14ac:dyDescent="0.2">
      <c r="E32" s="42"/>
      <c r="F32" s="42"/>
      <c r="G32" s="83" t="str">
        <f>勤務計画!G32&amp;""</f>
        <v/>
      </c>
      <c r="H32" s="116" t="str">
        <f>IF(勤務計画!H32="休希","休",勤務計画!H32&amp;"")</f>
        <v/>
      </c>
      <c r="I32" s="116" t="str">
        <f>IF(勤務計画!I32="休希","休",勤務計画!I32&amp;"")</f>
        <v/>
      </c>
      <c r="J32" s="116" t="str">
        <f>IF(勤務計画!J32="休希","休",勤務計画!J32&amp;"")</f>
        <v/>
      </c>
      <c r="K32" s="116" t="str">
        <f>IF(勤務計画!K32="休希","休",勤務計画!K32&amp;"")</f>
        <v/>
      </c>
      <c r="L32" s="116" t="str">
        <f>IF(勤務計画!L32="休希","休",勤務計画!L32&amp;"")</f>
        <v/>
      </c>
      <c r="M32" s="116" t="str">
        <f>IF(勤務計画!M32="休希","休",勤務計画!M32&amp;"")</f>
        <v/>
      </c>
      <c r="N32" s="116" t="str">
        <f>IF(勤務計画!N32="休希","休",勤務計画!N32&amp;"")</f>
        <v/>
      </c>
      <c r="O32" s="116" t="str">
        <f>IF(勤務計画!O32="休希","休",勤務計画!O32&amp;"")</f>
        <v/>
      </c>
      <c r="P32" s="116" t="str">
        <f>IF(勤務計画!P32="休希","休",勤務計画!P32&amp;"")</f>
        <v/>
      </c>
      <c r="Q32" s="116" t="str">
        <f>IF(勤務計画!Q32="休希","休",勤務計画!Q32&amp;"")</f>
        <v/>
      </c>
      <c r="R32" s="116" t="str">
        <f>IF(勤務計画!R32="休希","休",勤務計画!R32&amp;"")</f>
        <v/>
      </c>
      <c r="S32" s="116" t="str">
        <f>IF(勤務計画!S32="休希","休",勤務計画!S32&amp;"")</f>
        <v/>
      </c>
      <c r="T32" s="116" t="str">
        <f>IF(勤務計画!T32="休希","休",勤務計画!T32&amp;"")</f>
        <v/>
      </c>
      <c r="U32" s="116" t="str">
        <f>IF(勤務計画!U32="休希","休",勤務計画!U32&amp;"")</f>
        <v/>
      </c>
      <c r="V32" s="116" t="str">
        <f>IF(勤務計画!V32="休希","休",勤務計画!V32&amp;"")</f>
        <v/>
      </c>
      <c r="W32" s="116" t="str">
        <f>IF(勤務計画!W32="休希","休",勤務計画!W32&amp;"")</f>
        <v/>
      </c>
      <c r="X32" s="116" t="str">
        <f>IF(勤務計画!X32="休希","休",勤務計画!X32&amp;"")</f>
        <v/>
      </c>
      <c r="Y32" s="116" t="str">
        <f>IF(勤務計画!Y32="休希","休",勤務計画!Y32&amp;"")</f>
        <v/>
      </c>
      <c r="Z32" s="116" t="str">
        <f>IF(勤務計画!Z32="休希","休",勤務計画!Z32&amp;"")</f>
        <v/>
      </c>
      <c r="AA32" s="116" t="str">
        <f>IF(勤務計画!AA32="休希","休",勤務計画!AA32&amp;"")</f>
        <v/>
      </c>
      <c r="AB32" s="116" t="str">
        <f>IF(勤務計画!AB32="休希","休",勤務計画!AB32&amp;"")</f>
        <v/>
      </c>
      <c r="AC32" s="116" t="str">
        <f>IF(勤務計画!AC32="休希","休",勤務計画!AC32&amp;"")</f>
        <v/>
      </c>
      <c r="AD32" s="116" t="str">
        <f>IF(勤務計画!AD32="休希","休",勤務計画!AD32&amp;"")</f>
        <v/>
      </c>
      <c r="AE32" s="116" t="str">
        <f>IF(勤務計画!AE32="休希","休",勤務計画!AE32&amp;"")</f>
        <v/>
      </c>
      <c r="AF32" s="116" t="str">
        <f>IF(勤務計画!AF32="休希","休",勤務計画!AF32&amp;"")</f>
        <v/>
      </c>
      <c r="AG32" s="116" t="str">
        <f>IF(勤務計画!AG32="休希","休",勤務計画!AG32&amp;"")</f>
        <v/>
      </c>
      <c r="AH32" s="116" t="str">
        <f>IF(勤務計画!AH32="休希","休",勤務計画!AH32&amp;"")</f>
        <v/>
      </c>
      <c r="AI32" s="116" t="str">
        <f>IF(勤務計画!AI32="休希","休",勤務計画!AI32&amp;"")</f>
        <v/>
      </c>
      <c r="AJ32" s="116" t="str">
        <f>IF(勤務計画!AJ32="休希","休",勤務計画!AJ32&amp;"")</f>
        <v/>
      </c>
      <c r="AK32" s="116" t="str">
        <f>IF(勤務計画!AK32="休希","休",勤務計画!AK32&amp;"")</f>
        <v/>
      </c>
      <c r="AL32" s="116" t="str">
        <f>IF(勤務計画!AL32="休希","休",勤務計画!AL32&amp;"")</f>
        <v/>
      </c>
      <c r="AM32" s="83" t="str">
        <f>勤務計画!AM32</f>
        <v/>
      </c>
      <c r="AN32" s="83" t="str">
        <f>勤務計画!AN32</f>
        <v/>
      </c>
      <c r="AO32" s="83" t="str">
        <f>勤務計画!AO32&amp;""</f>
        <v>0</v>
      </c>
      <c r="AP32" s="86" t="str">
        <f t="shared" si="0"/>
        <v/>
      </c>
      <c r="AQ32" s="122"/>
    </row>
    <row r="33" spans="1:236" ht="26.25" customHeight="1" x14ac:dyDescent="0.2">
      <c r="E33" s="42"/>
      <c r="F33" s="42"/>
      <c r="G33" s="83" t="str">
        <f>勤務計画!G33&amp;""</f>
        <v/>
      </c>
      <c r="H33" s="116" t="str">
        <f>IF(勤務計画!H33="休希","休",勤務計画!H33&amp;"")</f>
        <v/>
      </c>
      <c r="I33" s="116" t="str">
        <f>IF(勤務計画!I33="休希","休",勤務計画!I33&amp;"")</f>
        <v/>
      </c>
      <c r="J33" s="116" t="str">
        <f>IF(勤務計画!J33="休希","休",勤務計画!J33&amp;"")</f>
        <v/>
      </c>
      <c r="K33" s="116" t="str">
        <f>IF(勤務計画!K33="休希","休",勤務計画!K33&amp;"")</f>
        <v/>
      </c>
      <c r="L33" s="116" t="str">
        <f>IF(勤務計画!L33="休希","休",勤務計画!L33&amp;"")</f>
        <v/>
      </c>
      <c r="M33" s="116" t="str">
        <f>IF(勤務計画!M33="休希","休",勤務計画!M33&amp;"")</f>
        <v/>
      </c>
      <c r="N33" s="116" t="str">
        <f>IF(勤務計画!N33="休希","休",勤務計画!N33&amp;"")</f>
        <v/>
      </c>
      <c r="O33" s="116" t="str">
        <f>IF(勤務計画!O33="休希","休",勤務計画!O33&amp;"")</f>
        <v/>
      </c>
      <c r="P33" s="116" t="str">
        <f>IF(勤務計画!P33="休希","休",勤務計画!P33&amp;"")</f>
        <v/>
      </c>
      <c r="Q33" s="116" t="str">
        <f>IF(勤務計画!Q33="休希","休",勤務計画!Q33&amp;"")</f>
        <v/>
      </c>
      <c r="R33" s="116" t="str">
        <f>IF(勤務計画!R33="休希","休",勤務計画!R33&amp;"")</f>
        <v/>
      </c>
      <c r="S33" s="116" t="str">
        <f>IF(勤務計画!S33="休希","休",勤務計画!S33&amp;"")</f>
        <v/>
      </c>
      <c r="T33" s="116" t="str">
        <f>IF(勤務計画!T33="休希","休",勤務計画!T33&amp;"")</f>
        <v/>
      </c>
      <c r="U33" s="116" t="str">
        <f>IF(勤務計画!U33="休希","休",勤務計画!U33&amp;"")</f>
        <v/>
      </c>
      <c r="V33" s="116" t="str">
        <f>IF(勤務計画!V33="休希","休",勤務計画!V33&amp;"")</f>
        <v/>
      </c>
      <c r="W33" s="116" t="str">
        <f>IF(勤務計画!W33="休希","休",勤務計画!W33&amp;"")</f>
        <v/>
      </c>
      <c r="X33" s="116" t="str">
        <f>IF(勤務計画!X33="休希","休",勤務計画!X33&amp;"")</f>
        <v/>
      </c>
      <c r="Y33" s="116" t="str">
        <f>IF(勤務計画!Y33="休希","休",勤務計画!Y33&amp;"")</f>
        <v/>
      </c>
      <c r="Z33" s="116" t="str">
        <f>IF(勤務計画!Z33="休希","休",勤務計画!Z33&amp;"")</f>
        <v/>
      </c>
      <c r="AA33" s="116" t="str">
        <f>IF(勤務計画!AA33="休希","休",勤務計画!AA33&amp;"")</f>
        <v/>
      </c>
      <c r="AB33" s="116" t="str">
        <f>IF(勤務計画!AB33="休希","休",勤務計画!AB33&amp;"")</f>
        <v/>
      </c>
      <c r="AC33" s="116" t="str">
        <f>IF(勤務計画!AC33="休希","休",勤務計画!AC33&amp;"")</f>
        <v/>
      </c>
      <c r="AD33" s="116" t="str">
        <f>IF(勤務計画!AD33="休希","休",勤務計画!AD33&amp;"")</f>
        <v/>
      </c>
      <c r="AE33" s="116" t="str">
        <f>IF(勤務計画!AE33="休希","休",勤務計画!AE33&amp;"")</f>
        <v/>
      </c>
      <c r="AF33" s="116" t="str">
        <f>IF(勤務計画!AF33="休希","休",勤務計画!AF33&amp;"")</f>
        <v/>
      </c>
      <c r="AG33" s="116" t="str">
        <f>IF(勤務計画!AG33="休希","休",勤務計画!AG33&amp;"")</f>
        <v/>
      </c>
      <c r="AH33" s="116" t="str">
        <f>IF(勤務計画!AH33="休希","休",勤務計画!AH33&amp;"")</f>
        <v/>
      </c>
      <c r="AI33" s="116" t="str">
        <f>IF(勤務計画!AI33="休希","休",勤務計画!AI33&amp;"")</f>
        <v/>
      </c>
      <c r="AJ33" s="116" t="str">
        <f>IF(勤務計画!AJ33="休希","休",勤務計画!AJ33&amp;"")</f>
        <v/>
      </c>
      <c r="AK33" s="116" t="str">
        <f>IF(勤務計画!AK33="休希","休",勤務計画!AK33&amp;"")</f>
        <v/>
      </c>
      <c r="AL33" s="116" t="str">
        <f>IF(勤務計画!AL33="休希","休",勤務計画!AL33&amp;"")</f>
        <v/>
      </c>
      <c r="AM33" s="83" t="str">
        <f>勤務計画!AM33</f>
        <v/>
      </c>
      <c r="AN33" s="83" t="str">
        <f>勤務計画!AN33</f>
        <v/>
      </c>
      <c r="AO33" s="83" t="str">
        <f>勤務計画!AO33&amp;""</f>
        <v>0</v>
      </c>
      <c r="AP33" s="86" t="str">
        <f t="shared" si="0"/>
        <v/>
      </c>
      <c r="AQ33" s="122"/>
    </row>
    <row r="34" spans="1:236" ht="26.25" customHeight="1" x14ac:dyDescent="0.2">
      <c r="E34" s="42"/>
      <c r="F34" s="42"/>
      <c r="G34" s="83" t="str">
        <f>勤務計画!G34&amp;""</f>
        <v/>
      </c>
      <c r="H34" s="116" t="str">
        <f>IF(勤務計画!H34="休希","休",勤務計画!H34&amp;"")</f>
        <v/>
      </c>
      <c r="I34" s="116" t="str">
        <f>IF(勤務計画!I34="休希","休",勤務計画!I34&amp;"")</f>
        <v/>
      </c>
      <c r="J34" s="116" t="str">
        <f>IF(勤務計画!J34="休希","休",勤務計画!J34&amp;"")</f>
        <v/>
      </c>
      <c r="K34" s="116" t="str">
        <f>IF(勤務計画!K34="休希","休",勤務計画!K34&amp;"")</f>
        <v/>
      </c>
      <c r="L34" s="116" t="str">
        <f>IF(勤務計画!L34="休希","休",勤務計画!L34&amp;"")</f>
        <v/>
      </c>
      <c r="M34" s="116" t="str">
        <f>IF(勤務計画!M34="休希","休",勤務計画!M34&amp;"")</f>
        <v/>
      </c>
      <c r="N34" s="116" t="str">
        <f>IF(勤務計画!N34="休希","休",勤務計画!N34&amp;"")</f>
        <v/>
      </c>
      <c r="O34" s="116" t="str">
        <f>IF(勤務計画!O34="休希","休",勤務計画!O34&amp;"")</f>
        <v/>
      </c>
      <c r="P34" s="116" t="str">
        <f>IF(勤務計画!P34="休希","休",勤務計画!P34&amp;"")</f>
        <v/>
      </c>
      <c r="Q34" s="116" t="str">
        <f>IF(勤務計画!Q34="休希","休",勤務計画!Q34&amp;"")</f>
        <v/>
      </c>
      <c r="R34" s="116" t="str">
        <f>IF(勤務計画!R34="休希","休",勤務計画!R34&amp;"")</f>
        <v/>
      </c>
      <c r="S34" s="116" t="str">
        <f>IF(勤務計画!S34="休希","休",勤務計画!S34&amp;"")</f>
        <v/>
      </c>
      <c r="T34" s="116" t="str">
        <f>IF(勤務計画!T34="休希","休",勤務計画!T34&amp;"")</f>
        <v/>
      </c>
      <c r="U34" s="116" t="str">
        <f>IF(勤務計画!U34="休希","休",勤務計画!U34&amp;"")</f>
        <v/>
      </c>
      <c r="V34" s="116" t="str">
        <f>IF(勤務計画!V34="休希","休",勤務計画!V34&amp;"")</f>
        <v/>
      </c>
      <c r="W34" s="116" t="str">
        <f>IF(勤務計画!W34="休希","休",勤務計画!W34&amp;"")</f>
        <v/>
      </c>
      <c r="X34" s="116" t="str">
        <f>IF(勤務計画!X34="休希","休",勤務計画!X34&amp;"")</f>
        <v/>
      </c>
      <c r="Y34" s="116" t="str">
        <f>IF(勤務計画!Y34="休希","休",勤務計画!Y34&amp;"")</f>
        <v/>
      </c>
      <c r="Z34" s="116" t="str">
        <f>IF(勤務計画!Z34="休希","休",勤務計画!Z34&amp;"")</f>
        <v/>
      </c>
      <c r="AA34" s="116" t="str">
        <f>IF(勤務計画!AA34="休希","休",勤務計画!AA34&amp;"")</f>
        <v/>
      </c>
      <c r="AB34" s="116" t="str">
        <f>IF(勤務計画!AB34="休希","休",勤務計画!AB34&amp;"")</f>
        <v/>
      </c>
      <c r="AC34" s="116" t="str">
        <f>IF(勤務計画!AC34="休希","休",勤務計画!AC34&amp;"")</f>
        <v/>
      </c>
      <c r="AD34" s="116" t="str">
        <f>IF(勤務計画!AD34="休希","休",勤務計画!AD34&amp;"")</f>
        <v/>
      </c>
      <c r="AE34" s="116" t="str">
        <f>IF(勤務計画!AE34="休希","休",勤務計画!AE34&amp;"")</f>
        <v/>
      </c>
      <c r="AF34" s="116" t="str">
        <f>IF(勤務計画!AF34="休希","休",勤務計画!AF34&amp;"")</f>
        <v/>
      </c>
      <c r="AG34" s="116" t="str">
        <f>IF(勤務計画!AG34="休希","休",勤務計画!AG34&amp;"")</f>
        <v/>
      </c>
      <c r="AH34" s="116" t="str">
        <f>IF(勤務計画!AH34="休希","休",勤務計画!AH34&amp;"")</f>
        <v/>
      </c>
      <c r="AI34" s="116" t="str">
        <f>IF(勤務計画!AI34="休希","休",勤務計画!AI34&amp;"")</f>
        <v/>
      </c>
      <c r="AJ34" s="116" t="str">
        <f>IF(勤務計画!AJ34="休希","休",勤務計画!AJ34&amp;"")</f>
        <v/>
      </c>
      <c r="AK34" s="116" t="str">
        <f>IF(勤務計画!AK34="休希","休",勤務計画!AK34&amp;"")</f>
        <v/>
      </c>
      <c r="AL34" s="116" t="str">
        <f>IF(勤務計画!AL34="休希","休",勤務計画!AL34&amp;"")</f>
        <v/>
      </c>
      <c r="AM34" s="83" t="str">
        <f>勤務計画!AM34</f>
        <v/>
      </c>
      <c r="AN34" s="83" t="str">
        <f>勤務計画!AN34</f>
        <v/>
      </c>
      <c r="AO34" s="83" t="str">
        <f>勤務計画!AO34&amp;""</f>
        <v>0</v>
      </c>
      <c r="AP34" s="86" t="str">
        <f t="shared" si="0"/>
        <v/>
      </c>
      <c r="AQ34" s="122"/>
    </row>
    <row r="35" spans="1:236" s="45" customFormat="1" ht="26.25" customHeight="1" x14ac:dyDescent="0.2">
      <c r="A35" s="1"/>
      <c r="B35" s="1"/>
      <c r="C35" s="1"/>
      <c r="D35" s="1"/>
      <c r="E35" s="42"/>
      <c r="F35" s="42"/>
      <c r="G35" s="83" t="str">
        <f>勤務計画!G35&amp;""</f>
        <v/>
      </c>
      <c r="H35" s="116" t="str">
        <f>IF(勤務計画!H35="休希","休",勤務計画!H35&amp;"")</f>
        <v/>
      </c>
      <c r="I35" s="116" t="str">
        <f>IF(勤務計画!I35="休希","休",勤務計画!I35&amp;"")</f>
        <v/>
      </c>
      <c r="J35" s="116" t="str">
        <f>IF(勤務計画!J35="休希","休",勤務計画!J35&amp;"")</f>
        <v/>
      </c>
      <c r="K35" s="116" t="str">
        <f>IF(勤務計画!K35="休希","休",勤務計画!K35&amp;"")</f>
        <v/>
      </c>
      <c r="L35" s="116" t="str">
        <f>IF(勤務計画!L35="休希","休",勤務計画!L35&amp;"")</f>
        <v/>
      </c>
      <c r="M35" s="116" t="str">
        <f>IF(勤務計画!M35="休希","休",勤務計画!M35&amp;"")</f>
        <v/>
      </c>
      <c r="N35" s="116" t="str">
        <f>IF(勤務計画!N35="休希","休",勤務計画!N35&amp;"")</f>
        <v/>
      </c>
      <c r="O35" s="116" t="str">
        <f>IF(勤務計画!O35="休希","休",勤務計画!O35&amp;"")</f>
        <v/>
      </c>
      <c r="P35" s="116" t="str">
        <f>IF(勤務計画!P35="休希","休",勤務計画!P35&amp;"")</f>
        <v/>
      </c>
      <c r="Q35" s="116" t="str">
        <f>IF(勤務計画!Q35="休希","休",勤務計画!Q35&amp;"")</f>
        <v/>
      </c>
      <c r="R35" s="116" t="str">
        <f>IF(勤務計画!R35="休希","休",勤務計画!R35&amp;"")</f>
        <v/>
      </c>
      <c r="S35" s="116" t="str">
        <f>IF(勤務計画!S35="休希","休",勤務計画!S35&amp;"")</f>
        <v/>
      </c>
      <c r="T35" s="116" t="str">
        <f>IF(勤務計画!T35="休希","休",勤務計画!T35&amp;"")</f>
        <v/>
      </c>
      <c r="U35" s="116" t="str">
        <f>IF(勤務計画!U35="休希","休",勤務計画!U35&amp;"")</f>
        <v/>
      </c>
      <c r="V35" s="116" t="str">
        <f>IF(勤務計画!V35="休希","休",勤務計画!V35&amp;"")</f>
        <v/>
      </c>
      <c r="W35" s="116" t="str">
        <f>IF(勤務計画!W35="休希","休",勤務計画!W35&amp;"")</f>
        <v/>
      </c>
      <c r="X35" s="116" t="str">
        <f>IF(勤務計画!X35="休希","休",勤務計画!X35&amp;"")</f>
        <v/>
      </c>
      <c r="Y35" s="116" t="str">
        <f>IF(勤務計画!Y35="休希","休",勤務計画!Y35&amp;"")</f>
        <v/>
      </c>
      <c r="Z35" s="116" t="str">
        <f>IF(勤務計画!Z35="休希","休",勤務計画!Z35&amp;"")</f>
        <v/>
      </c>
      <c r="AA35" s="116" t="str">
        <f>IF(勤務計画!AA35="休希","休",勤務計画!AA35&amp;"")</f>
        <v/>
      </c>
      <c r="AB35" s="116" t="str">
        <f>IF(勤務計画!AB35="休希","休",勤務計画!AB35&amp;"")</f>
        <v/>
      </c>
      <c r="AC35" s="116" t="str">
        <f>IF(勤務計画!AC35="休希","休",勤務計画!AC35&amp;"")</f>
        <v/>
      </c>
      <c r="AD35" s="116" t="str">
        <f>IF(勤務計画!AD35="休希","休",勤務計画!AD35&amp;"")</f>
        <v/>
      </c>
      <c r="AE35" s="116" t="str">
        <f>IF(勤務計画!AE35="休希","休",勤務計画!AE35&amp;"")</f>
        <v/>
      </c>
      <c r="AF35" s="116" t="str">
        <f>IF(勤務計画!AF35="休希","休",勤務計画!AF35&amp;"")</f>
        <v/>
      </c>
      <c r="AG35" s="116" t="str">
        <f>IF(勤務計画!AG35="休希","休",勤務計画!AG35&amp;"")</f>
        <v/>
      </c>
      <c r="AH35" s="116" t="str">
        <f>IF(勤務計画!AH35="休希","休",勤務計画!AH35&amp;"")</f>
        <v/>
      </c>
      <c r="AI35" s="116" t="str">
        <f>IF(勤務計画!AI35="休希","休",勤務計画!AI35&amp;"")</f>
        <v/>
      </c>
      <c r="AJ35" s="116" t="str">
        <f>IF(勤務計画!AJ35="休希","休",勤務計画!AJ35&amp;"")</f>
        <v/>
      </c>
      <c r="AK35" s="116" t="str">
        <f>IF(勤務計画!AK35="休希","休",勤務計画!AK35&amp;"")</f>
        <v/>
      </c>
      <c r="AL35" s="116" t="str">
        <f>IF(勤務計画!AL35="休希","休",勤務計画!AL35&amp;"")</f>
        <v/>
      </c>
      <c r="AM35" s="83" t="str">
        <f>勤務計画!AM35</f>
        <v/>
      </c>
      <c r="AN35" s="83" t="str">
        <f>勤務計画!AN35</f>
        <v/>
      </c>
      <c r="AO35" s="83" t="str">
        <f>勤務計画!AO35&amp;""</f>
        <v>0</v>
      </c>
      <c r="AP35" s="86" t="str">
        <f t="shared" si="0"/>
        <v/>
      </c>
      <c r="AQ35" s="122"/>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c r="GF35" s="1"/>
      <c r="GG35" s="1"/>
      <c r="GH35" s="1"/>
      <c r="GI35" s="1"/>
      <c r="GJ35" s="1"/>
      <c r="GK35" s="1"/>
      <c r="GL35" s="1"/>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1"/>
      <c r="HQ35" s="1"/>
      <c r="HR35" s="1"/>
      <c r="HS35" s="1"/>
      <c r="HT35" s="1"/>
      <c r="HU35" s="1"/>
      <c r="HV35" s="1"/>
      <c r="HW35" s="1"/>
      <c r="HX35" s="1"/>
    </row>
    <row r="36" spans="1:236" s="45" customFormat="1" ht="26.25" customHeight="1" x14ac:dyDescent="0.2">
      <c r="A36" s="1"/>
      <c r="B36" s="1"/>
      <c r="C36" s="1"/>
      <c r="D36" s="1"/>
      <c r="E36" s="42"/>
      <c r="F36" s="42"/>
      <c r="G36" s="83" t="str">
        <f>勤務計画!G36&amp;""</f>
        <v/>
      </c>
      <c r="H36" s="116" t="str">
        <f>IF(勤務計画!H36="休希","休",勤務計画!H36&amp;"")</f>
        <v/>
      </c>
      <c r="I36" s="116" t="str">
        <f>IF(勤務計画!I36="休希","休",勤務計画!I36&amp;"")</f>
        <v/>
      </c>
      <c r="J36" s="116" t="str">
        <f>IF(勤務計画!J36="休希","休",勤務計画!J36&amp;"")</f>
        <v/>
      </c>
      <c r="K36" s="116" t="str">
        <f>IF(勤務計画!K36="休希","休",勤務計画!K36&amp;"")</f>
        <v/>
      </c>
      <c r="L36" s="116" t="str">
        <f>IF(勤務計画!L36="休希","休",勤務計画!L36&amp;"")</f>
        <v/>
      </c>
      <c r="M36" s="116" t="str">
        <f>IF(勤務計画!M36="休希","休",勤務計画!M36&amp;"")</f>
        <v/>
      </c>
      <c r="N36" s="116" t="str">
        <f>IF(勤務計画!N36="休希","休",勤務計画!N36&amp;"")</f>
        <v/>
      </c>
      <c r="O36" s="116" t="str">
        <f>IF(勤務計画!O36="休希","休",勤務計画!O36&amp;"")</f>
        <v/>
      </c>
      <c r="P36" s="116" t="str">
        <f>IF(勤務計画!P36="休希","休",勤務計画!P36&amp;"")</f>
        <v/>
      </c>
      <c r="Q36" s="116" t="str">
        <f>IF(勤務計画!Q36="休希","休",勤務計画!Q36&amp;"")</f>
        <v/>
      </c>
      <c r="R36" s="116" t="str">
        <f>IF(勤務計画!R36="休希","休",勤務計画!R36&amp;"")</f>
        <v/>
      </c>
      <c r="S36" s="116" t="str">
        <f>IF(勤務計画!S36="休希","休",勤務計画!S36&amp;"")</f>
        <v/>
      </c>
      <c r="T36" s="116" t="str">
        <f>IF(勤務計画!T36="休希","休",勤務計画!T36&amp;"")</f>
        <v/>
      </c>
      <c r="U36" s="116" t="str">
        <f>IF(勤務計画!U36="休希","休",勤務計画!U36&amp;"")</f>
        <v/>
      </c>
      <c r="V36" s="116" t="str">
        <f>IF(勤務計画!V36="休希","休",勤務計画!V36&amp;"")</f>
        <v/>
      </c>
      <c r="W36" s="116" t="str">
        <f>IF(勤務計画!W36="休希","休",勤務計画!W36&amp;"")</f>
        <v/>
      </c>
      <c r="X36" s="116" t="str">
        <f>IF(勤務計画!X36="休希","休",勤務計画!X36&amp;"")</f>
        <v/>
      </c>
      <c r="Y36" s="116" t="str">
        <f>IF(勤務計画!Y36="休希","休",勤務計画!Y36&amp;"")</f>
        <v/>
      </c>
      <c r="Z36" s="116" t="str">
        <f>IF(勤務計画!Z36="休希","休",勤務計画!Z36&amp;"")</f>
        <v/>
      </c>
      <c r="AA36" s="116" t="str">
        <f>IF(勤務計画!AA36="休希","休",勤務計画!AA36&amp;"")</f>
        <v/>
      </c>
      <c r="AB36" s="116" t="str">
        <f>IF(勤務計画!AB36="休希","休",勤務計画!AB36&amp;"")</f>
        <v/>
      </c>
      <c r="AC36" s="116" t="str">
        <f>IF(勤務計画!AC36="休希","休",勤務計画!AC36&amp;"")</f>
        <v/>
      </c>
      <c r="AD36" s="116" t="str">
        <f>IF(勤務計画!AD36="休希","休",勤務計画!AD36&amp;"")</f>
        <v/>
      </c>
      <c r="AE36" s="116" t="str">
        <f>IF(勤務計画!AE36="休希","休",勤務計画!AE36&amp;"")</f>
        <v/>
      </c>
      <c r="AF36" s="116" t="str">
        <f>IF(勤務計画!AF36="休希","休",勤務計画!AF36&amp;"")</f>
        <v/>
      </c>
      <c r="AG36" s="116" t="str">
        <f>IF(勤務計画!AG36="休希","休",勤務計画!AG36&amp;"")</f>
        <v/>
      </c>
      <c r="AH36" s="116" t="str">
        <f>IF(勤務計画!AH36="休希","休",勤務計画!AH36&amp;"")</f>
        <v/>
      </c>
      <c r="AI36" s="116" t="str">
        <f>IF(勤務計画!AI36="休希","休",勤務計画!AI36&amp;"")</f>
        <v/>
      </c>
      <c r="AJ36" s="116" t="str">
        <f>IF(勤務計画!AJ36="休希","休",勤務計画!AJ36&amp;"")</f>
        <v/>
      </c>
      <c r="AK36" s="116" t="str">
        <f>IF(勤務計画!AK36="休希","休",勤務計画!AK36&amp;"")</f>
        <v/>
      </c>
      <c r="AL36" s="116" t="str">
        <f>IF(勤務計画!AL36="休希","休",勤務計画!AL36&amp;"")</f>
        <v/>
      </c>
      <c r="AM36" s="83" t="str">
        <f>勤務計画!AM36</f>
        <v/>
      </c>
      <c r="AN36" s="83" t="str">
        <f>勤務計画!AN36</f>
        <v/>
      </c>
      <c r="AO36" s="83" t="str">
        <f>勤務計画!AO36&amp;""</f>
        <v>0</v>
      </c>
      <c r="AP36" s="86" t="str">
        <f t="shared" si="0"/>
        <v/>
      </c>
      <c r="AQ36" s="122"/>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c r="GF36" s="1"/>
      <c r="GG36" s="1"/>
      <c r="GH36" s="1"/>
      <c r="GI36" s="1"/>
      <c r="GJ36" s="1"/>
      <c r="GK36" s="1"/>
      <c r="GL36" s="1"/>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1"/>
      <c r="HQ36" s="1"/>
      <c r="HR36" s="1"/>
      <c r="HS36" s="1"/>
      <c r="HT36" s="1"/>
      <c r="HU36" s="1"/>
      <c r="HV36" s="1"/>
      <c r="HW36" s="1"/>
      <c r="HX36" s="1"/>
    </row>
    <row r="37" spans="1:236" s="45" customFormat="1" ht="26.25" customHeight="1" x14ac:dyDescent="0.2">
      <c r="A37" s="1"/>
      <c r="B37" s="1"/>
      <c r="C37" s="1"/>
      <c r="D37" s="1"/>
      <c r="E37" s="42"/>
      <c r="F37" s="42"/>
      <c r="G37" s="83" t="str">
        <f>勤務計画!G37&amp;""</f>
        <v/>
      </c>
      <c r="H37" s="116" t="str">
        <f>IF(勤務計画!H37="休希","休",勤務計画!H37&amp;"")</f>
        <v/>
      </c>
      <c r="I37" s="116" t="str">
        <f>IF(勤務計画!I37="休希","休",勤務計画!I37&amp;"")</f>
        <v/>
      </c>
      <c r="J37" s="116" t="str">
        <f>IF(勤務計画!J37="休希","休",勤務計画!J37&amp;"")</f>
        <v/>
      </c>
      <c r="K37" s="116" t="str">
        <f>IF(勤務計画!K37="休希","休",勤務計画!K37&amp;"")</f>
        <v/>
      </c>
      <c r="L37" s="116" t="str">
        <f>IF(勤務計画!L37="休希","休",勤務計画!L37&amp;"")</f>
        <v/>
      </c>
      <c r="M37" s="116" t="str">
        <f>IF(勤務計画!M37="休希","休",勤務計画!M37&amp;"")</f>
        <v/>
      </c>
      <c r="N37" s="116" t="str">
        <f>IF(勤務計画!N37="休希","休",勤務計画!N37&amp;"")</f>
        <v/>
      </c>
      <c r="O37" s="116" t="str">
        <f>IF(勤務計画!O37="休希","休",勤務計画!O37&amp;"")</f>
        <v/>
      </c>
      <c r="P37" s="116" t="str">
        <f>IF(勤務計画!P37="休希","休",勤務計画!P37&amp;"")</f>
        <v/>
      </c>
      <c r="Q37" s="116" t="str">
        <f>IF(勤務計画!Q37="休希","休",勤務計画!Q37&amp;"")</f>
        <v/>
      </c>
      <c r="R37" s="116" t="str">
        <f>IF(勤務計画!R37="休希","休",勤務計画!R37&amp;"")</f>
        <v/>
      </c>
      <c r="S37" s="116" t="str">
        <f>IF(勤務計画!S37="休希","休",勤務計画!S37&amp;"")</f>
        <v/>
      </c>
      <c r="T37" s="116" t="str">
        <f>IF(勤務計画!T37="休希","休",勤務計画!T37&amp;"")</f>
        <v/>
      </c>
      <c r="U37" s="116" t="str">
        <f>IF(勤務計画!U37="休希","休",勤務計画!U37&amp;"")</f>
        <v/>
      </c>
      <c r="V37" s="116" t="str">
        <f>IF(勤務計画!V37="休希","休",勤務計画!V37&amp;"")</f>
        <v/>
      </c>
      <c r="W37" s="116" t="str">
        <f>IF(勤務計画!W37="休希","休",勤務計画!W37&amp;"")</f>
        <v/>
      </c>
      <c r="X37" s="116" t="str">
        <f>IF(勤務計画!X37="休希","休",勤務計画!X37&amp;"")</f>
        <v/>
      </c>
      <c r="Y37" s="116" t="str">
        <f>IF(勤務計画!Y37="休希","休",勤務計画!Y37&amp;"")</f>
        <v/>
      </c>
      <c r="Z37" s="116" t="str">
        <f>IF(勤務計画!Z37="休希","休",勤務計画!Z37&amp;"")</f>
        <v/>
      </c>
      <c r="AA37" s="116" t="str">
        <f>IF(勤務計画!AA37="休希","休",勤務計画!AA37&amp;"")</f>
        <v/>
      </c>
      <c r="AB37" s="116" t="str">
        <f>IF(勤務計画!AB37="休希","休",勤務計画!AB37&amp;"")</f>
        <v/>
      </c>
      <c r="AC37" s="116" t="str">
        <f>IF(勤務計画!AC37="休希","休",勤務計画!AC37&amp;"")</f>
        <v/>
      </c>
      <c r="AD37" s="116" t="str">
        <f>IF(勤務計画!AD37="休希","休",勤務計画!AD37&amp;"")</f>
        <v/>
      </c>
      <c r="AE37" s="116" t="str">
        <f>IF(勤務計画!AE37="休希","休",勤務計画!AE37&amp;"")</f>
        <v/>
      </c>
      <c r="AF37" s="116" t="str">
        <f>IF(勤務計画!AF37="休希","休",勤務計画!AF37&amp;"")</f>
        <v/>
      </c>
      <c r="AG37" s="116" t="str">
        <f>IF(勤務計画!AG37="休希","休",勤務計画!AG37&amp;"")</f>
        <v/>
      </c>
      <c r="AH37" s="116" t="str">
        <f>IF(勤務計画!AH37="休希","休",勤務計画!AH37&amp;"")</f>
        <v/>
      </c>
      <c r="AI37" s="116" t="str">
        <f>IF(勤務計画!AI37="休希","休",勤務計画!AI37&amp;"")</f>
        <v/>
      </c>
      <c r="AJ37" s="116" t="str">
        <f>IF(勤務計画!AJ37="休希","休",勤務計画!AJ37&amp;"")</f>
        <v/>
      </c>
      <c r="AK37" s="116" t="str">
        <f>IF(勤務計画!AK37="休希","休",勤務計画!AK37&amp;"")</f>
        <v/>
      </c>
      <c r="AL37" s="116" t="str">
        <f>IF(勤務計画!AL37="休希","休",勤務計画!AL37&amp;"")</f>
        <v/>
      </c>
      <c r="AM37" s="83" t="str">
        <f>勤務計画!AM37</f>
        <v/>
      </c>
      <c r="AN37" s="83" t="str">
        <f>勤務計画!AN37</f>
        <v/>
      </c>
      <c r="AO37" s="83" t="str">
        <f>勤務計画!AO37&amp;""</f>
        <v>0</v>
      </c>
      <c r="AP37" s="86" t="str">
        <f t="shared" si="0"/>
        <v/>
      </c>
      <c r="AQ37" s="122"/>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c r="GF37" s="1"/>
      <c r="GG37" s="1"/>
      <c r="GH37" s="1"/>
      <c r="GI37" s="1"/>
      <c r="GJ37" s="1"/>
      <c r="GK37" s="1"/>
      <c r="GL37" s="1"/>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1"/>
      <c r="HQ37" s="1"/>
      <c r="HR37" s="1"/>
      <c r="HS37" s="1"/>
      <c r="HT37" s="1"/>
      <c r="HU37" s="1"/>
      <c r="HV37" s="1"/>
      <c r="HW37" s="1"/>
      <c r="HX37" s="1"/>
    </row>
    <row r="38" spans="1:236" s="45" customFormat="1" ht="26.25" customHeight="1" x14ac:dyDescent="0.2">
      <c r="A38" s="1"/>
      <c r="B38" s="1"/>
      <c r="C38" s="1"/>
      <c r="D38" s="1"/>
      <c r="E38" s="42"/>
      <c r="F38" s="42"/>
      <c r="G38" s="83" t="str">
        <f>勤務計画!G38&amp;""</f>
        <v/>
      </c>
      <c r="H38" s="116" t="str">
        <f>IF(勤務計画!H38="休希","休",勤務計画!H38&amp;"")</f>
        <v/>
      </c>
      <c r="I38" s="116" t="str">
        <f>IF(勤務計画!I38="休希","休",勤務計画!I38&amp;"")</f>
        <v/>
      </c>
      <c r="J38" s="116" t="str">
        <f>IF(勤務計画!J38="休希","休",勤務計画!J38&amp;"")</f>
        <v/>
      </c>
      <c r="K38" s="116" t="str">
        <f>IF(勤務計画!K38="休希","休",勤務計画!K38&amp;"")</f>
        <v/>
      </c>
      <c r="L38" s="116" t="str">
        <f>IF(勤務計画!L38="休希","休",勤務計画!L38&amp;"")</f>
        <v/>
      </c>
      <c r="M38" s="116" t="str">
        <f>IF(勤務計画!M38="休希","休",勤務計画!M38&amp;"")</f>
        <v/>
      </c>
      <c r="N38" s="116" t="str">
        <f>IF(勤務計画!N38="休希","休",勤務計画!N38&amp;"")</f>
        <v/>
      </c>
      <c r="O38" s="116" t="str">
        <f>IF(勤務計画!O38="休希","休",勤務計画!O38&amp;"")</f>
        <v/>
      </c>
      <c r="P38" s="116" t="str">
        <f>IF(勤務計画!P38="休希","休",勤務計画!P38&amp;"")</f>
        <v/>
      </c>
      <c r="Q38" s="116" t="str">
        <f>IF(勤務計画!Q38="休希","休",勤務計画!Q38&amp;"")</f>
        <v/>
      </c>
      <c r="R38" s="116" t="str">
        <f>IF(勤務計画!R38="休希","休",勤務計画!R38&amp;"")</f>
        <v/>
      </c>
      <c r="S38" s="116" t="str">
        <f>IF(勤務計画!S38="休希","休",勤務計画!S38&amp;"")</f>
        <v/>
      </c>
      <c r="T38" s="116" t="str">
        <f>IF(勤務計画!T38="休希","休",勤務計画!T38&amp;"")</f>
        <v/>
      </c>
      <c r="U38" s="116" t="str">
        <f>IF(勤務計画!U38="休希","休",勤務計画!U38&amp;"")</f>
        <v/>
      </c>
      <c r="V38" s="116" t="str">
        <f>IF(勤務計画!V38="休希","休",勤務計画!V38&amp;"")</f>
        <v/>
      </c>
      <c r="W38" s="116" t="str">
        <f>IF(勤務計画!W38="休希","休",勤務計画!W38&amp;"")</f>
        <v/>
      </c>
      <c r="X38" s="116" t="str">
        <f>IF(勤務計画!X38="休希","休",勤務計画!X38&amp;"")</f>
        <v/>
      </c>
      <c r="Y38" s="116" t="str">
        <f>IF(勤務計画!Y38="休希","休",勤務計画!Y38&amp;"")</f>
        <v/>
      </c>
      <c r="Z38" s="116" t="str">
        <f>IF(勤務計画!Z38="休希","休",勤務計画!Z38&amp;"")</f>
        <v/>
      </c>
      <c r="AA38" s="116" t="str">
        <f>IF(勤務計画!AA38="休希","休",勤務計画!AA38&amp;"")</f>
        <v/>
      </c>
      <c r="AB38" s="116" t="str">
        <f>IF(勤務計画!AB38="休希","休",勤務計画!AB38&amp;"")</f>
        <v/>
      </c>
      <c r="AC38" s="116" t="str">
        <f>IF(勤務計画!AC38="休希","休",勤務計画!AC38&amp;"")</f>
        <v/>
      </c>
      <c r="AD38" s="116" t="str">
        <f>IF(勤務計画!AD38="休希","休",勤務計画!AD38&amp;"")</f>
        <v/>
      </c>
      <c r="AE38" s="116" t="str">
        <f>IF(勤務計画!AE38="休希","休",勤務計画!AE38&amp;"")</f>
        <v/>
      </c>
      <c r="AF38" s="116" t="str">
        <f>IF(勤務計画!AF38="休希","休",勤務計画!AF38&amp;"")</f>
        <v/>
      </c>
      <c r="AG38" s="116" t="str">
        <f>IF(勤務計画!AG38="休希","休",勤務計画!AG38&amp;"")</f>
        <v/>
      </c>
      <c r="AH38" s="116" t="str">
        <f>IF(勤務計画!AH38="休希","休",勤務計画!AH38&amp;"")</f>
        <v/>
      </c>
      <c r="AI38" s="116" t="str">
        <f>IF(勤務計画!AI38="休希","休",勤務計画!AI38&amp;"")</f>
        <v/>
      </c>
      <c r="AJ38" s="116" t="str">
        <f>IF(勤務計画!AJ38="休希","休",勤務計画!AJ38&amp;"")</f>
        <v/>
      </c>
      <c r="AK38" s="116" t="str">
        <f>IF(勤務計画!AK38="休希","休",勤務計画!AK38&amp;"")</f>
        <v/>
      </c>
      <c r="AL38" s="116" t="str">
        <f>IF(勤務計画!AL38="休希","休",勤務計画!AL38&amp;"")</f>
        <v/>
      </c>
      <c r="AM38" s="83" t="str">
        <f>勤務計画!AM38</f>
        <v/>
      </c>
      <c r="AN38" s="83" t="str">
        <f>勤務計画!AN38</f>
        <v/>
      </c>
      <c r="AO38" s="83" t="str">
        <f>勤務計画!AO38&amp;""</f>
        <v>0</v>
      </c>
      <c r="AP38" s="86" t="str">
        <f t="shared" si="0"/>
        <v/>
      </c>
      <c r="AQ38" s="122"/>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c r="GF38" s="1"/>
      <c r="GG38" s="1"/>
      <c r="GH38" s="1"/>
      <c r="GI38" s="1"/>
      <c r="GJ38" s="1"/>
      <c r="GK38" s="1"/>
      <c r="GL38" s="1"/>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1"/>
      <c r="HQ38" s="1"/>
      <c r="HR38" s="1"/>
      <c r="HS38" s="1"/>
      <c r="HT38" s="1"/>
      <c r="HU38" s="1"/>
      <c r="HV38" s="1"/>
      <c r="HW38" s="1"/>
      <c r="HX38" s="1"/>
    </row>
    <row r="39" spans="1:236" s="45" customFormat="1" ht="26.25" customHeight="1" x14ac:dyDescent="0.2">
      <c r="A39" s="1"/>
      <c r="B39" s="1"/>
      <c r="C39" s="1"/>
      <c r="D39" s="1"/>
      <c r="E39" s="42"/>
      <c r="F39" s="42"/>
      <c r="G39" s="83" t="str">
        <f>勤務計画!G39&amp;""</f>
        <v/>
      </c>
      <c r="H39" s="116" t="str">
        <f>IF(勤務計画!H39="休希","休",勤務計画!H39&amp;"")</f>
        <v/>
      </c>
      <c r="I39" s="116" t="str">
        <f>IF(勤務計画!I39="休希","休",勤務計画!I39&amp;"")</f>
        <v/>
      </c>
      <c r="J39" s="116" t="str">
        <f>IF(勤務計画!J39="休希","休",勤務計画!J39&amp;"")</f>
        <v/>
      </c>
      <c r="K39" s="116" t="str">
        <f>IF(勤務計画!K39="休希","休",勤務計画!K39&amp;"")</f>
        <v/>
      </c>
      <c r="L39" s="116" t="str">
        <f>IF(勤務計画!L39="休希","休",勤務計画!L39&amp;"")</f>
        <v/>
      </c>
      <c r="M39" s="116" t="str">
        <f>IF(勤務計画!M39="休希","休",勤務計画!M39&amp;"")</f>
        <v/>
      </c>
      <c r="N39" s="116" t="str">
        <f>IF(勤務計画!N39="休希","休",勤務計画!N39&amp;"")</f>
        <v/>
      </c>
      <c r="O39" s="116" t="str">
        <f>IF(勤務計画!O39="休希","休",勤務計画!O39&amp;"")</f>
        <v/>
      </c>
      <c r="P39" s="116" t="str">
        <f>IF(勤務計画!P39="休希","休",勤務計画!P39&amp;"")</f>
        <v/>
      </c>
      <c r="Q39" s="116" t="str">
        <f>IF(勤務計画!Q39="休希","休",勤務計画!Q39&amp;"")</f>
        <v/>
      </c>
      <c r="R39" s="116" t="str">
        <f>IF(勤務計画!R39="休希","休",勤務計画!R39&amp;"")</f>
        <v/>
      </c>
      <c r="S39" s="116" t="str">
        <f>IF(勤務計画!S39="休希","休",勤務計画!S39&amp;"")</f>
        <v/>
      </c>
      <c r="T39" s="116" t="str">
        <f>IF(勤務計画!T39="休希","休",勤務計画!T39&amp;"")</f>
        <v/>
      </c>
      <c r="U39" s="116" t="str">
        <f>IF(勤務計画!U39="休希","休",勤務計画!U39&amp;"")</f>
        <v/>
      </c>
      <c r="V39" s="116" t="str">
        <f>IF(勤務計画!V39="休希","休",勤務計画!V39&amp;"")</f>
        <v/>
      </c>
      <c r="W39" s="116" t="str">
        <f>IF(勤務計画!W39="休希","休",勤務計画!W39&amp;"")</f>
        <v/>
      </c>
      <c r="X39" s="116" t="str">
        <f>IF(勤務計画!X39="休希","休",勤務計画!X39&amp;"")</f>
        <v/>
      </c>
      <c r="Y39" s="116" t="str">
        <f>IF(勤務計画!Y39="休希","休",勤務計画!Y39&amp;"")</f>
        <v/>
      </c>
      <c r="Z39" s="116" t="str">
        <f>IF(勤務計画!Z39="休希","休",勤務計画!Z39&amp;"")</f>
        <v/>
      </c>
      <c r="AA39" s="116" t="str">
        <f>IF(勤務計画!AA39="休希","休",勤務計画!AA39&amp;"")</f>
        <v/>
      </c>
      <c r="AB39" s="116" t="str">
        <f>IF(勤務計画!AB39="休希","休",勤務計画!AB39&amp;"")</f>
        <v/>
      </c>
      <c r="AC39" s="116" t="str">
        <f>IF(勤務計画!AC39="休希","休",勤務計画!AC39&amp;"")</f>
        <v/>
      </c>
      <c r="AD39" s="116" t="str">
        <f>IF(勤務計画!AD39="休希","休",勤務計画!AD39&amp;"")</f>
        <v/>
      </c>
      <c r="AE39" s="116" t="str">
        <f>IF(勤務計画!AE39="休希","休",勤務計画!AE39&amp;"")</f>
        <v/>
      </c>
      <c r="AF39" s="116" t="str">
        <f>IF(勤務計画!AF39="休希","休",勤務計画!AF39&amp;"")</f>
        <v/>
      </c>
      <c r="AG39" s="116" t="str">
        <f>IF(勤務計画!AG39="休希","休",勤務計画!AG39&amp;"")</f>
        <v/>
      </c>
      <c r="AH39" s="116" t="str">
        <f>IF(勤務計画!AH39="休希","休",勤務計画!AH39&amp;"")</f>
        <v/>
      </c>
      <c r="AI39" s="116" t="str">
        <f>IF(勤務計画!AI39="休希","休",勤務計画!AI39&amp;"")</f>
        <v/>
      </c>
      <c r="AJ39" s="116" t="str">
        <f>IF(勤務計画!AJ39="休希","休",勤務計画!AJ39&amp;"")</f>
        <v/>
      </c>
      <c r="AK39" s="116" t="str">
        <f>IF(勤務計画!AK39="休希","休",勤務計画!AK39&amp;"")</f>
        <v/>
      </c>
      <c r="AL39" s="116" t="str">
        <f>IF(勤務計画!AL39="休希","休",勤務計画!AL39&amp;"")</f>
        <v/>
      </c>
      <c r="AM39" s="83" t="str">
        <f>勤務計画!AM39</f>
        <v/>
      </c>
      <c r="AN39" s="83" t="str">
        <f>勤務計画!AN39</f>
        <v/>
      </c>
      <c r="AO39" s="83" t="str">
        <f>勤務計画!AO39&amp;""</f>
        <v>0</v>
      </c>
      <c r="AP39" s="86" t="str">
        <f t="shared" si="0"/>
        <v/>
      </c>
      <c r="AQ39" s="122"/>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c r="GF39" s="1"/>
      <c r="GG39" s="1"/>
      <c r="GH39" s="1"/>
      <c r="GI39" s="1"/>
      <c r="GJ39" s="1"/>
      <c r="GK39" s="1"/>
      <c r="GL39" s="1"/>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1"/>
      <c r="HQ39" s="1"/>
      <c r="HR39" s="1"/>
      <c r="HS39" s="1"/>
      <c r="HT39" s="1"/>
      <c r="HU39" s="1"/>
      <c r="HV39" s="1"/>
      <c r="HW39" s="1"/>
      <c r="HX39" s="1"/>
    </row>
    <row r="40" spans="1:236" s="45" customFormat="1" ht="5.25" customHeight="1" x14ac:dyDescent="0.2">
      <c r="A40" s="1"/>
      <c r="B40" s="1"/>
      <c r="C40" s="1"/>
      <c r="D40" s="1"/>
      <c r="E40" s="2"/>
      <c r="F40" s="2"/>
      <c r="G40" s="108"/>
      <c r="H40" s="46"/>
      <c r="I40" s="46"/>
      <c r="J40" s="46"/>
      <c r="K40" s="46"/>
      <c r="L40" s="46"/>
      <c r="M40" s="46"/>
      <c r="N40" s="46"/>
      <c r="O40" s="46"/>
      <c r="P40" s="46"/>
      <c r="Q40" s="66"/>
      <c r="R40" s="46"/>
      <c r="S40" s="46"/>
      <c r="T40" s="46"/>
      <c r="U40" s="46"/>
      <c r="V40" s="46"/>
      <c r="W40" s="46"/>
      <c r="X40" s="46"/>
      <c r="Y40" s="46"/>
      <c r="Z40" s="46"/>
      <c r="AA40" s="46"/>
      <c r="AB40" s="46"/>
      <c r="AC40" s="46"/>
      <c r="AD40" s="46"/>
      <c r="AE40" s="46"/>
      <c r="AF40" s="46"/>
      <c r="AG40" s="46"/>
      <c r="AH40" s="46"/>
      <c r="AI40" s="46"/>
      <c r="AJ40" s="46"/>
      <c r="AK40" s="46"/>
      <c r="AL40" s="46"/>
      <c r="AM40" s="91"/>
      <c r="AN40" s="91"/>
      <c r="AO40" s="1"/>
      <c r="AP40" s="9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c r="GF40" s="1"/>
      <c r="GG40" s="1"/>
      <c r="GH40" s="1"/>
      <c r="GI40" s="1"/>
      <c r="GJ40" s="1"/>
      <c r="GK40" s="1"/>
      <c r="GL40" s="1"/>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1"/>
      <c r="HQ40" s="1"/>
      <c r="HR40" s="1"/>
      <c r="HS40" s="1"/>
      <c r="HT40" s="1"/>
      <c r="HU40" s="1"/>
      <c r="HV40" s="1"/>
      <c r="HW40" s="1"/>
      <c r="HX40" s="1"/>
      <c r="HY40" s="1"/>
      <c r="HZ40" s="1"/>
      <c r="IA40" s="1"/>
      <c r="IB40" s="1"/>
    </row>
  </sheetData>
  <sheetProtection algorithmName="SHA-512" hashValue="yI2M5NNLHw8fIvGHWUrf8sroTifXjz4rSlhq0zfOeoHzNnWNn/BFVlELNuLlE9fLZW0q5q9ZxNi+gcUoGwZI7Q==" saltValue="xNHK3S8JverCIkjdW1NqXQ==" spinCount="100000" sheet="1" objects="1" scenarios="1" selectLockedCells="1"/>
  <mergeCells count="11">
    <mergeCell ref="AN8:AO8"/>
    <mergeCell ref="AN10:AN11"/>
    <mergeCell ref="AO10:AO11"/>
    <mergeCell ref="AP10:AP11"/>
    <mergeCell ref="P5:AB5"/>
    <mergeCell ref="S6:V6"/>
    <mergeCell ref="I7:K7"/>
    <mergeCell ref="L7:M7"/>
    <mergeCell ref="N7:O7"/>
    <mergeCell ref="P7:Q7"/>
    <mergeCell ref="R7:S7"/>
  </mergeCells>
  <phoneticPr fontId="2"/>
  <conditionalFormatting sqref="R6">
    <cfRule type="cellIs" dxfId="39" priority="10" stopIfTrue="1" operator="notEqual">
      <formula>""</formula>
    </cfRule>
  </conditionalFormatting>
  <conditionalFormatting sqref="S6">
    <cfRule type="expression" dxfId="38" priority="7">
      <formula>$S$6&lt;&gt;""</formula>
    </cfRule>
  </conditionalFormatting>
  <conditionalFormatting sqref="H12:AL39">
    <cfRule type="expression" dxfId="37" priority="4">
      <formula>H$9&lt;&gt;""</formula>
    </cfRule>
    <cfRule type="expression" dxfId="36" priority="9">
      <formula>OR(H12="有休",H12="休",H12="代休",H12="休希")</formula>
    </cfRule>
  </conditionalFormatting>
  <conditionalFormatting sqref="H10:AL11">
    <cfRule type="expression" dxfId="35" priority="5173">
      <formula>H$9&lt;&gt;""</formula>
    </cfRule>
    <cfRule type="expression" dxfId="34" priority="5174">
      <formula>AND(H$10&lt;&gt;"",#REF!&amp;#REF!&amp;#REF!&amp;#REF!&amp;#REF!&lt;&gt;"OKOKOKOKOK")</formula>
    </cfRule>
  </conditionalFormatting>
  <conditionalFormatting sqref="H9:AM9">
    <cfRule type="expression" dxfId="33" priority="1">
      <formula>H$9&lt;&gt;""</formula>
    </cfRule>
    <cfRule type="expression" dxfId="32" priority="2">
      <formula>AND(H$10&lt;&gt;"",#REF!&amp;#REF!&amp;#REF!&amp;#REF!&amp;#REF!&lt;&gt;"OKOKOKOKOK")</formula>
    </cfRule>
  </conditionalFormatting>
  <dataValidations disablePrompts="1" count="4">
    <dataValidation imeMode="off" allowBlank="1" showInputMessage="1" showErrorMessage="1" sqref="G9 I7" xr:uid="{00000000-0002-0000-0500-000000000000}"/>
    <dataValidation operator="greaterThan" allowBlank="1" showInputMessage="1" showErrorMessage="1" sqref="K8:AL8" xr:uid="{00000000-0002-0000-0500-000001000000}"/>
    <dataValidation type="date" imeMode="off" operator="greaterThanOrEqual" allowBlank="1" showInputMessage="1" showErrorMessage="1" error="2019年1月11日以降の日付を入力" sqref="G7" xr:uid="{00000000-0002-0000-0500-000002000000}">
      <formula1>43466</formula1>
    </dataValidation>
    <dataValidation imeMode="hiragana" allowBlank="1" showInputMessage="1" showErrorMessage="1" sqref="G40" xr:uid="{00000000-0002-0000-0500-000003000000}"/>
  </dataValidations>
  <printOptions horizontalCentered="1" verticalCentered="1"/>
  <pageMargins left="0.20833333333333334" right="0.20833333333333334" top="0.27777777777777779" bottom="0.1388888888888889" header="0.15748031496062992" footer="0.19685039370078741"/>
  <pageSetup paperSize="9" scale="93" orientation="landscape" errors="blank" horizontalDpi="4294967293"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C56"/>
  <sheetViews>
    <sheetView workbookViewId="0"/>
  </sheetViews>
  <sheetFormatPr defaultRowHeight="16.2" x14ac:dyDescent="0.2"/>
  <cols>
    <col min="1" max="1" width="4.33203125" style="146" customWidth="1"/>
    <col min="2" max="2" width="4.88671875" style="77" customWidth="1"/>
    <col min="3" max="3" width="85.21875" style="75" customWidth="1"/>
    <col min="4" max="4" width="11.109375" customWidth="1"/>
    <col min="5" max="7" width="7.6640625" customWidth="1"/>
    <col min="8" max="15" width="5.21875" customWidth="1"/>
  </cols>
  <sheetData>
    <row r="1" spans="1:3" x14ac:dyDescent="0.2">
      <c r="A1" s="145"/>
    </row>
    <row r="3" spans="1:3" x14ac:dyDescent="0.2">
      <c r="B3" s="5" t="s">
        <v>65</v>
      </c>
    </row>
    <row r="4" spans="1:3" x14ac:dyDescent="0.2">
      <c r="B4" s="77" t="s">
        <v>114</v>
      </c>
      <c r="C4" s="75" t="s">
        <v>115</v>
      </c>
    </row>
    <row r="5" spans="1:3" x14ac:dyDescent="0.2">
      <c r="B5" s="76" t="s">
        <v>52</v>
      </c>
      <c r="C5" s="75" t="s">
        <v>47</v>
      </c>
    </row>
    <row r="6" spans="1:3" x14ac:dyDescent="0.2">
      <c r="B6" s="76"/>
      <c r="C6" s="75" t="s">
        <v>133</v>
      </c>
    </row>
    <row r="7" spans="1:3" ht="28.8" x14ac:dyDescent="0.2">
      <c r="B7" s="76"/>
      <c r="C7" s="152" t="s">
        <v>137</v>
      </c>
    </row>
    <row r="8" spans="1:3" x14ac:dyDescent="0.2">
      <c r="C8" s="75" t="s">
        <v>119</v>
      </c>
    </row>
    <row r="9" spans="1:3" x14ac:dyDescent="0.2">
      <c r="C9" s="75" t="s">
        <v>116</v>
      </c>
    </row>
    <row r="10" spans="1:3" x14ac:dyDescent="0.2">
      <c r="C10" s="75" t="s">
        <v>117</v>
      </c>
    </row>
    <row r="11" spans="1:3" ht="28.8" x14ac:dyDescent="0.2">
      <c r="C11" s="75" t="s">
        <v>134</v>
      </c>
    </row>
    <row r="12" spans="1:3" ht="28.8" x14ac:dyDescent="0.2">
      <c r="C12" s="75" t="s">
        <v>118</v>
      </c>
    </row>
    <row r="13" spans="1:3" x14ac:dyDescent="0.2">
      <c r="C13" s="151" t="s">
        <v>150</v>
      </c>
    </row>
    <row r="15" spans="1:3" x14ac:dyDescent="0.2">
      <c r="B15" s="77">
        <v>2</v>
      </c>
      <c r="C15" s="75" t="s">
        <v>59</v>
      </c>
    </row>
    <row r="16" spans="1:3" x14ac:dyDescent="0.2">
      <c r="C16" s="75" t="s">
        <v>60</v>
      </c>
    </row>
    <row r="17" spans="1:3" ht="28.8" x14ac:dyDescent="0.2">
      <c r="C17" s="75" t="s">
        <v>61</v>
      </c>
    </row>
    <row r="18" spans="1:3" x14ac:dyDescent="0.2">
      <c r="C18" s="75" t="s">
        <v>62</v>
      </c>
    </row>
    <row r="19" spans="1:3" x14ac:dyDescent="0.2">
      <c r="C19" s="75" t="s">
        <v>120</v>
      </c>
    </row>
    <row r="20" spans="1:3" x14ac:dyDescent="0.2">
      <c r="C20" s="75" t="s">
        <v>121</v>
      </c>
    </row>
    <row r="22" spans="1:3" x14ac:dyDescent="0.2">
      <c r="B22" s="77">
        <v>3</v>
      </c>
      <c r="C22" s="75" t="s">
        <v>122</v>
      </c>
    </row>
    <row r="23" spans="1:3" x14ac:dyDescent="0.2">
      <c r="C23" s="75" t="s">
        <v>123</v>
      </c>
    </row>
    <row r="24" spans="1:3" x14ac:dyDescent="0.2">
      <c r="C24" s="75" t="s">
        <v>72</v>
      </c>
    </row>
    <row r="25" spans="1:3" ht="28.8" x14ac:dyDescent="0.2">
      <c r="C25" s="75" t="s">
        <v>73</v>
      </c>
    </row>
    <row r="26" spans="1:3" x14ac:dyDescent="0.2">
      <c r="C26" s="75" t="s">
        <v>74</v>
      </c>
    </row>
    <row r="27" spans="1:3" x14ac:dyDescent="0.2">
      <c r="C27" s="75" t="s">
        <v>125</v>
      </c>
    </row>
    <row r="28" spans="1:3" x14ac:dyDescent="0.2">
      <c r="C28" s="75" t="s">
        <v>126</v>
      </c>
    </row>
    <row r="29" spans="1:3" x14ac:dyDescent="0.2">
      <c r="C29" s="75" t="s">
        <v>124</v>
      </c>
    </row>
    <row r="30" spans="1:3" ht="28.8" x14ac:dyDescent="0.2">
      <c r="C30" s="75" t="s">
        <v>127</v>
      </c>
    </row>
    <row r="31" spans="1:3" x14ac:dyDescent="0.2">
      <c r="C31" s="75" t="s">
        <v>75</v>
      </c>
    </row>
    <row r="32" spans="1:3" s="150" customFormat="1" x14ac:dyDescent="0.2">
      <c r="A32" s="147"/>
      <c r="B32" s="148"/>
      <c r="C32" s="149"/>
    </row>
    <row r="33" spans="2:3" x14ac:dyDescent="0.2">
      <c r="B33" s="77">
        <v>4</v>
      </c>
      <c r="C33" s="75" t="s">
        <v>112</v>
      </c>
    </row>
    <row r="34" spans="2:3" ht="28.8" x14ac:dyDescent="0.2">
      <c r="C34" s="75" t="s">
        <v>113</v>
      </c>
    </row>
    <row r="36" spans="2:3" ht="28.8" x14ac:dyDescent="0.2">
      <c r="B36" s="77">
        <v>5</v>
      </c>
      <c r="C36" s="75" t="s">
        <v>110</v>
      </c>
    </row>
    <row r="37" spans="2:3" x14ac:dyDescent="0.2">
      <c r="C37" s="75" t="s">
        <v>109</v>
      </c>
    </row>
    <row r="39" spans="2:3" x14ac:dyDescent="0.2">
      <c r="B39" s="77">
        <v>6</v>
      </c>
      <c r="C39" s="75" t="s">
        <v>83</v>
      </c>
    </row>
    <row r="40" spans="2:3" x14ac:dyDescent="0.2">
      <c r="C40" s="75" t="s">
        <v>128</v>
      </c>
    </row>
    <row r="42" spans="2:3" x14ac:dyDescent="0.2">
      <c r="B42" s="77">
        <v>7</v>
      </c>
      <c r="C42" s="75" t="s">
        <v>107</v>
      </c>
    </row>
    <row r="44" spans="2:3" x14ac:dyDescent="0.2">
      <c r="B44" s="77">
        <v>8</v>
      </c>
      <c r="C44" s="75" t="s">
        <v>108</v>
      </c>
    </row>
    <row r="45" spans="2:3" x14ac:dyDescent="0.2">
      <c r="C45" s="75" t="str">
        <f>DBFolder</f>
        <v>\\163.59.144.156\ExRicSys\ガンマ勤務計画DB.accdb</v>
      </c>
    </row>
    <row r="47" spans="2:3" x14ac:dyDescent="0.2">
      <c r="B47" s="77">
        <v>9</v>
      </c>
      <c r="C47" s="75" t="s">
        <v>76</v>
      </c>
    </row>
    <row r="48" spans="2:3" x14ac:dyDescent="0.2">
      <c r="C48" s="75" t="s">
        <v>131</v>
      </c>
    </row>
    <row r="49" spans="2:3" x14ac:dyDescent="0.2">
      <c r="C49" s="75" t="s">
        <v>77</v>
      </c>
    </row>
    <row r="50" spans="2:3" x14ac:dyDescent="0.2">
      <c r="C50" s="75" t="s">
        <v>63</v>
      </c>
    </row>
    <row r="52" spans="2:3" x14ac:dyDescent="0.2">
      <c r="B52" s="77">
        <v>10</v>
      </c>
      <c r="C52" s="75" t="s">
        <v>130</v>
      </c>
    </row>
    <row r="53" spans="2:3" x14ac:dyDescent="0.2">
      <c r="C53" s="75" t="s">
        <v>129</v>
      </c>
    </row>
    <row r="55" spans="2:3" x14ac:dyDescent="0.2">
      <c r="B55" s="77">
        <v>11</v>
      </c>
      <c r="C55" s="75" t="s">
        <v>139</v>
      </c>
    </row>
    <row r="56" spans="2:3" ht="28.8" x14ac:dyDescent="0.2">
      <c r="C56" s="75" t="s">
        <v>140</v>
      </c>
    </row>
  </sheetData>
  <sheetProtection algorithmName="SHA-512" hashValue="YBkG/TzyTEmIuzbVSVTfOCEqui8Z/s+/PwNbpCOSyFkbMzZMeAeGH4hP+yPxRnvldkdoFkjEOwEHYxpDlW7pTw==" saltValue="5XWRQhOOZUjHEJk92k2ZSw==" spinCount="100000" sheet="1" objects="1" scenarios="1" selectLockedCells="1"/>
  <phoneticPr fontId="2"/>
  <conditionalFormatting sqref="A1">
    <cfRule type="expression" dxfId="31" priority="1">
      <formula>$A$1&lt;&gt;""</formula>
    </cfRule>
  </conditionalFormatting>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41</vt:i4>
      </vt:variant>
    </vt:vector>
  </HeadingPairs>
  <TitlesOfParts>
    <vt:vector size="48" baseType="lpstr">
      <vt:lpstr>勤務計画</vt:lpstr>
      <vt:lpstr>トイレ掃除</vt:lpstr>
      <vt:lpstr>再入室表</vt:lpstr>
      <vt:lpstr>社員データ</vt:lpstr>
      <vt:lpstr>トイレチェック表</vt:lpstr>
      <vt:lpstr>勤務計画印刷用</vt:lpstr>
      <vt:lpstr>使用方法</vt:lpstr>
      <vt:lpstr>DBFolder</vt:lpstr>
      <vt:lpstr>DBForder</vt:lpstr>
      <vt:lpstr>DebugF</vt:lpstr>
      <vt:lpstr>E_day</vt:lpstr>
      <vt:lpstr>HenUMU</vt:lpstr>
      <vt:lpstr>Hyouji</vt:lpstr>
      <vt:lpstr>Infometion</vt:lpstr>
      <vt:lpstr>Jyunnjyo</vt:lpstr>
      <vt:lpstr>K_Simei</vt:lpstr>
      <vt:lpstr>K_Yasumi</vt:lpstr>
      <vt:lpstr>Kairann</vt:lpstr>
      <vt:lpstr>KibouTate</vt:lpstr>
      <vt:lpstr>KikanE</vt:lpstr>
      <vt:lpstr>KikanS</vt:lpstr>
      <vt:lpstr>KinmuHyou</vt:lpstr>
      <vt:lpstr>KinmuMoto</vt:lpstr>
      <vt:lpstr>KinmuTB</vt:lpstr>
      <vt:lpstr>KinmuTime</vt:lpstr>
      <vt:lpstr>Kinnmu1</vt:lpstr>
      <vt:lpstr>MsgCell</vt:lpstr>
      <vt:lpstr>PasWard</vt:lpstr>
      <vt:lpstr>トイレチェック表!Print_Area</vt:lpstr>
      <vt:lpstr>トイレ掃除!Print_Area</vt:lpstr>
      <vt:lpstr>勤務計画!Print_Area</vt:lpstr>
      <vt:lpstr>勤務計画印刷用!Print_Area</vt:lpstr>
      <vt:lpstr>再入室表!Print_Area</vt:lpstr>
      <vt:lpstr>使用方法!Print_Area</vt:lpstr>
      <vt:lpstr>S_Day</vt:lpstr>
      <vt:lpstr>Siki1</vt:lpstr>
      <vt:lpstr>Siki2</vt:lpstr>
      <vt:lpstr>Simei</vt:lpstr>
      <vt:lpstr>ST_Day</vt:lpstr>
      <vt:lpstr>SyainSika</vt:lpstr>
      <vt:lpstr>SyainTB1</vt:lpstr>
      <vt:lpstr>SyainTB2</vt:lpstr>
      <vt:lpstr>SyaName</vt:lpstr>
      <vt:lpstr>T_Simei</vt:lpstr>
      <vt:lpstr>TB_Kinmu</vt:lpstr>
      <vt:lpstr>Toire_TB</vt:lpstr>
      <vt:lpstr>Toire1</vt:lpstr>
      <vt:lpstr>ToireMoto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RIC-232</dc:creator>
  <cp:lastModifiedBy>RIC-200</cp:lastModifiedBy>
  <cp:lastPrinted>2020-01-30T05:57:17Z</cp:lastPrinted>
  <dcterms:created xsi:type="dcterms:W3CDTF">2007-01-13T04:11:27Z</dcterms:created>
  <dcterms:modified xsi:type="dcterms:W3CDTF">2024-06-21T10:02:32Z</dcterms:modified>
</cp:coreProperties>
</file>