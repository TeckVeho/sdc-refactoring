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9.144.156\ExRicSys\"/>
    </mc:Choice>
  </mc:AlternateContent>
  <xr:revisionPtr revIDLastSave="0" documentId="13_ncr:1_{DC608B42-377D-4EA7-901E-7906BF025B7E}" xr6:coauthVersionLast="47" xr6:coauthVersionMax="47" xr10:uidLastSave="{00000000-0000-0000-0000-000000000000}"/>
  <bookViews>
    <workbookView xWindow="-120" yWindow="-120" windowWidth="19440" windowHeight="15000" tabRatio="817" xr2:uid="{00000000-000D-0000-FFFF-FFFF00000000}"/>
  </bookViews>
  <sheets>
    <sheet name="標準" sheetId="19" r:id="rId1"/>
    <sheet name="日機装" sheetId="11" r:id="rId2"/>
    <sheet name="オリエンタル" sheetId="18" r:id="rId3"/>
    <sheet name="ITパック" sheetId="21" r:id="rId4"/>
    <sheet name="抽出" sheetId="17" r:id="rId5"/>
  </sheets>
  <definedNames>
    <definedName name="FilNameH">標準!$E$12</definedName>
    <definedName name="FilNameN">日機装!$G$2</definedName>
    <definedName name="FilNameO">オリエンタル!$G$2</definedName>
    <definedName name="FNameH">標準!$E$3</definedName>
    <definedName name="FNameN">日機装!$H$1</definedName>
    <definedName name="FNameO">オリエンタル!$G$1</definedName>
    <definedName name="Fukumu">標準!$C$19</definedName>
    <definedName name="Hakkoubi">標準!$L$13</definedName>
    <definedName name="HDay">標準!$P$1</definedName>
    <definedName name="Hizuke">日機装!$R$3</definedName>
    <definedName name="HizukeO">オリエンタル!$C$9</definedName>
    <definedName name="HSyuF">標準!$H$1</definedName>
    <definedName name="ITDate">ITパック!$C$9</definedName>
    <definedName name="ITend">オリエンタル!$T$2</definedName>
    <definedName name="ITPack">オリエンタル!$T$1</definedName>
    <definedName name="KaiName">抽出!$I$2</definedName>
    <definedName name="KaisyaCD">日機装!$E$1</definedName>
    <definedName name="KaisyaCD747">オリエンタル!$D$1</definedName>
    <definedName name="KaisyaCDO">オリエンタル!$D$2</definedName>
    <definedName name="KaisyaName">標準!$C$16</definedName>
    <definedName name="KaisyaNo">標準!$E$1</definedName>
    <definedName name="Kpumoku">オリエンタル!$C$11:$J$11</definedName>
    <definedName name="MaxH">標準!$Q$1</definedName>
    <definedName name="NDay">日機装!$D$5</definedName>
    <definedName name="NenGappi">標準!$C$18</definedName>
    <definedName name="Nikki">日機装!$B$8:$H$199</definedName>
    <definedName name="Orient">オリエンタル!$B$12:$K$204</definedName>
    <definedName name="OrientIT">ITパック!$C$12:$J$204</definedName>
    <definedName name="_xlnm.Print_Area" localSheetId="3">ITパック!$C$4:$J$33</definedName>
    <definedName name="_xlnm.Print_Area" localSheetId="2">オリエンタル!$C$4:$J$46</definedName>
    <definedName name="_xlnm.Print_Area" localSheetId="4">抽出!$C$13:$L$82</definedName>
    <definedName name="_xlnm.Print_Area" localSheetId="1">日機装!$B$3:$H$36</definedName>
    <definedName name="_xlnm.Print_Area" localSheetId="0">標準!$C$13:$L$40</definedName>
    <definedName name="_xlnm.Print_Titles" localSheetId="3">ITパック!$11:$11</definedName>
    <definedName name="_xlnm.Print_Titles" localSheetId="2">オリエンタル!$11:$11</definedName>
    <definedName name="_xlnm.Print_Titles" localSheetId="1">日機装!$7:$7</definedName>
    <definedName name="_xlnm.Print_Titles" localSheetId="0">標準!$20:$20</definedName>
    <definedName name="RirwkiDataSuu">抽出!$X$3</definedName>
    <definedName name="SeihinnTB">抽出!$B$6:$C$1002</definedName>
    <definedName name="SyukkaF">日機装!$E$2</definedName>
    <definedName name="SyukkaFO">オリエンタル!$E$2</definedName>
    <definedName name="SyukkaR">抽出!$AL$6:$AM$100000</definedName>
    <definedName name="SyukkaZ">抽出!$AI$6:$AJ$1005</definedName>
    <definedName name="SyuuDay">オリエンタル!$W$1</definedName>
    <definedName name="Tnyu">標準!$H$2</definedName>
    <definedName name="UnoMax">抽出!$AC$3</definedName>
    <definedName name="UnoMin">抽出!$AC$2</definedName>
    <definedName name="ZaiDatasuu">抽出!$I$3</definedName>
    <definedName name="Zaiko">抽出!$E$6:$N$205</definedName>
    <definedName name="ZaikoHyou">標準!$C$21:$L$200</definedName>
    <definedName name="ZaikoR">抽出!$T$6:$AC$205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9" i="17" l="1"/>
  <c r="AG9" i="17" s="1"/>
  <c r="AD9" i="17" s="1"/>
  <c r="X3" i="17"/>
  <c r="I3" i="17"/>
  <c r="AF6" i="17"/>
  <c r="AG6" i="17" s="1"/>
  <c r="AD6" i="17" s="1"/>
  <c r="O205" i="17"/>
  <c r="O204" i="17"/>
  <c r="O203" i="17"/>
  <c r="O202" i="17"/>
  <c r="O201" i="17"/>
  <c r="O200" i="17"/>
  <c r="O199" i="17"/>
  <c r="O198" i="17"/>
  <c r="O197" i="17"/>
  <c r="O196" i="17"/>
  <c r="O195" i="17"/>
  <c r="O194" i="17"/>
  <c r="O193" i="17"/>
  <c r="O192" i="17"/>
  <c r="O191" i="17"/>
  <c r="O190" i="17"/>
  <c r="O189" i="17"/>
  <c r="O188" i="17"/>
  <c r="O187" i="17"/>
  <c r="O186" i="17"/>
  <c r="O185" i="17"/>
  <c r="O184" i="17"/>
  <c r="O183" i="17"/>
  <c r="O182" i="17"/>
  <c r="O181" i="17"/>
  <c r="O180" i="17"/>
  <c r="O179" i="17"/>
  <c r="O178" i="17"/>
  <c r="O177" i="17"/>
  <c r="O176" i="17"/>
  <c r="O175" i="17"/>
  <c r="O174" i="17"/>
  <c r="O173" i="17"/>
  <c r="O172" i="17"/>
  <c r="O171" i="17"/>
  <c r="O170" i="17"/>
  <c r="O169" i="17"/>
  <c r="O168" i="17"/>
  <c r="O167" i="17"/>
  <c r="O166" i="17"/>
  <c r="O165" i="17"/>
  <c r="O164" i="17"/>
  <c r="O163" i="17"/>
  <c r="O162" i="17"/>
  <c r="O161" i="17"/>
  <c r="O160" i="17"/>
  <c r="O159" i="17"/>
  <c r="O158" i="17"/>
  <c r="O157" i="17"/>
  <c r="O156" i="17"/>
  <c r="O155" i="17"/>
  <c r="O154" i="17"/>
  <c r="O153" i="17"/>
  <c r="O152" i="17"/>
  <c r="O151" i="17"/>
  <c r="O150" i="17"/>
  <c r="O149" i="17"/>
  <c r="O148" i="17"/>
  <c r="O147" i="17"/>
  <c r="O146" i="17"/>
  <c r="O145" i="17"/>
  <c r="O144" i="17"/>
  <c r="O143" i="17"/>
  <c r="O142" i="17"/>
  <c r="O141" i="17"/>
  <c r="O140" i="17"/>
  <c r="O139" i="17"/>
  <c r="O138" i="17"/>
  <c r="O137" i="17"/>
  <c r="O136" i="17"/>
  <c r="O135" i="17"/>
  <c r="O134" i="17"/>
  <c r="O133" i="17"/>
  <c r="O132" i="17"/>
  <c r="O131" i="17"/>
  <c r="O130" i="17"/>
  <c r="O129" i="17"/>
  <c r="O128" i="17"/>
  <c r="O127" i="17"/>
  <c r="O126" i="17"/>
  <c r="O125" i="17"/>
  <c r="O124" i="17"/>
  <c r="O123" i="17"/>
  <c r="O122" i="17"/>
  <c r="O121" i="17"/>
  <c r="O120" i="17"/>
  <c r="O119" i="17"/>
  <c r="O118" i="17"/>
  <c r="O117" i="17"/>
  <c r="O116" i="17"/>
  <c r="O115" i="17"/>
  <c r="O114" i="17"/>
  <c r="O113" i="17"/>
  <c r="O112" i="17"/>
  <c r="O111" i="17"/>
  <c r="O110" i="17"/>
  <c r="O109" i="17"/>
  <c r="O108" i="17"/>
  <c r="O107" i="17"/>
  <c r="O106" i="17"/>
  <c r="O105" i="17"/>
  <c r="O104" i="17"/>
  <c r="O103" i="17"/>
  <c r="O102" i="17"/>
  <c r="O101" i="17"/>
  <c r="O100" i="17"/>
  <c r="O99" i="17"/>
  <c r="O98" i="17"/>
  <c r="O97" i="17"/>
  <c r="O96" i="17"/>
  <c r="O95" i="17"/>
  <c r="O94" i="17"/>
  <c r="O93" i="17"/>
  <c r="O92" i="17"/>
  <c r="O91" i="17"/>
  <c r="O90" i="17"/>
  <c r="O89" i="17"/>
  <c r="O88" i="17"/>
  <c r="O87" i="17"/>
  <c r="O86" i="17"/>
  <c r="O85" i="17"/>
  <c r="O84" i="17"/>
  <c r="O83" i="17"/>
  <c r="Q52" i="17"/>
  <c r="R52" i="17" s="1"/>
  <c r="O52" i="17"/>
  <c r="Q51" i="17"/>
  <c r="R51" i="17" s="1"/>
  <c r="O51" i="17"/>
  <c r="Q50" i="17"/>
  <c r="R50" i="17" s="1"/>
  <c r="O50" i="17"/>
  <c r="Q49" i="17"/>
  <c r="R49" i="17" s="1"/>
  <c r="O49" i="17"/>
  <c r="Q48" i="17"/>
  <c r="R48" i="17" s="1"/>
  <c r="O48" i="17"/>
  <c r="Q47" i="17"/>
  <c r="R47" i="17" s="1"/>
  <c r="O47" i="17"/>
  <c r="Q46" i="17"/>
  <c r="R46" i="17" s="1"/>
  <c r="O46" i="17"/>
  <c r="Q45" i="17"/>
  <c r="R45" i="17" s="1"/>
  <c r="O45" i="17"/>
  <c r="Q44" i="17"/>
  <c r="R44" i="17" s="1"/>
  <c r="O44" i="17"/>
  <c r="Q43" i="17"/>
  <c r="R43" i="17" s="1"/>
  <c r="O43" i="17"/>
  <c r="Q42" i="17"/>
  <c r="R42" i="17" s="1"/>
  <c r="O42" i="17"/>
  <c r="Q41" i="17"/>
  <c r="R41" i="17" s="1"/>
  <c r="O41" i="17"/>
  <c r="Q40" i="17"/>
  <c r="R40" i="17" s="1"/>
  <c r="O40" i="17"/>
  <c r="Q39" i="17"/>
  <c r="R39" i="17" s="1"/>
  <c r="O39" i="17" s="1"/>
  <c r="Q38" i="17"/>
  <c r="R38" i="17" s="1"/>
  <c r="O38" i="17"/>
  <c r="Q37" i="17"/>
  <c r="R37" i="17" s="1"/>
  <c r="O37" i="17" s="1"/>
  <c r="Q36" i="17"/>
  <c r="R36" i="17" s="1"/>
  <c r="O36" i="17" s="1"/>
  <c r="Q35" i="17"/>
  <c r="R35" i="17" s="1"/>
  <c r="O35" i="17" s="1"/>
  <c r="Q34" i="17"/>
  <c r="R34" i="17" s="1"/>
  <c r="O34" i="17" s="1"/>
  <c r="Q33" i="17"/>
  <c r="R33" i="17" s="1"/>
  <c r="O33" i="17" s="1"/>
  <c r="Q32" i="17"/>
  <c r="R32" i="17" s="1"/>
  <c r="O32" i="17" s="1"/>
  <c r="Q31" i="17"/>
  <c r="R31" i="17" s="1"/>
  <c r="O31" i="17" s="1"/>
  <c r="Q30" i="17"/>
  <c r="R30" i="17" s="1"/>
  <c r="O30" i="17" s="1"/>
  <c r="Q29" i="17"/>
  <c r="R29" i="17" s="1"/>
  <c r="O29" i="17" s="1"/>
  <c r="Q28" i="17"/>
  <c r="R28" i="17" s="1"/>
  <c r="O28" i="17" s="1"/>
  <c r="Q27" i="17"/>
  <c r="R27" i="17" s="1"/>
  <c r="O27" i="17" s="1"/>
  <c r="Q26" i="17"/>
  <c r="R26" i="17" s="1"/>
  <c r="O26" i="17" s="1"/>
  <c r="Q25" i="17"/>
  <c r="R25" i="17" s="1"/>
  <c r="O25" i="17" s="1"/>
  <c r="Q24" i="17"/>
  <c r="R24" i="17" s="1"/>
  <c r="O24" i="17" s="1"/>
  <c r="Q23" i="17"/>
  <c r="R23" i="17" s="1"/>
  <c r="O23" i="17" s="1"/>
  <c r="Q22" i="17"/>
  <c r="R22" i="17" s="1"/>
  <c r="O22" i="17" s="1"/>
  <c r="Q21" i="17"/>
  <c r="R21" i="17" s="1"/>
  <c r="O21" i="17" s="1"/>
  <c r="Q20" i="17"/>
  <c r="R20" i="17" s="1"/>
  <c r="O20" i="17" s="1"/>
  <c r="Q19" i="17"/>
  <c r="R19" i="17" s="1"/>
  <c r="O19" i="17" s="1"/>
  <c r="Q18" i="17"/>
  <c r="R18" i="17" s="1"/>
  <c r="O18" i="17" s="1"/>
  <c r="Q17" i="17"/>
  <c r="R17" i="17" s="1"/>
  <c r="O17" i="17" s="1"/>
  <c r="Q16" i="17"/>
  <c r="R16" i="17" s="1"/>
  <c r="O16" i="17" s="1"/>
  <c r="Q15" i="17"/>
  <c r="R15" i="17" s="1"/>
  <c r="O15" i="17" s="1"/>
  <c r="Q14" i="17"/>
  <c r="R14" i="17" s="1"/>
  <c r="O14" i="17" s="1"/>
  <c r="Q13" i="17"/>
  <c r="R13" i="17" s="1"/>
  <c r="O13" i="17" s="1"/>
  <c r="Q12" i="17"/>
  <c r="R12" i="17" s="1"/>
  <c r="O12" i="17" s="1"/>
  <c r="Q11" i="17"/>
  <c r="R11" i="17" s="1"/>
  <c r="O11" i="17" s="1"/>
  <c r="Q10" i="17"/>
  <c r="R10" i="17" s="1"/>
  <c r="O10" i="17" s="1"/>
  <c r="Q9" i="17"/>
  <c r="R9" i="17" s="1"/>
  <c r="O9" i="17" s="1"/>
  <c r="Q8" i="17"/>
  <c r="R8" i="17" s="1"/>
  <c r="O8" i="17" s="1"/>
  <c r="Q7" i="17"/>
  <c r="R7" i="17" s="1"/>
  <c r="O7" i="17" s="1"/>
  <c r="Q6" i="17"/>
  <c r="R6" i="17" s="1"/>
  <c r="O6" i="17" s="1"/>
  <c r="AF7" i="17"/>
  <c r="AG7" i="17" s="1"/>
  <c r="AD7" i="17" s="1"/>
  <c r="F2" i="17"/>
  <c r="U2" i="17"/>
  <c r="F3" i="17"/>
  <c r="U3" i="17"/>
  <c r="Q1" i="19"/>
  <c r="P1" i="19"/>
  <c r="W1" i="18"/>
  <c r="R3" i="11"/>
  <c r="Q205" i="17"/>
  <c r="R205" i="17" s="1"/>
  <c r="Q204" i="17"/>
  <c r="R204" i="17" s="1"/>
  <c r="Q203" i="17"/>
  <c r="R203" i="17" s="1"/>
  <c r="Q202" i="17"/>
  <c r="R202" i="17" s="1"/>
  <c r="Q201" i="17"/>
  <c r="R201" i="17" s="1"/>
  <c r="Q200" i="17"/>
  <c r="R200" i="17" s="1"/>
  <c r="Q199" i="17"/>
  <c r="R199" i="17" s="1"/>
  <c r="Q198" i="17"/>
  <c r="R198" i="17" s="1"/>
  <c r="Q197" i="17"/>
  <c r="R197" i="17" s="1"/>
  <c r="Q196" i="17"/>
  <c r="R196" i="17" s="1"/>
  <c r="Q195" i="17"/>
  <c r="R195" i="17" s="1"/>
  <c r="Q194" i="17"/>
  <c r="R194" i="17" s="1"/>
  <c r="Q193" i="17"/>
  <c r="R193" i="17" s="1"/>
  <c r="Q192" i="17"/>
  <c r="R192" i="17" s="1"/>
  <c r="Q191" i="17"/>
  <c r="R191" i="17" s="1"/>
  <c r="Q190" i="17"/>
  <c r="R190" i="17" s="1"/>
  <c r="Q189" i="17"/>
  <c r="R189" i="17" s="1"/>
  <c r="Q188" i="17"/>
  <c r="R188" i="17" s="1"/>
  <c r="Q187" i="17"/>
  <c r="R187" i="17" s="1"/>
  <c r="Q186" i="17"/>
  <c r="R186" i="17" s="1"/>
  <c r="Q185" i="17"/>
  <c r="R185" i="17" s="1"/>
  <c r="Q184" i="17"/>
  <c r="R184" i="17" s="1"/>
  <c r="Q183" i="17"/>
  <c r="R183" i="17" s="1"/>
  <c r="Q182" i="17"/>
  <c r="R182" i="17" s="1"/>
  <c r="Q181" i="17"/>
  <c r="R181" i="17" s="1"/>
  <c r="Q180" i="17"/>
  <c r="R180" i="17" s="1"/>
  <c r="Q179" i="17"/>
  <c r="R179" i="17" s="1"/>
  <c r="Q178" i="17"/>
  <c r="R178" i="17" s="1"/>
  <c r="Q177" i="17"/>
  <c r="R177" i="17" s="1"/>
  <c r="Q176" i="17"/>
  <c r="R176" i="17" s="1"/>
  <c r="Q175" i="17"/>
  <c r="R175" i="17" s="1"/>
  <c r="Q174" i="17"/>
  <c r="R174" i="17" s="1"/>
  <c r="Q173" i="17"/>
  <c r="R173" i="17" s="1"/>
  <c r="Q172" i="17"/>
  <c r="R172" i="17" s="1"/>
  <c r="Q171" i="17"/>
  <c r="R171" i="17" s="1"/>
  <c r="Q170" i="17"/>
  <c r="R170" i="17" s="1"/>
  <c r="Q169" i="17"/>
  <c r="R169" i="17" s="1"/>
  <c r="Q168" i="17"/>
  <c r="R168" i="17" s="1"/>
  <c r="Q167" i="17"/>
  <c r="R167" i="17" s="1"/>
  <c r="Q166" i="17"/>
  <c r="R166" i="17" s="1"/>
  <c r="Q165" i="17"/>
  <c r="R165" i="17" s="1"/>
  <c r="Q164" i="17"/>
  <c r="R164" i="17" s="1"/>
  <c r="Q163" i="17"/>
  <c r="R163" i="17" s="1"/>
  <c r="Q162" i="17"/>
  <c r="R162" i="17" s="1"/>
  <c r="Q161" i="17"/>
  <c r="R161" i="17" s="1"/>
  <c r="Q160" i="17"/>
  <c r="R160" i="17" s="1"/>
  <c r="Q159" i="17"/>
  <c r="R159" i="17" s="1"/>
  <c r="Q158" i="17"/>
  <c r="R158" i="17" s="1"/>
  <c r="Q157" i="17"/>
  <c r="R157" i="17" s="1"/>
  <c r="Q156" i="17"/>
  <c r="R156" i="17" s="1"/>
  <c r="Q155" i="17"/>
  <c r="R155" i="17" s="1"/>
  <c r="Q154" i="17"/>
  <c r="R154" i="17" s="1"/>
  <c r="Q153" i="17"/>
  <c r="R153" i="17" s="1"/>
  <c r="Q152" i="17"/>
  <c r="R152" i="17" s="1"/>
  <c r="Q151" i="17"/>
  <c r="R151" i="17" s="1"/>
  <c r="Q150" i="17"/>
  <c r="R150" i="17" s="1"/>
  <c r="Q149" i="17"/>
  <c r="R149" i="17" s="1"/>
  <c r="Q148" i="17"/>
  <c r="R148" i="17" s="1"/>
  <c r="Q147" i="17"/>
  <c r="R147" i="17" s="1"/>
  <c r="Q146" i="17"/>
  <c r="R146" i="17" s="1"/>
  <c r="Q145" i="17"/>
  <c r="R145" i="17" s="1"/>
  <c r="Q144" i="17"/>
  <c r="R144" i="17" s="1"/>
  <c r="Q143" i="17"/>
  <c r="R143" i="17" s="1"/>
  <c r="Q142" i="17"/>
  <c r="R142" i="17" s="1"/>
  <c r="Q141" i="17"/>
  <c r="R141" i="17" s="1"/>
  <c r="Q140" i="17"/>
  <c r="R140" i="17" s="1"/>
  <c r="Q139" i="17"/>
  <c r="R139" i="17" s="1"/>
  <c r="Q138" i="17"/>
  <c r="R138" i="17" s="1"/>
  <c r="Q137" i="17"/>
  <c r="R137" i="17" s="1"/>
  <c r="Q136" i="17"/>
  <c r="R136" i="17" s="1"/>
  <c r="Q135" i="17"/>
  <c r="R135" i="17" s="1"/>
  <c r="Q134" i="17"/>
  <c r="R134" i="17" s="1"/>
  <c r="Q133" i="17"/>
  <c r="R133" i="17" s="1"/>
  <c r="Q132" i="17"/>
  <c r="R132" i="17" s="1"/>
  <c r="Q131" i="17"/>
  <c r="R131" i="17" s="1"/>
  <c r="Q130" i="17"/>
  <c r="R130" i="17" s="1"/>
  <c r="Q129" i="17"/>
  <c r="R129" i="17" s="1"/>
  <c r="Q128" i="17"/>
  <c r="R128" i="17" s="1"/>
  <c r="Q127" i="17"/>
  <c r="R127" i="17" s="1"/>
  <c r="Q126" i="17"/>
  <c r="R126" i="17" s="1"/>
  <c r="Q125" i="17"/>
  <c r="R125" i="17" s="1"/>
  <c r="Q124" i="17"/>
  <c r="R124" i="17" s="1"/>
  <c r="Q123" i="17"/>
  <c r="R123" i="17" s="1"/>
  <c r="Q122" i="17"/>
  <c r="R122" i="17" s="1"/>
  <c r="Q121" i="17"/>
  <c r="R121" i="17" s="1"/>
  <c r="Q120" i="17"/>
  <c r="R120" i="17" s="1"/>
  <c r="Q119" i="17"/>
  <c r="R119" i="17" s="1"/>
  <c r="Q118" i="17"/>
  <c r="R118" i="17" s="1"/>
  <c r="Q117" i="17"/>
  <c r="R117" i="17" s="1"/>
  <c r="Q116" i="17"/>
  <c r="R116" i="17" s="1"/>
  <c r="Q115" i="17"/>
  <c r="R115" i="17" s="1"/>
  <c r="Q114" i="17"/>
  <c r="R114" i="17" s="1"/>
  <c r="Q113" i="17"/>
  <c r="R113" i="17" s="1"/>
  <c r="Q112" i="17"/>
  <c r="R112" i="17" s="1"/>
  <c r="Q111" i="17"/>
  <c r="R111" i="17" s="1"/>
  <c r="Q110" i="17"/>
  <c r="R110" i="17" s="1"/>
  <c r="Q109" i="17"/>
  <c r="R109" i="17" s="1"/>
  <c r="Q108" i="17"/>
  <c r="R108" i="17" s="1"/>
  <c r="Q107" i="17"/>
  <c r="R107" i="17" s="1"/>
  <c r="Q106" i="17"/>
  <c r="R106" i="17" s="1"/>
  <c r="Q105" i="17"/>
  <c r="R105" i="17" s="1"/>
  <c r="Q104" i="17"/>
  <c r="R104" i="17" s="1"/>
  <c r="Q103" i="17"/>
  <c r="R103" i="17" s="1"/>
  <c r="Q102" i="17"/>
  <c r="R102" i="17" s="1"/>
  <c r="Q101" i="17"/>
  <c r="R101" i="17" s="1"/>
  <c r="Q100" i="17"/>
  <c r="R100" i="17" s="1"/>
  <c r="Q99" i="17"/>
  <c r="R99" i="17" s="1"/>
  <c r="Q98" i="17"/>
  <c r="R98" i="17" s="1"/>
  <c r="Q97" i="17"/>
  <c r="R97" i="17" s="1"/>
  <c r="Q96" i="17"/>
  <c r="R96" i="17" s="1"/>
  <c r="Q95" i="17"/>
  <c r="R95" i="17" s="1"/>
  <c r="Q94" i="17"/>
  <c r="R94" i="17" s="1"/>
  <c r="Q93" i="17"/>
  <c r="R93" i="17" s="1"/>
  <c r="Q92" i="17"/>
  <c r="R92" i="17" s="1"/>
  <c r="Q91" i="17"/>
  <c r="R91" i="17" s="1"/>
  <c r="Q90" i="17"/>
  <c r="R90" i="17" s="1"/>
  <c r="Q89" i="17"/>
  <c r="R89" i="17" s="1"/>
  <c r="Q88" i="17"/>
  <c r="R88" i="17" s="1"/>
  <c r="Q87" i="17"/>
  <c r="R87" i="17" s="1"/>
  <c r="Q86" i="17"/>
  <c r="R86" i="17" s="1"/>
  <c r="Q85" i="17"/>
  <c r="R85" i="17" s="1"/>
  <c r="Q84" i="17"/>
  <c r="R84" i="17" s="1"/>
  <c r="Q83" i="17"/>
  <c r="R83" i="17" s="1"/>
  <c r="Q82" i="17"/>
  <c r="R82" i="17" s="1"/>
  <c r="O82" i="17"/>
  <c r="Q81" i="17"/>
  <c r="R81" i="17" s="1"/>
  <c r="O81" i="17"/>
  <c r="Q80" i="17"/>
  <c r="R80" i="17" s="1"/>
  <c r="O80" i="17"/>
  <c r="Q79" i="17"/>
  <c r="R79" i="17" s="1"/>
  <c r="O79" i="17"/>
  <c r="Q78" i="17"/>
  <c r="R78" i="17" s="1"/>
  <c r="O78" i="17"/>
  <c r="Q77" i="17"/>
  <c r="R77" i="17" s="1"/>
  <c r="O77" i="17"/>
  <c r="Q76" i="17"/>
  <c r="R76" i="17" s="1"/>
  <c r="O76" i="17"/>
  <c r="Q75" i="17"/>
  <c r="R75" i="17" s="1"/>
  <c r="O75" i="17"/>
  <c r="Q74" i="17"/>
  <c r="R74" i="17" s="1"/>
  <c r="O74" i="17"/>
  <c r="Q73" i="17"/>
  <c r="R73" i="17" s="1"/>
  <c r="O73" i="17"/>
  <c r="Q72" i="17"/>
  <c r="R72" i="17" s="1"/>
  <c r="O72" i="17"/>
  <c r="Q71" i="17"/>
  <c r="R71" i="17" s="1"/>
  <c r="O71" i="17"/>
  <c r="Q70" i="17"/>
  <c r="R70" i="17" s="1"/>
  <c r="O70" i="17"/>
  <c r="Q69" i="17"/>
  <c r="R69" i="17" s="1"/>
  <c r="O69" i="17"/>
  <c r="Q68" i="17"/>
  <c r="R68" i="17" s="1"/>
  <c r="O68" i="17"/>
  <c r="Q67" i="17"/>
  <c r="R67" i="17" s="1"/>
  <c r="O67" i="17"/>
  <c r="Q66" i="17"/>
  <c r="R66" i="17" s="1"/>
  <c r="O66" i="17"/>
  <c r="Q65" i="17"/>
  <c r="R65" i="17" s="1"/>
  <c r="O65" i="17"/>
  <c r="Q64" i="17"/>
  <c r="R64" i="17" s="1"/>
  <c r="O64" i="17"/>
  <c r="Q63" i="17"/>
  <c r="R63" i="17" s="1"/>
  <c r="O63" i="17"/>
  <c r="Q62" i="17"/>
  <c r="R62" i="17" s="1"/>
  <c r="O62" i="17"/>
  <c r="Q61" i="17"/>
  <c r="R61" i="17" s="1"/>
  <c r="O61" i="17"/>
  <c r="Q60" i="17"/>
  <c r="R60" i="17" s="1"/>
  <c r="O60" i="17"/>
  <c r="Q59" i="17"/>
  <c r="R59" i="17" s="1"/>
  <c r="O59" i="17"/>
  <c r="Q58" i="17"/>
  <c r="R58" i="17" s="1"/>
  <c r="O58" i="17"/>
  <c r="Q57" i="17"/>
  <c r="R57" i="17" s="1"/>
  <c r="O57" i="17"/>
  <c r="Q56" i="17"/>
  <c r="R56" i="17" s="1"/>
  <c r="O56" i="17"/>
  <c r="Q55" i="17"/>
  <c r="R55" i="17" s="1"/>
  <c r="O55" i="17"/>
  <c r="Q54" i="17"/>
  <c r="R54" i="17" s="1"/>
  <c r="O54" i="17"/>
  <c r="Q53" i="17"/>
  <c r="R53" i="17" s="1"/>
  <c r="O53" i="17"/>
  <c r="P205" i="17"/>
  <c r="P204" i="17"/>
  <c r="P203" i="17"/>
  <c r="P202" i="17"/>
  <c r="P201" i="17"/>
  <c r="P200" i="17"/>
  <c r="P199" i="17"/>
  <c r="P198" i="17"/>
  <c r="P197" i="17"/>
  <c r="P196" i="17"/>
  <c r="P195" i="17"/>
  <c r="P194" i="17"/>
  <c r="P193" i="17"/>
  <c r="P192" i="17"/>
  <c r="P191" i="17"/>
  <c r="P190" i="17"/>
  <c r="P189" i="17"/>
  <c r="P188" i="17"/>
  <c r="P187" i="17"/>
  <c r="P186" i="17"/>
  <c r="P185" i="17"/>
  <c r="P184" i="17"/>
  <c r="P183" i="17"/>
  <c r="P182" i="17"/>
  <c r="P181" i="17"/>
  <c r="P180" i="17"/>
  <c r="P179" i="17"/>
  <c r="P178" i="17"/>
  <c r="P177" i="17"/>
  <c r="P176" i="17"/>
  <c r="P175" i="17"/>
  <c r="P174" i="17"/>
  <c r="P173" i="17"/>
  <c r="P172" i="17"/>
  <c r="P171" i="17"/>
  <c r="P170" i="17"/>
  <c r="P169" i="17"/>
  <c r="P168" i="17"/>
  <c r="P167" i="17"/>
  <c r="P166" i="17"/>
  <c r="P165" i="17"/>
  <c r="P164" i="17"/>
  <c r="P163" i="17"/>
  <c r="P162" i="17"/>
  <c r="P161" i="17"/>
  <c r="P160" i="17"/>
  <c r="P159" i="17"/>
  <c r="P158" i="17"/>
  <c r="P157" i="17"/>
  <c r="P156" i="17"/>
  <c r="P155" i="17"/>
  <c r="P154" i="17"/>
  <c r="P153" i="17"/>
  <c r="P152" i="17"/>
  <c r="P151" i="17"/>
  <c r="P150" i="17"/>
  <c r="P149" i="17"/>
  <c r="P148" i="17"/>
  <c r="P147" i="17"/>
  <c r="P146" i="17"/>
  <c r="P145" i="17"/>
  <c r="P144" i="17"/>
  <c r="P143" i="17"/>
  <c r="P142" i="17"/>
  <c r="P141" i="17"/>
  <c r="P140" i="17"/>
  <c r="P139" i="17"/>
  <c r="P138" i="17"/>
  <c r="P137" i="17"/>
  <c r="P136" i="17"/>
  <c r="P135" i="17"/>
  <c r="P134" i="17"/>
  <c r="P133" i="17"/>
  <c r="P132" i="17"/>
  <c r="P131" i="17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5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AF205" i="17"/>
  <c r="AG205" i="17" s="1"/>
  <c r="AD205" i="17" s="1"/>
  <c r="AF204" i="17"/>
  <c r="AG204" i="17" s="1"/>
  <c r="AD204" i="17" s="1"/>
  <c r="AF203" i="17"/>
  <c r="AG203" i="17" s="1"/>
  <c r="AD203" i="17" s="1"/>
  <c r="AF202" i="17"/>
  <c r="AG202" i="17" s="1"/>
  <c r="AD202" i="17" s="1"/>
  <c r="AF201" i="17"/>
  <c r="AG201" i="17" s="1"/>
  <c r="AD201" i="17" s="1"/>
  <c r="AF200" i="17"/>
  <c r="AG200" i="17" s="1"/>
  <c r="AD200" i="17" s="1"/>
  <c r="AF199" i="17"/>
  <c r="AG199" i="17" s="1"/>
  <c r="AD199" i="17" s="1"/>
  <c r="AF198" i="17"/>
  <c r="AG198" i="17" s="1"/>
  <c r="AD198" i="17" s="1"/>
  <c r="AF197" i="17"/>
  <c r="AG197" i="17" s="1"/>
  <c r="AD197" i="17" s="1"/>
  <c r="AF196" i="17"/>
  <c r="AG196" i="17" s="1"/>
  <c r="AD196" i="17" s="1"/>
  <c r="AF195" i="17"/>
  <c r="AG195" i="17" s="1"/>
  <c r="AD195" i="17" s="1"/>
  <c r="AF194" i="17"/>
  <c r="AG194" i="17" s="1"/>
  <c r="AD194" i="17" s="1"/>
  <c r="AF193" i="17"/>
  <c r="AG193" i="17" s="1"/>
  <c r="AD193" i="17" s="1"/>
  <c r="AF192" i="17"/>
  <c r="AG192" i="17" s="1"/>
  <c r="AD192" i="17" s="1"/>
  <c r="AF191" i="17"/>
  <c r="AG191" i="17" s="1"/>
  <c r="AD191" i="17" s="1"/>
  <c r="AF190" i="17"/>
  <c r="AG190" i="17" s="1"/>
  <c r="AD190" i="17" s="1"/>
  <c r="AF189" i="17"/>
  <c r="AG189" i="17" s="1"/>
  <c r="AD189" i="17" s="1"/>
  <c r="AF188" i="17"/>
  <c r="AG188" i="17" s="1"/>
  <c r="AD188" i="17" s="1"/>
  <c r="AF187" i="17"/>
  <c r="AG187" i="17" s="1"/>
  <c r="AD187" i="17" s="1"/>
  <c r="AF186" i="17"/>
  <c r="AG186" i="17" s="1"/>
  <c r="AD186" i="17" s="1"/>
  <c r="AF185" i="17"/>
  <c r="AG185" i="17" s="1"/>
  <c r="AD185" i="17" s="1"/>
  <c r="AF184" i="17"/>
  <c r="AG184" i="17" s="1"/>
  <c r="AD184" i="17" s="1"/>
  <c r="AF183" i="17"/>
  <c r="AG183" i="17" s="1"/>
  <c r="AD183" i="17" s="1"/>
  <c r="AF182" i="17"/>
  <c r="AG182" i="17" s="1"/>
  <c r="AD182" i="17" s="1"/>
  <c r="AF181" i="17"/>
  <c r="AG181" i="17" s="1"/>
  <c r="AD181" i="17" s="1"/>
  <c r="AF180" i="17"/>
  <c r="AG180" i="17" s="1"/>
  <c r="AD180" i="17" s="1"/>
  <c r="AF179" i="17"/>
  <c r="AG179" i="17" s="1"/>
  <c r="AD179" i="17" s="1"/>
  <c r="AF178" i="17"/>
  <c r="AG178" i="17" s="1"/>
  <c r="AD178" i="17" s="1"/>
  <c r="AF177" i="17"/>
  <c r="AG177" i="17" s="1"/>
  <c r="AD177" i="17" s="1"/>
  <c r="AF176" i="17"/>
  <c r="AG176" i="17" s="1"/>
  <c r="AD176" i="17" s="1"/>
  <c r="AF175" i="17"/>
  <c r="AG175" i="17" s="1"/>
  <c r="AD175" i="17" s="1"/>
  <c r="AF174" i="17"/>
  <c r="AG174" i="17" s="1"/>
  <c r="AD174" i="17" s="1"/>
  <c r="AF173" i="17"/>
  <c r="AG173" i="17" s="1"/>
  <c r="AD173" i="17" s="1"/>
  <c r="AF172" i="17"/>
  <c r="AG172" i="17" s="1"/>
  <c r="AD172" i="17" s="1"/>
  <c r="AF171" i="17"/>
  <c r="AG171" i="17" s="1"/>
  <c r="AD171" i="17" s="1"/>
  <c r="AF170" i="17"/>
  <c r="AG170" i="17" s="1"/>
  <c r="AD170" i="17" s="1"/>
  <c r="AF169" i="17"/>
  <c r="AG169" i="17" s="1"/>
  <c r="AD169" i="17" s="1"/>
  <c r="AF168" i="17"/>
  <c r="AG168" i="17" s="1"/>
  <c r="AD168" i="17" s="1"/>
  <c r="AF167" i="17"/>
  <c r="AG167" i="17" s="1"/>
  <c r="AD167" i="17" s="1"/>
  <c r="AF166" i="17"/>
  <c r="AG166" i="17" s="1"/>
  <c r="AD166" i="17" s="1"/>
  <c r="AF165" i="17"/>
  <c r="AG165" i="17" s="1"/>
  <c r="AD165" i="17" s="1"/>
  <c r="AF164" i="17"/>
  <c r="AG164" i="17" s="1"/>
  <c r="AD164" i="17" s="1"/>
  <c r="AF163" i="17"/>
  <c r="AG163" i="17" s="1"/>
  <c r="AD163" i="17" s="1"/>
  <c r="AF162" i="17"/>
  <c r="AG162" i="17" s="1"/>
  <c r="AD162" i="17" s="1"/>
  <c r="AF161" i="17"/>
  <c r="AG161" i="17" s="1"/>
  <c r="AD161" i="17" s="1"/>
  <c r="AF160" i="17"/>
  <c r="AG160" i="17" s="1"/>
  <c r="AD160" i="17" s="1"/>
  <c r="AF159" i="17"/>
  <c r="AG159" i="17" s="1"/>
  <c r="AD159" i="17" s="1"/>
  <c r="AF158" i="17"/>
  <c r="AG158" i="17" s="1"/>
  <c r="AD158" i="17" s="1"/>
  <c r="AF157" i="17"/>
  <c r="AG157" i="17" s="1"/>
  <c r="AD157" i="17" s="1"/>
  <c r="AF156" i="17"/>
  <c r="AG156" i="17" s="1"/>
  <c r="AD156" i="17" s="1"/>
  <c r="AF155" i="17"/>
  <c r="AG155" i="17" s="1"/>
  <c r="AD155" i="17" s="1"/>
  <c r="AF154" i="17"/>
  <c r="AG154" i="17" s="1"/>
  <c r="AD154" i="17" s="1"/>
  <c r="AF153" i="17"/>
  <c r="AG153" i="17" s="1"/>
  <c r="AD153" i="17" s="1"/>
  <c r="AF152" i="17"/>
  <c r="AG152" i="17" s="1"/>
  <c r="AD152" i="17" s="1"/>
  <c r="AF151" i="17"/>
  <c r="AG151" i="17" s="1"/>
  <c r="AD151" i="17" s="1"/>
  <c r="AF150" i="17"/>
  <c r="AG150" i="17" s="1"/>
  <c r="AD150" i="17" s="1"/>
  <c r="AF149" i="17"/>
  <c r="AG149" i="17" s="1"/>
  <c r="AD149" i="17" s="1"/>
  <c r="AF148" i="17"/>
  <c r="AG148" i="17" s="1"/>
  <c r="AD148" i="17" s="1"/>
  <c r="AF147" i="17"/>
  <c r="AG147" i="17" s="1"/>
  <c r="AD147" i="17" s="1"/>
  <c r="AF146" i="17"/>
  <c r="AG146" i="17" s="1"/>
  <c r="AD146" i="17" s="1"/>
  <c r="AF145" i="17"/>
  <c r="AG145" i="17" s="1"/>
  <c r="AD145" i="17" s="1"/>
  <c r="AF144" i="17"/>
  <c r="AG144" i="17" s="1"/>
  <c r="AD144" i="17" s="1"/>
  <c r="AF143" i="17"/>
  <c r="AG143" i="17" s="1"/>
  <c r="AD143" i="17" s="1"/>
  <c r="AF142" i="17"/>
  <c r="AG142" i="17" s="1"/>
  <c r="AD142" i="17" s="1"/>
  <c r="AF141" i="17"/>
  <c r="AG141" i="17" s="1"/>
  <c r="AD141" i="17" s="1"/>
  <c r="AF140" i="17"/>
  <c r="AG140" i="17" s="1"/>
  <c r="AD140" i="17" s="1"/>
  <c r="AF139" i="17"/>
  <c r="AG139" i="17" s="1"/>
  <c r="AD139" i="17" s="1"/>
  <c r="AF138" i="17"/>
  <c r="AG138" i="17" s="1"/>
  <c r="AD138" i="17" s="1"/>
  <c r="AF137" i="17"/>
  <c r="AG137" i="17" s="1"/>
  <c r="AD137" i="17" s="1"/>
  <c r="AF136" i="17"/>
  <c r="AG136" i="17" s="1"/>
  <c r="AD136" i="17" s="1"/>
  <c r="AF135" i="17"/>
  <c r="AG135" i="17" s="1"/>
  <c r="AD135" i="17" s="1"/>
  <c r="AF134" i="17"/>
  <c r="AG134" i="17" s="1"/>
  <c r="AD134" i="17" s="1"/>
  <c r="AF133" i="17"/>
  <c r="AG133" i="17" s="1"/>
  <c r="AD133" i="17" s="1"/>
  <c r="AF132" i="17"/>
  <c r="AG132" i="17" s="1"/>
  <c r="AD132" i="17" s="1"/>
  <c r="AF131" i="17"/>
  <c r="AG131" i="17" s="1"/>
  <c r="AD131" i="17" s="1"/>
  <c r="AF130" i="17"/>
  <c r="AG130" i="17" s="1"/>
  <c r="AD130" i="17" s="1"/>
  <c r="AF129" i="17"/>
  <c r="AG129" i="17" s="1"/>
  <c r="AD129" i="17" s="1"/>
  <c r="AF128" i="17"/>
  <c r="AG128" i="17" s="1"/>
  <c r="AD128" i="17" s="1"/>
  <c r="AF127" i="17"/>
  <c r="AG127" i="17" s="1"/>
  <c r="AD127" i="17" s="1"/>
  <c r="AF126" i="17"/>
  <c r="AG126" i="17" s="1"/>
  <c r="AD126" i="17" s="1"/>
  <c r="AF125" i="17"/>
  <c r="AG125" i="17" s="1"/>
  <c r="AD125" i="17" s="1"/>
  <c r="AF124" i="17"/>
  <c r="AG124" i="17" s="1"/>
  <c r="AD124" i="17" s="1"/>
  <c r="AF123" i="17"/>
  <c r="AG123" i="17" s="1"/>
  <c r="AD123" i="17" s="1"/>
  <c r="AF122" i="17"/>
  <c r="AG122" i="17" s="1"/>
  <c r="AD122" i="17" s="1"/>
  <c r="AF121" i="17"/>
  <c r="AG121" i="17" s="1"/>
  <c r="AD121" i="17" s="1"/>
  <c r="AF120" i="17"/>
  <c r="AG120" i="17" s="1"/>
  <c r="AD120" i="17" s="1"/>
  <c r="AF119" i="17"/>
  <c r="AG119" i="17" s="1"/>
  <c r="AD119" i="17" s="1"/>
  <c r="AF118" i="17"/>
  <c r="AG118" i="17" s="1"/>
  <c r="AD118" i="17" s="1"/>
  <c r="AF117" i="17"/>
  <c r="AG117" i="17" s="1"/>
  <c r="AD117" i="17" s="1"/>
  <c r="AF116" i="17"/>
  <c r="AG116" i="17" s="1"/>
  <c r="AD116" i="17" s="1"/>
  <c r="AF115" i="17"/>
  <c r="AG115" i="17" s="1"/>
  <c r="AD115" i="17" s="1"/>
  <c r="AF114" i="17"/>
  <c r="AG114" i="17" s="1"/>
  <c r="AD114" i="17" s="1"/>
  <c r="AF113" i="17"/>
  <c r="AG113" i="17" s="1"/>
  <c r="AD113" i="17" s="1"/>
  <c r="AF112" i="17"/>
  <c r="AG112" i="17" s="1"/>
  <c r="AD112" i="17" s="1"/>
  <c r="AF111" i="17"/>
  <c r="AG111" i="17" s="1"/>
  <c r="AD111" i="17" s="1"/>
  <c r="AF110" i="17"/>
  <c r="AG110" i="17" s="1"/>
  <c r="AD110" i="17" s="1"/>
  <c r="AF109" i="17"/>
  <c r="AG109" i="17" s="1"/>
  <c r="AD109" i="17" s="1"/>
  <c r="AF108" i="17"/>
  <c r="AG108" i="17" s="1"/>
  <c r="AD108" i="17" s="1"/>
  <c r="AF107" i="17"/>
  <c r="AG107" i="17" s="1"/>
  <c r="AD107" i="17" s="1"/>
  <c r="AF106" i="17"/>
  <c r="AG106" i="17" s="1"/>
  <c r="AD106" i="17" s="1"/>
  <c r="AF105" i="17"/>
  <c r="AG105" i="17" s="1"/>
  <c r="AD105" i="17" s="1"/>
  <c r="AF104" i="17"/>
  <c r="AG104" i="17" s="1"/>
  <c r="AD104" i="17" s="1"/>
  <c r="AF103" i="17"/>
  <c r="AG103" i="17" s="1"/>
  <c r="AD103" i="17" s="1"/>
  <c r="AF102" i="17"/>
  <c r="AG102" i="17" s="1"/>
  <c r="AD102" i="17" s="1"/>
  <c r="AF101" i="17"/>
  <c r="AG101" i="17" s="1"/>
  <c r="AD101" i="17" s="1"/>
  <c r="AF100" i="17"/>
  <c r="AG100" i="17" s="1"/>
  <c r="AD100" i="17" s="1"/>
  <c r="AF99" i="17"/>
  <c r="AG99" i="17" s="1"/>
  <c r="AD99" i="17" s="1"/>
  <c r="AF98" i="17"/>
  <c r="AG98" i="17" s="1"/>
  <c r="AD98" i="17" s="1"/>
  <c r="AF97" i="17"/>
  <c r="AG97" i="17" s="1"/>
  <c r="AD97" i="17" s="1"/>
  <c r="AF96" i="17"/>
  <c r="AG96" i="17" s="1"/>
  <c r="AD96" i="17" s="1"/>
  <c r="AF95" i="17"/>
  <c r="AG95" i="17" s="1"/>
  <c r="AD95" i="17" s="1"/>
  <c r="AF94" i="17"/>
  <c r="AG94" i="17" s="1"/>
  <c r="AD94" i="17" s="1"/>
  <c r="AF93" i="17"/>
  <c r="AG93" i="17" s="1"/>
  <c r="AD93" i="17" s="1"/>
  <c r="AF92" i="17"/>
  <c r="AG92" i="17" s="1"/>
  <c r="AD92" i="17" s="1"/>
  <c r="AF91" i="17"/>
  <c r="AG91" i="17" s="1"/>
  <c r="AD91" i="17" s="1"/>
  <c r="AF90" i="17"/>
  <c r="AG90" i="17" s="1"/>
  <c r="AD90" i="17" s="1"/>
  <c r="AF89" i="17"/>
  <c r="AG89" i="17" s="1"/>
  <c r="AD89" i="17" s="1"/>
  <c r="AF88" i="17"/>
  <c r="AG88" i="17" s="1"/>
  <c r="AD88" i="17" s="1"/>
  <c r="AF87" i="17"/>
  <c r="AG87" i="17" s="1"/>
  <c r="AD87" i="17" s="1"/>
  <c r="AF86" i="17"/>
  <c r="AG86" i="17" s="1"/>
  <c r="AD86" i="17" s="1"/>
  <c r="AF85" i="17"/>
  <c r="AG85" i="17" s="1"/>
  <c r="AD85" i="17" s="1"/>
  <c r="AF84" i="17"/>
  <c r="AG84" i="17" s="1"/>
  <c r="AD84" i="17" s="1"/>
  <c r="AF83" i="17"/>
  <c r="AG83" i="17" s="1"/>
  <c r="AD83" i="17" s="1"/>
  <c r="AF82" i="17"/>
  <c r="AG82" i="17" s="1"/>
  <c r="AD82" i="17" s="1"/>
  <c r="AF81" i="17"/>
  <c r="AG81" i="17" s="1"/>
  <c r="AD81" i="17" s="1"/>
  <c r="AF80" i="17"/>
  <c r="AG80" i="17" s="1"/>
  <c r="AD80" i="17" s="1"/>
  <c r="AF79" i="17"/>
  <c r="AG79" i="17" s="1"/>
  <c r="AD79" i="17" s="1"/>
  <c r="AF78" i="17"/>
  <c r="AG78" i="17" s="1"/>
  <c r="AD78" i="17" s="1"/>
  <c r="AF77" i="17"/>
  <c r="AG77" i="17" s="1"/>
  <c r="AD77" i="17" s="1"/>
  <c r="AF76" i="17"/>
  <c r="AG76" i="17" s="1"/>
  <c r="AD76" i="17" s="1"/>
  <c r="AF75" i="17"/>
  <c r="AG75" i="17" s="1"/>
  <c r="AD75" i="17" s="1"/>
  <c r="AF74" i="17"/>
  <c r="AG74" i="17" s="1"/>
  <c r="AD74" i="17" s="1"/>
  <c r="AF73" i="17"/>
  <c r="AG73" i="17" s="1"/>
  <c r="AD73" i="17" s="1"/>
  <c r="AF72" i="17"/>
  <c r="AG72" i="17" s="1"/>
  <c r="AD72" i="17" s="1"/>
  <c r="AF71" i="17"/>
  <c r="AG71" i="17" s="1"/>
  <c r="AD71" i="17" s="1"/>
  <c r="AF70" i="17"/>
  <c r="AG70" i="17" s="1"/>
  <c r="AD70" i="17" s="1"/>
  <c r="AF69" i="17"/>
  <c r="AG69" i="17" s="1"/>
  <c r="AD69" i="17" s="1"/>
  <c r="AF68" i="17"/>
  <c r="AG68" i="17" s="1"/>
  <c r="AD68" i="17" s="1"/>
  <c r="AF67" i="17"/>
  <c r="AG67" i="17" s="1"/>
  <c r="AD67" i="17" s="1"/>
  <c r="AF66" i="17"/>
  <c r="AG66" i="17" s="1"/>
  <c r="AD66" i="17" s="1"/>
  <c r="AF65" i="17"/>
  <c r="AG65" i="17" s="1"/>
  <c r="AD65" i="17" s="1"/>
  <c r="AF64" i="17"/>
  <c r="AG64" i="17" s="1"/>
  <c r="AD64" i="17" s="1"/>
  <c r="AF63" i="17"/>
  <c r="AG63" i="17" s="1"/>
  <c r="AD63" i="17" s="1"/>
  <c r="AF62" i="17"/>
  <c r="AG62" i="17" s="1"/>
  <c r="AD62" i="17" s="1"/>
  <c r="AF61" i="17"/>
  <c r="AG61" i="17" s="1"/>
  <c r="AD61" i="17" s="1"/>
  <c r="AF60" i="17"/>
  <c r="AG60" i="17" s="1"/>
  <c r="AD60" i="17" s="1"/>
  <c r="AF48" i="17"/>
  <c r="AG48" i="17" s="1"/>
  <c r="AD48" i="17" s="1"/>
  <c r="AF47" i="17"/>
  <c r="AG47" i="17" s="1"/>
  <c r="AD47" i="17" s="1"/>
  <c r="AF46" i="17"/>
  <c r="AG46" i="17" s="1"/>
  <c r="AD46" i="17" s="1"/>
  <c r="AF45" i="17"/>
  <c r="AG45" i="17" s="1"/>
  <c r="AD45" i="17" s="1"/>
  <c r="AF44" i="17"/>
  <c r="AG44" i="17" s="1"/>
  <c r="AD44" i="17" s="1"/>
  <c r="AF43" i="17"/>
  <c r="AG43" i="17" s="1"/>
  <c r="AD43" i="17" s="1"/>
  <c r="AF42" i="17"/>
  <c r="AG42" i="17" s="1"/>
  <c r="AD42" i="17" s="1"/>
  <c r="AF41" i="17"/>
  <c r="AG41" i="17" s="1"/>
  <c r="AD41" i="17" s="1"/>
  <c r="AF40" i="17"/>
  <c r="AG40" i="17" s="1"/>
  <c r="AD40" i="17" s="1"/>
  <c r="AF39" i="17"/>
  <c r="AG39" i="17" s="1"/>
  <c r="AD39" i="17" s="1"/>
  <c r="AF38" i="17"/>
  <c r="AG38" i="17" s="1"/>
  <c r="AD38" i="17" s="1"/>
  <c r="AF37" i="17"/>
  <c r="AG37" i="17" s="1"/>
  <c r="AD37" i="17" s="1"/>
  <c r="AF36" i="17"/>
  <c r="AG36" i="17" s="1"/>
  <c r="AD36" i="17" s="1"/>
  <c r="AF35" i="17"/>
  <c r="AG35" i="17" s="1"/>
  <c r="AD35" i="17" s="1"/>
  <c r="AF34" i="17"/>
  <c r="AG34" i="17" s="1"/>
  <c r="AD34" i="17" s="1"/>
  <c r="AF33" i="17"/>
  <c r="AG33" i="17" s="1"/>
  <c r="AD33" i="17" s="1"/>
  <c r="AF32" i="17"/>
  <c r="AG32" i="17" s="1"/>
  <c r="AD32" i="17" s="1"/>
  <c r="AF31" i="17"/>
  <c r="AG31" i="17" s="1"/>
  <c r="AD31" i="17" s="1"/>
  <c r="AF30" i="17"/>
  <c r="AG30" i="17" s="1"/>
  <c r="AD30" i="17" s="1"/>
  <c r="AF29" i="17"/>
  <c r="AG29" i="17" s="1"/>
  <c r="AD29" i="17" s="1"/>
  <c r="AF28" i="17"/>
  <c r="AG28" i="17" s="1"/>
  <c r="AD28" i="17" s="1"/>
  <c r="AF27" i="17"/>
  <c r="AG27" i="17" s="1"/>
  <c r="AD27" i="17" s="1"/>
  <c r="AF26" i="17"/>
  <c r="AG26" i="17" s="1"/>
  <c r="AD26" i="17" s="1"/>
  <c r="AF25" i="17"/>
  <c r="AG25" i="17" s="1"/>
  <c r="AD25" i="17" s="1"/>
  <c r="AF24" i="17"/>
  <c r="AG24" i="17" s="1"/>
  <c r="AD24" i="17" s="1"/>
  <c r="AF23" i="17"/>
  <c r="AG23" i="17" s="1"/>
  <c r="AD23" i="17" s="1"/>
  <c r="AF22" i="17"/>
  <c r="AG22" i="17" s="1"/>
  <c r="AD22" i="17" s="1"/>
  <c r="AF21" i="17"/>
  <c r="AG21" i="17" s="1"/>
  <c r="AD21" i="17" s="1"/>
  <c r="AF20" i="17"/>
  <c r="AG20" i="17" s="1"/>
  <c r="AD20" i="17" s="1"/>
  <c r="AF19" i="17"/>
  <c r="AG19" i="17" s="1"/>
  <c r="AD19" i="17" s="1"/>
  <c r="AF18" i="17"/>
  <c r="AG18" i="17" s="1"/>
  <c r="AD18" i="17" s="1"/>
  <c r="AF17" i="17"/>
  <c r="AG17" i="17" s="1"/>
  <c r="AD17" i="17" s="1"/>
  <c r="AF16" i="17"/>
  <c r="AG16" i="17" s="1"/>
  <c r="AD16" i="17" s="1"/>
  <c r="AF15" i="17"/>
  <c r="AG15" i="17" s="1"/>
  <c r="AD15" i="17" s="1"/>
  <c r="AF14" i="17"/>
  <c r="AG14" i="17" s="1"/>
  <c r="AD14" i="17" s="1"/>
  <c r="AF13" i="17"/>
  <c r="AG13" i="17" s="1"/>
  <c r="AD13" i="17" s="1"/>
  <c r="AF12" i="17"/>
  <c r="AG12" i="17" s="1"/>
  <c r="AD12" i="17" s="1"/>
  <c r="AF11" i="17"/>
  <c r="AG11" i="17" s="1"/>
  <c r="AD11" i="17" s="1"/>
  <c r="AF10" i="17"/>
  <c r="AG10" i="17" s="1"/>
  <c r="AD10" i="17" s="1"/>
  <c r="AF8" i="17"/>
  <c r="AG8" i="17" s="1"/>
  <c r="AD8" i="17" s="1"/>
  <c r="AF59" i="17"/>
  <c r="AG59" i="17" s="1"/>
  <c r="AD59" i="17" s="1"/>
  <c r="AF58" i="17"/>
  <c r="AG58" i="17" s="1"/>
  <c r="AD58" i="17" s="1"/>
  <c r="AF57" i="17"/>
  <c r="AG57" i="17" s="1"/>
  <c r="AD57" i="17" s="1"/>
  <c r="AF56" i="17"/>
  <c r="AG56" i="17" s="1"/>
  <c r="AD56" i="17" s="1"/>
  <c r="AF55" i="17"/>
  <c r="AG55" i="17" s="1"/>
  <c r="AD55" i="17" s="1"/>
  <c r="AF54" i="17"/>
  <c r="AG54" i="17" s="1"/>
  <c r="AD54" i="17" s="1"/>
  <c r="AF53" i="17"/>
  <c r="AG53" i="17" s="1"/>
  <c r="AD53" i="17" s="1"/>
  <c r="AF52" i="17"/>
  <c r="AG52" i="17" s="1"/>
  <c r="AD52" i="17" s="1"/>
  <c r="AF51" i="17"/>
  <c r="AG51" i="17" s="1"/>
  <c r="AD51" i="17" s="1"/>
  <c r="AF50" i="17"/>
  <c r="AG50" i="17" s="1"/>
  <c r="AD50" i="17" s="1"/>
  <c r="AE205" i="17"/>
  <c r="AE204" i="17"/>
  <c r="AE203" i="17"/>
  <c r="AE202" i="17"/>
  <c r="AE201" i="17"/>
  <c r="AE200" i="17"/>
  <c r="AE199" i="17"/>
  <c r="AE198" i="17"/>
  <c r="AE197" i="17"/>
  <c r="AE196" i="17"/>
  <c r="AE195" i="17"/>
  <c r="AE194" i="17"/>
  <c r="AE193" i="17"/>
  <c r="AE192" i="17"/>
  <c r="AE191" i="17"/>
  <c r="AE190" i="17"/>
  <c r="AE189" i="17"/>
  <c r="AE188" i="17"/>
  <c r="AE187" i="17"/>
  <c r="AE186" i="17"/>
  <c r="AE185" i="17"/>
  <c r="AE184" i="17"/>
  <c r="AE183" i="17"/>
  <c r="AE182" i="17"/>
  <c r="AE181" i="17"/>
  <c r="AE180" i="17"/>
  <c r="AE179" i="17"/>
  <c r="AE178" i="17"/>
  <c r="AE177" i="17"/>
  <c r="AE176" i="17"/>
  <c r="AE175" i="17"/>
  <c r="AE174" i="17"/>
  <c r="AE173" i="17"/>
  <c r="AE172" i="17"/>
  <c r="AE171" i="17"/>
  <c r="AE170" i="17"/>
  <c r="AE169" i="17"/>
  <c r="AE168" i="17"/>
  <c r="AE167" i="17"/>
  <c r="AE166" i="17"/>
  <c r="AE165" i="17"/>
  <c r="AE164" i="17"/>
  <c r="AE163" i="17"/>
  <c r="AE162" i="17"/>
  <c r="AE161" i="17"/>
  <c r="AE160" i="17"/>
  <c r="AE159" i="17"/>
  <c r="AE158" i="17"/>
  <c r="AE157" i="17"/>
  <c r="AE156" i="17"/>
  <c r="AE155" i="17"/>
  <c r="AE154" i="17"/>
  <c r="AE153" i="17"/>
  <c r="AE152" i="17"/>
  <c r="AE151" i="17"/>
  <c r="AE150" i="17"/>
  <c r="AE149" i="17"/>
  <c r="AE148" i="17"/>
  <c r="AE147" i="17"/>
  <c r="AE146" i="17"/>
  <c r="AE145" i="17"/>
  <c r="AE144" i="17"/>
  <c r="AE143" i="17"/>
  <c r="AE142" i="17"/>
  <c r="AE141" i="17"/>
  <c r="AE140" i="17"/>
  <c r="AE139" i="17"/>
  <c r="AE138" i="17"/>
  <c r="AE137" i="17"/>
  <c r="AE136" i="17"/>
  <c r="AE135" i="17"/>
  <c r="AE134" i="17"/>
  <c r="AE133" i="17"/>
  <c r="AE132" i="17"/>
  <c r="AE131" i="17"/>
  <c r="AE130" i="17"/>
  <c r="AE129" i="17"/>
  <c r="AE128" i="17"/>
  <c r="AE127" i="17"/>
  <c r="AE126" i="17"/>
  <c r="AE125" i="17"/>
  <c r="AE124" i="17"/>
  <c r="AE123" i="17"/>
  <c r="AE122" i="17"/>
  <c r="AE121" i="17"/>
  <c r="AE120" i="17"/>
  <c r="AE119" i="17"/>
  <c r="AE118" i="17"/>
  <c r="AE117" i="17"/>
  <c r="AE116" i="17"/>
  <c r="AE115" i="17"/>
  <c r="AE114" i="17"/>
  <c r="AE113" i="17"/>
  <c r="AE112" i="17"/>
  <c r="AE111" i="17"/>
  <c r="AE110" i="17"/>
  <c r="AE109" i="17"/>
  <c r="AE108" i="17"/>
  <c r="AE107" i="17"/>
  <c r="AE106" i="17"/>
  <c r="AE105" i="17"/>
  <c r="AE104" i="17"/>
  <c r="AE103" i="17"/>
  <c r="AE102" i="17"/>
  <c r="AE101" i="17"/>
  <c r="AE100" i="17"/>
  <c r="AE99" i="17"/>
  <c r="AE98" i="17"/>
  <c r="AE97" i="17"/>
  <c r="AE96" i="17"/>
  <c r="AE95" i="17"/>
  <c r="AE94" i="17"/>
  <c r="AE93" i="17"/>
  <c r="AE92" i="17"/>
  <c r="AE91" i="17"/>
  <c r="AE90" i="17"/>
  <c r="AE89" i="17"/>
  <c r="AE88" i="17"/>
  <c r="AE87" i="17"/>
  <c r="AE86" i="17"/>
  <c r="AE85" i="17"/>
  <c r="AE84" i="17"/>
  <c r="AE83" i="17"/>
  <c r="AE82" i="17"/>
  <c r="AE81" i="17"/>
  <c r="AE80" i="17"/>
  <c r="AE79" i="17"/>
  <c r="AE78" i="17"/>
  <c r="AE77" i="17"/>
  <c r="AE76" i="17"/>
  <c r="AE75" i="17"/>
  <c r="AE74" i="17"/>
  <c r="AE73" i="17"/>
  <c r="AE72" i="17"/>
  <c r="AE71" i="17"/>
  <c r="AE70" i="17"/>
  <c r="AE69" i="17"/>
  <c r="AE68" i="17"/>
  <c r="AE67" i="17"/>
  <c r="AE66" i="17"/>
  <c r="AE65" i="17"/>
  <c r="AE64" i="17"/>
  <c r="AE63" i="17"/>
  <c r="AE62" i="17"/>
  <c r="AE61" i="17"/>
  <c r="AE60" i="17"/>
  <c r="AE48" i="17"/>
  <c r="AE47" i="17"/>
  <c r="AE46" i="17"/>
  <c r="AE45" i="17"/>
  <c r="AE44" i="17"/>
  <c r="AE43" i="17"/>
  <c r="AE42" i="17"/>
  <c r="AE41" i="17"/>
  <c r="AE40" i="17"/>
  <c r="AE39" i="17"/>
  <c r="AE38" i="17"/>
  <c r="AE37" i="17"/>
  <c r="AE36" i="17"/>
  <c r="AE35" i="17"/>
  <c r="AE34" i="17"/>
  <c r="AE33" i="17"/>
  <c r="AE32" i="17"/>
  <c r="AE31" i="17"/>
  <c r="AE30" i="17"/>
  <c r="AE29" i="17"/>
  <c r="AE28" i="17"/>
  <c r="AE27" i="17"/>
  <c r="AE26" i="17"/>
  <c r="AE25" i="17"/>
  <c r="AE24" i="17"/>
  <c r="AE23" i="17"/>
  <c r="AE22" i="17"/>
  <c r="AE21" i="17"/>
  <c r="AE20" i="17"/>
  <c r="AE19" i="17"/>
  <c r="AE18" i="17"/>
  <c r="AE17" i="17"/>
  <c r="AE16" i="17"/>
  <c r="AE15" i="17"/>
  <c r="AE14" i="17"/>
  <c r="AE13" i="17"/>
  <c r="AE12" i="17"/>
  <c r="AE11" i="17"/>
  <c r="AE10" i="17"/>
  <c r="AE9" i="17"/>
  <c r="AE8" i="17"/>
  <c r="AE7" i="17"/>
  <c r="AE6" i="17"/>
  <c r="AE59" i="17"/>
  <c r="AE58" i="17"/>
  <c r="AE57" i="17"/>
  <c r="AE56" i="17"/>
  <c r="AE55" i="17"/>
  <c r="AE54" i="17"/>
  <c r="AE53" i="17"/>
  <c r="AE52" i="17"/>
  <c r="AE51" i="17"/>
  <c r="AE50" i="17"/>
  <c r="AF49" i="17"/>
  <c r="AG49" i="17" s="1"/>
  <c r="AD49" i="17" s="1"/>
  <c r="AE49" i="17"/>
  <c r="AC2" i="17" l="1"/>
  <c r="AC3" i="17"/>
</calcChain>
</file>

<file path=xl/sharedStrings.xml><?xml version="1.0" encoding="utf-8"?>
<sst xmlns="http://schemas.openxmlformats.org/spreadsheetml/2006/main" count="159" uniqueCount="103">
  <si>
    <t>最小受付番号</t>
    <rPh sb="2" eb="4">
      <t>ウケツケ</t>
    </rPh>
    <rPh sb="4" eb="6">
      <t>バンゴウ</t>
    </rPh>
    <phoneticPr fontId="2"/>
  </si>
  <si>
    <t>最大受付番号</t>
    <rPh sb="0" eb="2">
      <t>サイダイ</t>
    </rPh>
    <rPh sb="2" eb="4">
      <t>ウケツケ</t>
    </rPh>
    <rPh sb="4" eb="6">
      <t>バンゴウ</t>
    </rPh>
    <phoneticPr fontId="2"/>
  </si>
  <si>
    <t>検索Min</t>
    <rPh sb="0" eb="2">
      <t>ケンサク</t>
    </rPh>
    <phoneticPr fontId="2"/>
  </si>
  <si>
    <t>検索Max</t>
    <rPh sb="0" eb="2">
      <t>ケンサク</t>
    </rPh>
    <phoneticPr fontId="2"/>
  </si>
  <si>
    <t>製品名</t>
    <rPh sb="0" eb="1">
      <t>セイ</t>
    </rPh>
    <rPh sb="1" eb="3">
      <t>ヒンメイ</t>
    </rPh>
    <phoneticPr fontId="2"/>
  </si>
  <si>
    <t>製品ｺｰﾄﾞ</t>
    <rPh sb="0" eb="2">
      <t>セイヒン</t>
    </rPh>
    <phoneticPr fontId="2"/>
  </si>
  <si>
    <t>製品名データ</t>
    <rPh sb="0" eb="2">
      <t>セイヒン</t>
    </rPh>
    <rPh sb="2" eb="3">
      <t>メイ</t>
    </rPh>
    <phoneticPr fontId="2"/>
  </si>
  <si>
    <t>在庫データ</t>
    <rPh sb="0" eb="2">
      <t>ザイコ</t>
    </rPh>
    <phoneticPr fontId="2"/>
  </si>
  <si>
    <t>受付番号</t>
    <rPh sb="0" eb="2">
      <t>ウケツケ</t>
    </rPh>
    <rPh sb="2" eb="4">
      <t>バンゴウ</t>
    </rPh>
    <phoneticPr fontId="2"/>
  </si>
  <si>
    <t>会社名</t>
    <rPh sb="0" eb="1">
      <t>カイ</t>
    </rPh>
    <rPh sb="1" eb="3">
      <t>シャメイ</t>
    </rPh>
    <phoneticPr fontId="2"/>
  </si>
  <si>
    <t>入荷日</t>
    <rPh sb="0" eb="2">
      <t>ニュウカ</t>
    </rPh>
    <rPh sb="2" eb="3">
      <t>ビ</t>
    </rPh>
    <phoneticPr fontId="2"/>
  </si>
  <si>
    <t>入荷数</t>
    <rPh sb="0" eb="3">
      <t>ニュウカスウ</t>
    </rPh>
    <phoneticPr fontId="2"/>
  </si>
  <si>
    <t>指定線量</t>
    <rPh sb="0" eb="2">
      <t>シテイ</t>
    </rPh>
    <rPh sb="2" eb="4">
      <t>センリョウ</t>
    </rPh>
    <phoneticPr fontId="2"/>
  </si>
  <si>
    <t>パス数</t>
    <rPh sb="2" eb="3">
      <t>スウ</t>
    </rPh>
    <phoneticPr fontId="2"/>
  </si>
  <si>
    <t>照射装置</t>
    <rPh sb="0" eb="2">
      <t>ショウシャ</t>
    </rPh>
    <rPh sb="2" eb="4">
      <t>ソウチ</t>
    </rPh>
    <phoneticPr fontId="2"/>
  </si>
  <si>
    <t>出荷数</t>
    <rPh sb="0" eb="2">
      <t>シュッカ</t>
    </rPh>
    <rPh sb="2" eb="3">
      <t>スウ</t>
    </rPh>
    <phoneticPr fontId="2"/>
  </si>
  <si>
    <t>ロットNo</t>
    <phoneticPr fontId="2"/>
  </si>
  <si>
    <t>在庫履歴データ</t>
    <rPh sb="0" eb="2">
      <t>ザイコ</t>
    </rPh>
    <rPh sb="2" eb="4">
      <t>リレキ</t>
    </rPh>
    <phoneticPr fontId="2"/>
  </si>
  <si>
    <t>会社ｺｰﾄﾞ</t>
    <rPh sb="0" eb="2">
      <t>カイシャ</t>
    </rPh>
    <phoneticPr fontId="2"/>
  </si>
  <si>
    <t>出荷履歴より抽出（出荷日が指定日以降の出荷数を在庫ﾃﾞｰﾀに加える)</t>
    <phoneticPr fontId="2"/>
  </si>
  <si>
    <t>出荷履歴より抽出（出荷日が指定日以前の出荷数を在庫履歴より引く)</t>
    <rPh sb="16" eb="18">
      <t>イゼン</t>
    </rPh>
    <rPh sb="25" eb="27">
      <t>リレキ</t>
    </rPh>
    <rPh sb="29" eb="30">
      <t>ヒ</t>
    </rPh>
    <phoneticPr fontId="2"/>
  </si>
  <si>
    <t>製品名</t>
    <rPh sb="0" eb="2">
      <t>セイヒン</t>
    </rPh>
    <rPh sb="2" eb="3">
      <t>メイ</t>
    </rPh>
    <phoneticPr fontId="2"/>
  </si>
  <si>
    <t>Add出荷数</t>
    <rPh sb="3" eb="5">
      <t>シュッカ</t>
    </rPh>
    <rPh sb="5" eb="6">
      <t>スウ</t>
    </rPh>
    <phoneticPr fontId="2"/>
  </si>
  <si>
    <t>Add
出荷数</t>
    <phoneticPr fontId="2"/>
  </si>
  <si>
    <t>引く
出荷数</t>
    <rPh sb="0" eb="1">
      <t>ヒ</t>
    </rPh>
    <phoneticPr fontId="2"/>
  </si>
  <si>
    <t>指定日
在庫</t>
    <rPh sb="0" eb="3">
      <t>シテイビ</t>
    </rPh>
    <rPh sb="4" eb="6">
      <t>ザイコ</t>
    </rPh>
    <phoneticPr fontId="2"/>
  </si>
  <si>
    <t>日機装株式会社　メディカル金沢工場　工務・配送グループ 御中</t>
    <rPh sb="0" eb="3">
      <t>ニッキソウ</t>
    </rPh>
    <rPh sb="3" eb="7">
      <t>カブシキカイシャ</t>
    </rPh>
    <rPh sb="13" eb="15">
      <t>カナザワ</t>
    </rPh>
    <rPh sb="15" eb="17">
      <t>コウジョウ</t>
    </rPh>
    <rPh sb="18" eb="20">
      <t>コウム</t>
    </rPh>
    <rPh sb="21" eb="23">
      <t>ハイソウ</t>
    </rPh>
    <rPh sb="28" eb="30">
      <t>オンチュウ</t>
    </rPh>
    <phoneticPr fontId="2"/>
  </si>
  <si>
    <t>弊社受付番号</t>
    <rPh sb="0" eb="2">
      <t>ヘイシャ</t>
    </rPh>
    <rPh sb="2" eb="4">
      <t>ウケツケ</t>
    </rPh>
    <rPh sb="4" eb="6">
      <t>バンゴウ</t>
    </rPh>
    <phoneticPr fontId="2"/>
  </si>
  <si>
    <t>数量ｹｰｽ数</t>
    <rPh sb="0" eb="2">
      <t>スウリョウ</t>
    </rPh>
    <rPh sb="5" eb="6">
      <t>スウ</t>
    </rPh>
    <phoneticPr fontId="2"/>
  </si>
  <si>
    <t>本数</t>
    <rPh sb="0" eb="2">
      <t>ホンスウ</t>
    </rPh>
    <phoneticPr fontId="2"/>
  </si>
  <si>
    <t>現在預り書</t>
    <rPh sb="0" eb="1">
      <t>ゲン</t>
    </rPh>
    <rPh sb="1" eb="2">
      <t>ザイ</t>
    </rPh>
    <rPh sb="2" eb="3">
      <t>アズカ</t>
    </rPh>
    <rPh sb="4" eb="5">
      <t>ショ</t>
    </rPh>
    <phoneticPr fontId="2"/>
  </si>
  <si>
    <t>No</t>
    <phoneticPr fontId="2"/>
  </si>
  <si>
    <t>オリエンタル酵母工業 株式会社 御中</t>
    <rPh sb="6" eb="8">
      <t>コウボ</t>
    </rPh>
    <rPh sb="8" eb="10">
      <t>コウギョウ</t>
    </rPh>
    <rPh sb="11" eb="13">
      <t>カブシキ</t>
    </rPh>
    <rPh sb="13" eb="15">
      <t>カイシャ</t>
    </rPh>
    <rPh sb="16" eb="18">
      <t>オンチュウ</t>
    </rPh>
    <phoneticPr fontId="2"/>
  </si>
  <si>
    <t>ラジエ工業 株式会社</t>
    <rPh sb="3" eb="5">
      <t>コウギョウ</t>
    </rPh>
    <rPh sb="6" eb="8">
      <t>カブシキ</t>
    </rPh>
    <rPh sb="8" eb="10">
      <t>カイシャ</t>
    </rPh>
    <phoneticPr fontId="2"/>
  </si>
  <si>
    <t>線量（ｋGy)</t>
    <rPh sb="0" eb="2">
      <t>センリョウ</t>
    </rPh>
    <phoneticPr fontId="2"/>
  </si>
  <si>
    <t>入目</t>
    <rPh sb="0" eb="1">
      <t>イ</t>
    </rPh>
    <rPh sb="1" eb="2">
      <t>メ</t>
    </rPh>
    <phoneticPr fontId="2"/>
  </si>
  <si>
    <t>数量</t>
    <rPh sb="0" eb="2">
      <t>スウリョウ</t>
    </rPh>
    <phoneticPr fontId="2"/>
  </si>
  <si>
    <t>入目ﾘｽﾄ</t>
    <rPh sb="0" eb="1">
      <t>イ</t>
    </rPh>
    <rPh sb="1" eb="2">
      <t>メ</t>
    </rPh>
    <phoneticPr fontId="2"/>
  </si>
  <si>
    <t>1.0×10</t>
    <phoneticPr fontId="2"/>
  </si>
  <si>
    <t>1.0×3</t>
    <phoneticPr fontId="2"/>
  </si>
  <si>
    <t>1.0×8</t>
    <phoneticPr fontId="2"/>
  </si>
  <si>
    <t>2.0×4</t>
    <phoneticPr fontId="2"/>
  </si>
  <si>
    <t>2.0×5</t>
    <phoneticPr fontId="2"/>
  </si>
  <si>
    <t>2.5×4</t>
    <phoneticPr fontId="2"/>
  </si>
  <si>
    <t>5.0×1</t>
    <phoneticPr fontId="2"/>
  </si>
  <si>
    <t>5.0×2</t>
    <phoneticPr fontId="2"/>
  </si>
  <si>
    <t>8.0×1</t>
    <phoneticPr fontId="2"/>
  </si>
  <si>
    <t>10.0×1</t>
    <phoneticPr fontId="2"/>
  </si>
  <si>
    <t>12×1</t>
    <phoneticPr fontId="2"/>
  </si>
  <si>
    <r>
      <t>I</t>
    </r>
    <r>
      <rPr>
        <sz val="11"/>
        <color theme="1"/>
        <rFont val="ＭＳ Ｐゴシック"/>
        <family val="3"/>
        <charset val="128"/>
        <scheme val="minor"/>
      </rPr>
      <t>T</t>
    </r>
    <phoneticPr fontId="2"/>
  </si>
  <si>
    <t>含まない</t>
    <rPh sb="0" eb="1">
      <t>フク</t>
    </rPh>
    <phoneticPr fontId="2"/>
  </si>
  <si>
    <t>このｼｰﾄの記録先ﾌｫﾙﾀﾞｰ名</t>
    <rPh sb="6" eb="8">
      <t>キロク</t>
    </rPh>
    <rPh sb="8" eb="9">
      <t>サキ</t>
    </rPh>
    <rPh sb="15" eb="16">
      <t>メイ</t>
    </rPh>
    <phoneticPr fontId="2"/>
  </si>
  <si>
    <t>ファイル名</t>
    <rPh sb="4" eb="5">
      <t>メイ</t>
    </rPh>
    <phoneticPr fontId="2"/>
  </si>
  <si>
    <t>No</t>
    <phoneticPr fontId="2"/>
  </si>
  <si>
    <t>ロットNo.</t>
    <phoneticPr fontId="2"/>
  </si>
  <si>
    <t>ｺｰﾄﾞ</t>
    <phoneticPr fontId="2"/>
  </si>
  <si>
    <t>高崎市大八木町１６８番地</t>
    <rPh sb="0" eb="3">
      <t>タカサキシ</t>
    </rPh>
    <rPh sb="3" eb="7">
      <t>オオヤギマチ</t>
    </rPh>
    <rPh sb="10" eb="12">
      <t>バンチ</t>
    </rPh>
    <phoneticPr fontId="2"/>
  </si>
  <si>
    <t>℡ 027-361-6101</t>
  </si>
  <si>
    <t>℡ 027-361-6101</t>
    <phoneticPr fontId="2"/>
  </si>
  <si>
    <t>含む</t>
    <rPh sb="0" eb="1">
      <t>フク</t>
    </rPh>
    <phoneticPr fontId="2"/>
  </si>
  <si>
    <t>ロットNo</t>
  </si>
  <si>
    <t>現在下記の通り在庫していることを報告致します。</t>
    <rPh sb="0" eb="1">
      <t>ゲン</t>
    </rPh>
    <rPh sb="1" eb="2">
      <t>ザイ</t>
    </rPh>
    <rPh sb="2" eb="4">
      <t>カキ</t>
    </rPh>
    <rPh sb="5" eb="6">
      <t>トオ</t>
    </rPh>
    <rPh sb="7" eb="9">
      <t>ザイコ</t>
    </rPh>
    <rPh sb="16" eb="18">
      <t>ホウコク</t>
    </rPh>
    <rPh sb="18" eb="19">
      <t>イタ</t>
    </rPh>
    <phoneticPr fontId="2"/>
  </si>
  <si>
    <t>納品済数</t>
    <rPh sb="0" eb="2">
      <t>ノウヒン</t>
    </rPh>
    <rPh sb="2" eb="3">
      <t>スミ</t>
    </rPh>
    <rPh sb="3" eb="4">
      <t>スウ</t>
    </rPh>
    <phoneticPr fontId="2"/>
  </si>
  <si>
    <t>発行日</t>
    <rPh sb="0" eb="3">
      <t>ハッコウビ</t>
    </rPh>
    <phoneticPr fontId="2"/>
  </si>
  <si>
    <t>行始</t>
    <rPh sb="0" eb="1">
      <t>ギョウ</t>
    </rPh>
    <rPh sb="1" eb="2">
      <t>ハジメ</t>
    </rPh>
    <phoneticPr fontId="2"/>
  </si>
  <si>
    <t>行終</t>
    <rPh sb="0" eb="1">
      <t>ギョウ</t>
    </rPh>
    <rPh sb="1" eb="2">
      <t>オ</t>
    </rPh>
    <phoneticPr fontId="2"/>
  </si>
  <si>
    <t>ﾘｽﾄ</t>
    <phoneticPr fontId="2"/>
  </si>
  <si>
    <t>当日出荷分</t>
    <rPh sb="0" eb="2">
      <t>トウジツ</t>
    </rPh>
    <rPh sb="2" eb="4">
      <t>シュッカ</t>
    </rPh>
    <rPh sb="4" eb="5">
      <t>ブン</t>
    </rPh>
    <phoneticPr fontId="2"/>
  </si>
  <si>
    <t>在庫集計日</t>
    <rPh sb="0" eb="2">
      <t>ザイコ</t>
    </rPh>
    <rPh sb="2" eb="4">
      <t>シュウケイ</t>
    </rPh>
    <rPh sb="4" eb="5">
      <t>ビ</t>
    </rPh>
    <phoneticPr fontId="2"/>
  </si>
  <si>
    <t>出荷日</t>
    <rPh sb="0" eb="3">
      <t>シュッカビ</t>
    </rPh>
    <phoneticPr fontId="2"/>
  </si>
  <si>
    <t>ファイル名→</t>
    <rPh sb="4" eb="5">
      <t>メイ</t>
    </rPh>
    <phoneticPr fontId="2"/>
  </si>
  <si>
    <t>品　　名</t>
    <rPh sb="0" eb="1">
      <t>シナ</t>
    </rPh>
    <rPh sb="3" eb="4">
      <t>メイ</t>
    </rPh>
    <phoneticPr fontId="2"/>
  </si>
  <si>
    <t>ロ ッ ト No.</t>
    <phoneticPr fontId="2"/>
  </si>
  <si>
    <t>記録先ﾌｫﾙﾀﾞｰ名</t>
    <rPh sb="0" eb="2">
      <t>キロク</t>
    </rPh>
    <rPh sb="2" eb="3">
      <t>サキ</t>
    </rPh>
    <rPh sb="9" eb="10">
      <t>メイ</t>
    </rPh>
    <phoneticPr fontId="2"/>
  </si>
  <si>
    <t>群馬県高崎市大八木町１６８番地</t>
    <rPh sb="0" eb="3">
      <t>グンマケン</t>
    </rPh>
    <rPh sb="3" eb="6">
      <t>タカサキシ</t>
    </rPh>
    <rPh sb="6" eb="10">
      <t>オオヤギマチ</t>
    </rPh>
    <rPh sb="13" eb="15">
      <t>バンチ</t>
    </rPh>
    <phoneticPr fontId="2"/>
  </si>
  <si>
    <t>預り
在庫数</t>
    <rPh sb="0" eb="1">
      <t>アズ</t>
    </rPh>
    <rPh sb="3" eb="5">
      <t>ザイコ</t>
    </rPh>
    <rPh sb="5" eb="6">
      <t>スウ</t>
    </rPh>
    <phoneticPr fontId="2"/>
  </si>
  <si>
    <t>最小受付番号</t>
    <rPh sb="0" eb="2">
      <t>サイショウ</t>
    </rPh>
    <rPh sb="2" eb="4">
      <t>ウケツケ</t>
    </rPh>
    <rPh sb="4" eb="6">
      <t>バンゴウ</t>
    </rPh>
    <phoneticPr fontId="2"/>
  </si>
  <si>
    <t>引く出荷数</t>
    <rPh sb="0" eb="1">
      <t>ヒ</t>
    </rPh>
    <rPh sb="2" eb="4">
      <t>シュッカ</t>
    </rPh>
    <rPh sb="4" eb="5">
      <t>スウ</t>
    </rPh>
    <phoneticPr fontId="2"/>
  </si>
  <si>
    <t>指定日以前の出荷数</t>
    <rPh sb="0" eb="2">
      <t>シテイ</t>
    </rPh>
    <rPh sb="2" eb="3">
      <t>ビ</t>
    </rPh>
    <rPh sb="3" eb="5">
      <t>イゼン</t>
    </rPh>
    <rPh sb="6" eb="8">
      <t>シュッカ</t>
    </rPh>
    <rPh sb="8" eb="9">
      <t>スウ</t>
    </rPh>
    <phoneticPr fontId="2"/>
  </si>
  <si>
    <t>ﾃﾞｰﾀ行数</t>
    <rPh sb="4" eb="6">
      <t>ギョウスウ</t>
    </rPh>
    <phoneticPr fontId="2"/>
  </si>
  <si>
    <t>当日入荷分</t>
    <rPh sb="0" eb="2">
      <t>トウジツ</t>
    </rPh>
    <rPh sb="2" eb="4">
      <t>ニュウカ</t>
    </rPh>
    <rPh sb="4" eb="5">
      <t>ブン</t>
    </rPh>
    <phoneticPr fontId="2"/>
  </si>
  <si>
    <t>現在下記の通り在庫していることを証明致します。</t>
    <rPh sb="0" eb="1">
      <t>ゲン</t>
    </rPh>
    <rPh sb="1" eb="2">
      <t>ザイ</t>
    </rPh>
    <rPh sb="2" eb="4">
      <t>カキ</t>
    </rPh>
    <rPh sb="5" eb="6">
      <t>トオ</t>
    </rPh>
    <rPh sb="7" eb="9">
      <t>ザイコ</t>
    </rPh>
    <rPh sb="16" eb="18">
      <t>ショウメイ</t>
    </rPh>
    <rPh sb="18" eb="19">
      <t>イタ</t>
    </rPh>
    <phoneticPr fontId="2"/>
  </si>
  <si>
    <t>アイティーパック在庫品</t>
  </si>
  <si>
    <t>No</t>
    <phoneticPr fontId="12"/>
  </si>
  <si>
    <t>当日出荷分</t>
    <rPh sb="0" eb="1">
      <t>トウ</t>
    </rPh>
    <rPh sb="1" eb="2">
      <t>ビ</t>
    </rPh>
    <rPh sb="2" eb="4">
      <t>シュッカ</t>
    </rPh>
    <rPh sb="4" eb="5">
      <t>ブン</t>
    </rPh>
    <phoneticPr fontId="2"/>
  </si>
  <si>
    <t>1.0×10</t>
  </si>
  <si>
    <t>1.0×3</t>
  </si>
  <si>
    <t>1.0×8</t>
  </si>
  <si>
    <t>2.0×4</t>
  </si>
  <si>
    <t>2.0×5</t>
  </si>
  <si>
    <t>2.5×4</t>
  </si>
  <si>
    <t>5.0×1</t>
  </si>
  <si>
    <t>5.0×2</t>
  </si>
  <si>
    <t>8.0×1</t>
  </si>
  <si>
    <t>10.0×1</t>
  </si>
  <si>
    <t>12×1</t>
  </si>
  <si>
    <t>在　　庫　　報　　告　　書</t>
    <rPh sb="0" eb="1">
      <t>ザイ</t>
    </rPh>
    <rPh sb="3" eb="4">
      <t>コ</t>
    </rPh>
    <rPh sb="6" eb="7">
      <t>ホウ</t>
    </rPh>
    <rPh sb="9" eb="10">
      <t>コク</t>
    </rPh>
    <rPh sb="12" eb="13">
      <t>ショ</t>
    </rPh>
    <phoneticPr fontId="2"/>
  </si>
  <si>
    <t>（ただし当日の出荷分は含まず、入荷分は含みます。）</t>
    <phoneticPr fontId="2"/>
  </si>
  <si>
    <t>含む</t>
    <phoneticPr fontId="2"/>
  </si>
  <si>
    <t>\\RNTSVR-FS\Sv_cup\営業部照射課\女子事務用\顧客在庫報告\報告データ</t>
    <rPh sb="39" eb="41">
      <t>ホウコク</t>
    </rPh>
    <phoneticPr fontId="2"/>
  </si>
  <si>
    <t>\\RNTSVR-FS\sv_cup\営業部照射課\小林さ\なにぬねの\日機装㈱預書</t>
    <phoneticPr fontId="2"/>
  </si>
  <si>
    <t>\\RNTSVR-FS\sv_cup\営業部照射課\小林さ\あいうえお\オリエンタル酵母工業在庫表</t>
    <phoneticPr fontId="2"/>
  </si>
  <si>
    <t>含まない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</si>
</sst>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 "/>
    <numFmt numFmtId="177" formatCode="[$-411]ggge&quot;年&quot;m&quot;月&quot;d&quot;日&quot;;@"/>
    <numFmt numFmtId="178" formatCode="m&quot;月&quot;d&quot;日&quot;;@"/>
    <numFmt numFmtId="179" formatCode="000000\-0000"/>
    <numFmt numFmtId="180" formatCode="m/d;@"/>
    <numFmt numFmtId="181" formatCode="yyyy&quot;年&quot;m&quot;月&quot;d&quot;日&quot;;@"/>
  </numFmts>
  <fonts count="19" x14ac:knownFonts="1"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6"/>
      <color rgb="FF00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1" fillId="0" borderId="0"/>
    <xf numFmtId="0" fontId="4" fillId="0" borderId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153">
    <xf numFmtId="0" fontId="0" fillId="0" borderId="0" xfId="0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1" fillId="0" borderId="0" xfId="2" applyFont="1"/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13" fillId="0" borderId="0" xfId="2" quotePrefix="1" applyFont="1" applyAlignment="1">
      <alignment horizontal="center"/>
    </xf>
    <xf numFmtId="177" fontId="1" fillId="0" borderId="0" xfId="2" applyNumberFormat="1" applyAlignment="1">
      <alignment horizontal="center"/>
    </xf>
    <xf numFmtId="0" fontId="4" fillId="0" borderId="0" xfId="3">
      <alignment vertical="center"/>
    </xf>
    <xf numFmtId="0" fontId="5" fillId="0" borderId="0" xfId="3" applyFont="1">
      <alignment vertical="center"/>
    </xf>
    <xf numFmtId="0" fontId="6" fillId="0" borderId="0" xfId="3" applyFont="1">
      <alignment vertical="center"/>
    </xf>
    <xf numFmtId="0" fontId="6" fillId="0" borderId="1" xfId="3" applyFont="1" applyBorder="1">
      <alignment vertical="center"/>
    </xf>
    <xf numFmtId="38" fontId="6" fillId="0" borderId="1" xfId="1" applyFont="1" applyBorder="1">
      <alignment vertical="center"/>
    </xf>
    <xf numFmtId="49" fontId="6" fillId="0" borderId="1" xfId="3" applyNumberFormat="1" applyFont="1" applyBorder="1" applyAlignment="1">
      <alignment horizontal="center" vertical="center"/>
    </xf>
    <xf numFmtId="0" fontId="8" fillId="0" borderId="1" xfId="3" applyFont="1" applyBorder="1">
      <alignment vertical="center"/>
    </xf>
    <xf numFmtId="0" fontId="8" fillId="0" borderId="1" xfId="3" applyFont="1" applyBorder="1" applyAlignment="1">
      <alignment horizontal="center" vertical="center"/>
    </xf>
    <xf numFmtId="49" fontId="0" fillId="0" borderId="2" xfId="0" applyNumberFormat="1" applyBorder="1">
      <alignment vertical="center"/>
    </xf>
    <xf numFmtId="0" fontId="4" fillId="0" borderId="0" xfId="3" applyFont="1">
      <alignment vertical="center"/>
    </xf>
    <xf numFmtId="0" fontId="4" fillId="0" borderId="0" xfId="3" applyFont="1" applyAlignment="1">
      <alignment horizontal="right" vertical="center"/>
    </xf>
    <xf numFmtId="177" fontId="6" fillId="0" borderId="0" xfId="3" applyNumberFormat="1" applyFont="1" applyFill="1" applyAlignment="1">
      <alignment horizontal="center" vertical="center"/>
    </xf>
    <xf numFmtId="0" fontId="1" fillId="0" borderId="0" xfId="2" applyAlignment="1"/>
    <xf numFmtId="0" fontId="1" fillId="0" borderId="0" xfId="2" quotePrefix="1" applyFont="1" applyAlignment="1">
      <alignment horizontal="center"/>
    </xf>
    <xf numFmtId="0" fontId="7" fillId="2" borderId="4" xfId="2" applyFont="1" applyFill="1" applyBorder="1" applyAlignment="1">
      <alignment horizontal="center" vertical="center"/>
    </xf>
    <xf numFmtId="0" fontId="4" fillId="2" borderId="4" xfId="3" applyFont="1" applyFill="1" applyBorder="1" applyAlignment="1">
      <alignment horizontal="center" vertical="center"/>
    </xf>
    <xf numFmtId="0" fontId="4" fillId="0" borderId="1" xfId="3" applyFont="1" applyBorder="1" applyAlignment="1">
      <alignment horizontal="center" vertical="center"/>
    </xf>
    <xf numFmtId="0" fontId="4" fillId="0" borderId="1" xfId="3" applyFont="1" applyBorder="1" applyAlignment="1">
      <alignment horizontal="center" vertical="center" shrinkToFit="1"/>
    </xf>
    <xf numFmtId="0" fontId="4" fillId="0" borderId="1" xfId="3" applyFont="1" applyBorder="1">
      <alignment vertical="center"/>
    </xf>
    <xf numFmtId="0" fontId="4" fillId="0" borderId="1" xfId="3" applyFont="1" applyBorder="1" applyAlignment="1">
      <alignment horizontal="left" vertical="center" shrinkToFit="1"/>
    </xf>
    <xf numFmtId="0" fontId="4" fillId="0" borderId="1" xfId="3" applyFont="1" applyBorder="1" applyAlignment="1">
      <alignment vertical="center" wrapText="1" shrinkToFit="1"/>
    </xf>
    <xf numFmtId="0" fontId="4" fillId="0" borderId="0" xfId="3" applyFont="1" applyBorder="1" applyAlignment="1">
      <alignment horizontal="center" vertical="center" shrinkToFit="1"/>
    </xf>
    <xf numFmtId="0" fontId="4" fillId="0" borderId="0" xfId="3" applyFont="1" applyBorder="1" applyAlignment="1">
      <alignment vertical="center" wrapText="1" shrinkToFit="1"/>
    </xf>
    <xf numFmtId="0" fontId="4" fillId="0" borderId="0" xfId="3" applyFont="1" applyBorder="1" applyAlignment="1">
      <alignment vertical="center" shrinkToFit="1"/>
    </xf>
    <xf numFmtId="0" fontId="1" fillId="0" borderId="1" xfId="2" applyFont="1" applyBorder="1" applyAlignment="1">
      <alignment horizontal="center"/>
    </xf>
    <xf numFmtId="0" fontId="1" fillId="0" borderId="1" xfId="2" applyBorder="1" applyAlignment="1">
      <alignment horizontal="center"/>
    </xf>
    <xf numFmtId="0" fontId="4" fillId="0" borderId="0" xfId="3" applyFill="1">
      <alignment vertical="center"/>
    </xf>
    <xf numFmtId="0" fontId="1" fillId="0" borderId="0" xfId="2" applyFill="1"/>
    <xf numFmtId="0" fontId="1" fillId="0" borderId="5" xfId="2" applyBorder="1" applyAlignment="1">
      <alignment horizontal="center"/>
    </xf>
    <xf numFmtId="0" fontId="4" fillId="0" borderId="6" xfId="3" applyFont="1" applyBorder="1" applyAlignment="1">
      <alignment vertical="center" wrapText="1" shrinkToFit="1"/>
    </xf>
    <xf numFmtId="178" fontId="4" fillId="0" borderId="1" xfId="3" applyNumberFormat="1" applyFont="1" applyBorder="1">
      <alignment vertical="center"/>
    </xf>
    <xf numFmtId="0" fontId="8" fillId="0" borderId="0" xfId="3" applyFont="1">
      <alignment vertical="center"/>
    </xf>
    <xf numFmtId="0" fontId="6" fillId="0" borderId="2" xfId="3" applyFont="1" applyBorder="1" applyAlignment="1">
      <alignment horizontal="right" vertical="center"/>
    </xf>
    <xf numFmtId="0" fontId="1" fillId="0" borderId="2" xfId="2" applyBorder="1" applyAlignment="1">
      <alignment horizontal="right"/>
    </xf>
    <xf numFmtId="0" fontId="0" fillId="0" borderId="0" xfId="0" applyAlignment="1">
      <alignment horizontal="center" vertical="center"/>
    </xf>
    <xf numFmtId="0" fontId="11" fillId="0" borderId="0" xfId="0" applyFont="1">
      <alignment vertical="center"/>
    </xf>
    <xf numFmtId="0" fontId="11" fillId="0" borderId="1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4" fillId="0" borderId="2" xfId="3" applyBorder="1">
      <alignment vertical="center"/>
    </xf>
    <xf numFmtId="0" fontId="1" fillId="0" borderId="2" xfId="2" applyFont="1" applyBorder="1" applyAlignment="1">
      <alignment horizontal="center"/>
    </xf>
    <xf numFmtId="0" fontId="1" fillId="0" borderId="2" xfId="2" applyBorder="1"/>
    <xf numFmtId="0" fontId="1" fillId="0" borderId="2" xfId="2" applyFont="1" applyBorder="1"/>
    <xf numFmtId="0" fontId="4" fillId="2" borderId="8" xfId="3" applyFont="1" applyFill="1" applyBorder="1" applyAlignment="1">
      <alignment horizontal="center" vertical="center"/>
    </xf>
    <xf numFmtId="0" fontId="9" fillId="2" borderId="2" xfId="2" applyFont="1" applyFill="1" applyBorder="1" applyAlignment="1">
      <alignment horizontal="center" vertical="center"/>
    </xf>
    <xf numFmtId="0" fontId="1" fillId="0" borderId="2" xfId="2" applyFont="1" applyBorder="1" applyAlignment="1">
      <alignment vertical="center"/>
    </xf>
    <xf numFmtId="177" fontId="1" fillId="0" borderId="2" xfId="2" applyNumberFormat="1" applyBorder="1" applyAlignment="1">
      <alignment horizontal="center" vertical="center"/>
    </xf>
    <xf numFmtId="0" fontId="10" fillId="0" borderId="9" xfId="3" applyFont="1" applyFill="1" applyBorder="1" applyAlignment="1">
      <alignment vertical="center"/>
    </xf>
    <xf numFmtId="0" fontId="10" fillId="0" borderId="4" xfId="3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2" xfId="0" applyFill="1" applyBorder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2" xfId="0" applyFill="1" applyBorder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4" fillId="3" borderId="8" xfId="3" applyFont="1" applyFill="1" applyBorder="1" applyAlignment="1">
      <alignment horizontal="center" vertical="center"/>
    </xf>
    <xf numFmtId="0" fontId="4" fillId="3" borderId="8" xfId="3" applyFont="1" applyFill="1" applyBorder="1" applyAlignment="1">
      <alignment horizontal="center" vertical="center" shrinkToFit="1"/>
    </xf>
    <xf numFmtId="0" fontId="10" fillId="3" borderId="2" xfId="3" applyFont="1" applyFill="1" applyBorder="1" applyAlignment="1">
      <alignment horizontal="center" vertical="center"/>
    </xf>
    <xf numFmtId="0" fontId="10" fillId="3" borderId="10" xfId="3" applyFont="1" applyFill="1" applyBorder="1" applyAlignment="1">
      <alignment horizontal="center" vertical="center"/>
    </xf>
    <xf numFmtId="0" fontId="10" fillId="0" borderId="0" xfId="3" applyFont="1" applyFill="1" applyBorder="1" applyAlignment="1">
      <alignment vertical="center"/>
    </xf>
    <xf numFmtId="0" fontId="4" fillId="0" borderId="2" xfId="3" applyFont="1" applyBorder="1" applyAlignment="1">
      <alignment horizontal="center" vertical="center"/>
    </xf>
    <xf numFmtId="0" fontId="10" fillId="0" borderId="2" xfId="3" applyFont="1" applyFill="1" applyBorder="1" applyAlignment="1">
      <alignment vertical="center"/>
    </xf>
    <xf numFmtId="0" fontId="10" fillId="2" borderId="9" xfId="3" applyFont="1" applyFill="1" applyBorder="1" applyAlignment="1">
      <alignment vertical="center"/>
    </xf>
    <xf numFmtId="0" fontId="10" fillId="2" borderId="4" xfId="3" applyFont="1" applyFill="1" applyBorder="1" applyAlignment="1">
      <alignment vertical="center"/>
    </xf>
    <xf numFmtId="0" fontId="11" fillId="0" borderId="1" xfId="0" applyFont="1" applyBorder="1" applyAlignment="1">
      <alignment horizontal="center" vertical="center" wrapText="1" shrinkToFit="1"/>
    </xf>
    <xf numFmtId="179" fontId="11" fillId="0" borderId="1" xfId="0" applyNumberFormat="1" applyFont="1" applyBorder="1" applyAlignment="1">
      <alignment horizontal="center" vertical="center" wrapText="1" shrinkToFit="1"/>
    </xf>
    <xf numFmtId="180" fontId="11" fillId="0" borderId="1" xfId="0" applyNumberFormat="1" applyFont="1" applyBorder="1" applyAlignment="1">
      <alignment horizontal="center" vertical="center" wrapText="1" shrinkToFit="1"/>
    </xf>
    <xf numFmtId="0" fontId="11" fillId="0" borderId="0" xfId="0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0" fontId="11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distributed" vertical="center" indent="2"/>
    </xf>
    <xf numFmtId="0" fontId="6" fillId="0" borderId="1" xfId="3" applyFont="1" applyBorder="1" applyAlignment="1">
      <alignment horizontal="left" vertical="center" wrapText="1"/>
    </xf>
    <xf numFmtId="0" fontId="6" fillId="0" borderId="1" xfId="3" applyFont="1" applyBorder="1" applyAlignment="1">
      <alignment vertical="center" wrapText="1"/>
    </xf>
    <xf numFmtId="0" fontId="7" fillId="0" borderId="0" xfId="2" applyFont="1"/>
    <xf numFmtId="177" fontId="6" fillId="2" borderId="0" xfId="3" applyNumberFormat="1" applyFont="1" applyFill="1" applyAlignment="1">
      <alignment vertical="center"/>
    </xf>
    <xf numFmtId="0" fontId="0" fillId="0" borderId="2" xfId="0" applyBorder="1" applyAlignment="1">
      <alignment horizontal="center" vertical="center"/>
    </xf>
    <xf numFmtId="0" fontId="10" fillId="0" borderId="2" xfId="3" applyFont="1" applyFill="1" applyBorder="1" applyAlignment="1">
      <alignment horizontal="center" vertical="center"/>
    </xf>
    <xf numFmtId="0" fontId="4" fillId="0" borderId="1" xfId="3" applyFont="1" applyBorder="1" applyAlignment="1">
      <alignment vertical="center" shrinkToFit="1"/>
    </xf>
    <xf numFmtId="179" fontId="11" fillId="0" borderId="0" xfId="0" applyNumberFormat="1" applyFont="1" applyAlignment="1">
      <alignment horizontal="center" vertical="center"/>
    </xf>
    <xf numFmtId="180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1" fillId="0" borderId="0" xfId="0" applyNumberFormat="1" applyFont="1">
      <alignment vertical="center"/>
    </xf>
    <xf numFmtId="38" fontId="11" fillId="0" borderId="0" xfId="0" applyNumberFormat="1" applyFont="1">
      <alignment vertical="center"/>
    </xf>
    <xf numFmtId="0" fontId="4" fillId="0" borderId="0" xfId="3" applyFont="1" applyFill="1" applyBorder="1" applyAlignment="1">
      <alignment horizontal="center" vertical="center"/>
    </xf>
    <xf numFmtId="0" fontId="9" fillId="0" borderId="0" xfId="2" applyFont="1" applyFill="1" applyBorder="1" applyAlignment="1">
      <alignment horizontal="center" vertical="center"/>
    </xf>
    <xf numFmtId="0" fontId="4" fillId="0" borderId="0" xfId="3" applyFont="1" applyFill="1" applyBorder="1" applyAlignment="1">
      <alignment horizontal="center" vertical="center" shrinkToFit="1"/>
    </xf>
    <xf numFmtId="0" fontId="10" fillId="0" borderId="0" xfId="3" applyFont="1" applyFill="1" applyBorder="1" applyAlignment="1">
      <alignment horizontal="center" vertical="center"/>
    </xf>
    <xf numFmtId="0" fontId="4" fillId="0" borderId="0" xfId="3" applyBorder="1">
      <alignment vertical="center"/>
    </xf>
    <xf numFmtId="0" fontId="1" fillId="0" borderId="0" xfId="2" applyBorder="1"/>
    <xf numFmtId="0" fontId="1" fillId="0" borderId="0" xfId="2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0" xfId="2" applyFill="1" applyBorder="1" applyAlignment="1">
      <alignment horizontal="center"/>
    </xf>
    <xf numFmtId="176" fontId="4" fillId="0" borderId="1" xfId="3" applyNumberFormat="1" applyFont="1" applyBorder="1">
      <alignment vertical="center"/>
    </xf>
    <xf numFmtId="0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 applyAlignment="1">
      <alignment vertical="center" wrapText="1"/>
    </xf>
    <xf numFmtId="179" fontId="11" fillId="0" borderId="1" xfId="0" applyNumberFormat="1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14" fillId="0" borderId="0" xfId="0" applyFont="1">
      <alignment vertical="center"/>
    </xf>
    <xf numFmtId="0" fontId="0" fillId="3" borderId="11" xfId="0" applyFill="1" applyBorder="1" applyAlignment="1">
      <alignment horizontal="right" vertical="center"/>
    </xf>
    <xf numFmtId="0" fontId="0" fillId="0" borderId="9" xfId="0" applyFill="1" applyBorder="1">
      <alignment vertical="center"/>
    </xf>
    <xf numFmtId="0" fontId="0" fillId="0" borderId="4" xfId="0" applyFill="1" applyBorder="1">
      <alignment vertical="center"/>
    </xf>
    <xf numFmtId="0" fontId="0" fillId="3" borderId="2" xfId="0" applyFill="1" applyBorder="1" applyAlignment="1">
      <alignment vertical="center" shrinkToFit="1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vertical="center"/>
    </xf>
    <xf numFmtId="49" fontId="0" fillId="0" borderId="2" xfId="0" applyNumberFormat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2" xfId="0" applyFill="1" applyBorder="1">
      <alignment vertical="center"/>
    </xf>
    <xf numFmtId="0" fontId="0" fillId="0" borderId="3" xfId="0" applyFill="1" applyBorder="1" applyAlignment="1">
      <alignment vertical="center"/>
    </xf>
    <xf numFmtId="0" fontId="15" fillId="2" borderId="8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15" fillId="2" borderId="12" xfId="0" applyFont="1" applyFill="1" applyBorder="1" applyAlignment="1">
      <alignment vertical="center"/>
    </xf>
    <xf numFmtId="181" fontId="6" fillId="2" borderId="7" xfId="3" applyNumberFormat="1" applyFont="1" applyFill="1" applyBorder="1" applyAlignment="1">
      <alignment vertical="center"/>
    </xf>
    <xf numFmtId="181" fontId="0" fillId="2" borderId="7" xfId="0" applyNumberFormat="1" applyFill="1" applyBorder="1" applyAlignment="1">
      <alignment horizontal="center" vertical="center"/>
    </xf>
    <xf numFmtId="0" fontId="18" fillId="0" borderId="8" xfId="4" applyBorder="1">
      <alignment vertical="center"/>
    </xf>
    <xf numFmtId="0" fontId="18" fillId="2" borderId="8" xfId="4" applyFill="1" applyBorder="1" applyAlignment="1">
      <alignment vertical="center"/>
    </xf>
    <xf numFmtId="0" fontId="9" fillId="2" borderId="2" xfId="0" applyFont="1" applyFill="1" applyBorder="1" applyAlignment="1">
      <alignment horizontal="center" vertical="center"/>
    </xf>
    <xf numFmtId="181" fontId="0" fillId="2" borderId="0" xfId="0" applyNumberFormat="1" applyFill="1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" fillId="0" borderId="2" xfId="2" applyFont="1" applyBorder="1" applyAlignment="1">
      <alignment horizontal="center" vertical="center"/>
    </xf>
    <xf numFmtId="0" fontId="1" fillId="0" borderId="2" xfId="2" applyBorder="1" applyAlignment="1">
      <alignment horizontal="center" vertical="center"/>
    </xf>
    <xf numFmtId="0" fontId="10" fillId="3" borderId="8" xfId="3" applyFont="1" applyFill="1" applyBorder="1" applyAlignment="1">
      <alignment horizontal="center" vertical="center"/>
    </xf>
    <xf numFmtId="0" fontId="10" fillId="3" borderId="9" xfId="3" applyFont="1" applyFill="1" applyBorder="1" applyAlignment="1">
      <alignment horizontal="center" vertical="center"/>
    </xf>
    <xf numFmtId="0" fontId="10" fillId="2" borderId="8" xfId="3" applyFont="1" applyFill="1" applyBorder="1" applyAlignment="1">
      <alignment vertical="center"/>
    </xf>
    <xf numFmtId="0" fontId="10" fillId="2" borderId="4" xfId="3" applyFont="1" applyFill="1" applyBorder="1" applyAlignment="1">
      <alignment vertical="center"/>
    </xf>
    <xf numFmtId="0" fontId="1" fillId="0" borderId="11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181" fontId="8" fillId="2" borderId="0" xfId="3" applyNumberFormat="1" applyFont="1" applyFill="1" applyBorder="1" applyAlignment="1">
      <alignment horizontal="right" vertical="center" shrinkToFit="1"/>
    </xf>
    <xf numFmtId="0" fontId="4" fillId="3" borderId="2" xfId="3" applyFont="1" applyFill="1" applyBorder="1" applyAlignment="1">
      <alignment horizontal="center" vertical="center"/>
    </xf>
    <xf numFmtId="0" fontId="10" fillId="2" borderId="9" xfId="3" applyFont="1" applyFill="1" applyBorder="1" applyAlignment="1">
      <alignment vertical="center"/>
    </xf>
    <xf numFmtId="177" fontId="8" fillId="0" borderId="0" xfId="3" applyNumberFormat="1" applyFont="1" applyFill="1" applyBorder="1" applyAlignment="1">
      <alignment horizontal="right" vertical="center" shrinkToFit="1"/>
    </xf>
    <xf numFmtId="0" fontId="4" fillId="0" borderId="0" xfId="3" applyFont="1" applyFill="1" applyBorder="1" applyAlignment="1">
      <alignment horizontal="center" vertical="center"/>
    </xf>
    <xf numFmtId="0" fontId="10" fillId="0" borderId="0" xfId="3" applyFont="1" applyFill="1" applyBorder="1" applyAlignment="1">
      <alignment vertical="center"/>
    </xf>
    <xf numFmtId="0" fontId="0" fillId="0" borderId="0" xfId="0" applyBorder="1" applyAlignment="1">
      <alignment vertical="center" wrapText="1"/>
    </xf>
  </cellXfs>
  <cellStyles count="5">
    <cellStyle name="ハイパーリンク" xfId="4" builtinId="8"/>
    <cellStyle name="桁区切り" xfId="1" builtinId="6"/>
    <cellStyle name="標準" xfId="0" builtinId="0"/>
    <cellStyle name="標準_会社別在庫集計3" xfId="2" xr:uid="{00000000-0005-0000-0000-000003000000}"/>
    <cellStyle name="標準_日機装㈱23年3月31日" xfId="3" xr:uid="{00000000-0005-0000-0000-000004000000}"/>
  </cellStyles>
  <dxfs count="1">
    <dxf>
      <fill>
        <patternFill>
          <bgColor indexed="2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0</xdr:row>
          <xdr:rowOff>38100</xdr:rowOff>
        </xdr:from>
        <xdr:to>
          <xdr:col>11</xdr:col>
          <xdr:colOff>904875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0</xdr:row>
          <xdr:rowOff>28575</xdr:rowOff>
        </xdr:from>
        <xdr:to>
          <xdr:col>12</xdr:col>
          <xdr:colOff>142875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記録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17</xdr:row>
      <xdr:rowOff>0</xdr:rowOff>
    </xdr:from>
    <xdr:to>
      <xdr:col>4</xdr:col>
      <xdr:colOff>0</xdr:colOff>
      <xdr:row>18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0" y="1990725"/>
          <a:ext cx="1314450" cy="228600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2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5800" y="1762125"/>
          <a:ext cx="13144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kumimoji="1" lang="ja-JP" altLang="en-US" sz="1100"/>
            <a:t>年</a:t>
          </a:r>
          <a:r>
            <a:rPr kumimoji="1" lang="en-US" altLang="ja-JP" sz="1100"/>
            <a:t>/</a:t>
          </a:r>
          <a:r>
            <a:rPr kumimoji="1" lang="ja-JP" altLang="en-US" sz="1100"/>
            <a:t>月</a:t>
          </a:r>
          <a:r>
            <a:rPr kumimoji="1" lang="en-US" altLang="ja-JP" sz="1100"/>
            <a:t>/</a:t>
          </a:r>
          <a:r>
            <a:rPr kumimoji="1" lang="ja-JP" altLang="en-US" sz="1100"/>
            <a:t>日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114300</xdr:rowOff>
        </xdr:from>
        <xdr:to>
          <xdr:col>9</xdr:col>
          <xdr:colOff>314325</xdr:colOff>
          <xdr:row>2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428625</xdr:colOff>
          <xdr:row>1</xdr:row>
          <xdr:rowOff>114300</xdr:rowOff>
        </xdr:from>
        <xdr:to>
          <xdr:col>10</xdr:col>
          <xdr:colOff>590550</xdr:colOff>
          <xdr:row>2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記録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200025</xdr:colOff>
      <xdr:row>4</xdr:row>
      <xdr:rowOff>0</xdr:rowOff>
    </xdr:from>
    <xdr:ext cx="300595" cy="201850"/>
    <xdr:sp macro="" textlink="">
      <xdr:nvSpPr>
        <xdr:cNvPr id="1048" name="Text Box 24">
          <a:extLst>
            <a:ext uri="{FF2B5EF4-FFF2-40B4-BE49-F238E27FC236}">
              <a16:creationId xmlns:a16="http://schemas.microsoft.com/office/drawing/2014/main" id="{00000000-0008-0000-0100-000018040000}"/>
            </a:ext>
          </a:extLst>
        </xdr:cNvPr>
        <xdr:cNvSpPr txBox="1">
          <a:spLocks noChangeArrowheads="1"/>
        </xdr:cNvSpPr>
      </xdr:nvSpPr>
      <xdr:spPr bwMode="auto">
        <a:xfrm>
          <a:off x="200025" y="1104900"/>
          <a:ext cx="300595" cy="201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  <a:endParaRPr lang="ja-JP" altLang="en-US"/>
        </a:p>
      </xdr:txBody>
    </xdr:sp>
    <xdr:clientData fPrintsWithSheet="0"/>
  </xdr:oneCellAnchor>
  <xdr:oneCellAnchor>
    <xdr:from>
      <xdr:col>6</xdr:col>
      <xdr:colOff>742950</xdr:colOff>
      <xdr:row>3</xdr:row>
      <xdr:rowOff>228600</xdr:rowOff>
    </xdr:from>
    <xdr:ext cx="1537848" cy="530709"/>
    <xdr:sp macro="" textlink="">
      <xdr:nvSpPr>
        <xdr:cNvPr id="1049" name="Text Box 25">
          <a:extLs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SpPr txBox="1">
          <a:spLocks noChangeArrowheads="1"/>
        </xdr:cNvSpPr>
      </xdr:nvSpPr>
      <xdr:spPr bwMode="auto">
        <a:xfrm>
          <a:off x="5105400" y="914400"/>
          <a:ext cx="1499641" cy="568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ラジエ工業株式会社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高崎市大八木町168番地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電話 027-361-6101</a:t>
          </a:r>
          <a:endParaRPr lang="ja-JP" altLang="en-US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3</xdr:row>
          <xdr:rowOff>142875</xdr:rowOff>
        </xdr:from>
        <xdr:to>
          <xdr:col>9</xdr:col>
          <xdr:colOff>295275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952500</xdr:colOff>
      <xdr:row>3</xdr:row>
      <xdr:rowOff>9525</xdr:rowOff>
    </xdr:from>
    <xdr:to>
      <xdr:col>7</xdr:col>
      <xdr:colOff>219075</xdr:colOff>
      <xdr:row>4</xdr:row>
      <xdr:rowOff>28575</xdr:rowOff>
    </xdr:to>
    <xdr:sp macro="" textlink="">
      <xdr:nvSpPr>
        <xdr:cNvPr id="2050" name="Text Box 2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ChangeArrowheads="1"/>
        </xdr:cNvSpPr>
      </xdr:nvSpPr>
      <xdr:spPr bwMode="auto">
        <a:xfrm>
          <a:off x="3114675" y="523875"/>
          <a:ext cx="15621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22860" anchor="ctr" upright="1"/>
        <a:lstStyle/>
        <a:p>
          <a:pPr algn="dist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在庫証明書</a:t>
          </a:r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3</xdr:row>
          <xdr:rowOff>142875</xdr:rowOff>
        </xdr:from>
        <xdr:to>
          <xdr:col>9</xdr:col>
          <xdr:colOff>1028700</xdr:colOff>
          <xdr:row>5</xdr:row>
          <xdr:rowOff>66675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IT選別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1162050</xdr:colOff>
          <xdr:row>3</xdr:row>
          <xdr:rowOff>142875</xdr:rowOff>
        </xdr:from>
        <xdr:to>
          <xdr:col>9</xdr:col>
          <xdr:colOff>1771650</xdr:colOff>
          <xdr:row>5</xdr:row>
          <xdr:rowOff>66675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記録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0</xdr:rowOff>
    </xdr:from>
    <xdr:to>
      <xdr:col>5</xdr:col>
      <xdr:colOff>0</xdr:colOff>
      <xdr:row>9</xdr:row>
      <xdr:rowOff>9525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38150" y="1619250"/>
          <a:ext cx="1724025" cy="247650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1</xdr:col>
      <xdr:colOff>371474</xdr:colOff>
      <xdr:row>7</xdr:row>
      <xdr:rowOff>0</xdr:rowOff>
    </xdr:from>
    <xdr:to>
      <xdr:col>4</xdr:col>
      <xdr:colOff>657224</xdr:colOff>
      <xdr:row>8</xdr:row>
      <xdr:rowOff>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438149" y="1466850"/>
          <a:ext cx="172402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kumimoji="1" lang="ja-JP" altLang="en-US" sz="1100"/>
            <a:t>年</a:t>
          </a:r>
          <a:r>
            <a:rPr kumimoji="1" lang="en-US" altLang="ja-JP" sz="1100"/>
            <a:t>/</a:t>
          </a:r>
          <a:r>
            <a:rPr kumimoji="1" lang="ja-JP" altLang="en-US" sz="1100"/>
            <a:t>月</a:t>
          </a:r>
          <a:r>
            <a:rPr kumimoji="1" lang="en-US" altLang="ja-JP" sz="1100"/>
            <a:t>/</a:t>
          </a:r>
          <a:r>
            <a:rPr kumimoji="1" lang="ja-JP" altLang="en-US" sz="1100"/>
            <a:t>日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952500</xdr:colOff>
      <xdr:row>3</xdr:row>
      <xdr:rowOff>9525</xdr:rowOff>
    </xdr:from>
    <xdr:to>
      <xdr:col>7</xdr:col>
      <xdr:colOff>219075</xdr:colOff>
      <xdr:row>4</xdr:row>
      <xdr:rowOff>28575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3114675" y="523875"/>
          <a:ext cx="15621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22860" anchor="ctr" upright="1"/>
        <a:lstStyle/>
        <a:p>
          <a:pPr algn="dist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在庫証明書</a:t>
          </a:r>
          <a:endParaRPr lang="ja-JP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9525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RNTSVR-FS\Sv_cup\&#21942;&#26989;&#37096;&#29031;&#23556;&#35506;\&#22899;&#23376;&#20107;&#21209;&#29992;\&#39015;&#23458;&#22312;&#24235;&#22577;&#21578;\&#22577;&#21578;&#12487;&#12540;&#12479;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RNTSVR-FS\sv_cup\&#21942;&#26989;&#37096;&#29031;&#23556;&#35506;\&#23567;&#26519;&#12373;\&#12394;&#12395;&#12396;&#12397;&#12398;\&#26085;&#27231;&#35013;&#12849;&#38928;&#26360;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RNTSVR-FS\sv_cup\&#21942;&#26989;&#37096;&#29031;&#23556;&#35506;\&#23567;&#26519;&#12373;\&#12354;&#12356;&#12358;&#12360;&#12362;\&#12458;&#12522;&#12456;&#12531;&#12479;&#12523;&#37237;&#27597;&#24037;&#26989;&#22312;&#24235;&#34920;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220"/>
  <sheetViews>
    <sheetView showGridLines="0" tabSelected="1" zoomScaleNormal="100" workbookViewId="0">
      <pane xSplit="13" ySplit="12" topLeftCell="N13" activePane="bottomRight" state="frozen"/>
      <selection pane="topRight" activeCell="N1" sqref="N1"/>
      <selection pane="bottomLeft" activeCell="A13" sqref="A13"/>
      <selection pane="bottomRight" activeCell="E1" sqref="E1:F1"/>
    </sheetView>
  </sheetViews>
  <sheetFormatPr defaultRowHeight="13.5" x14ac:dyDescent="0.15"/>
  <cols>
    <col min="1" max="1" width="4.625" customWidth="1"/>
    <col min="2" max="2" width="4.375" customWidth="1"/>
    <col min="3" max="3" width="6" customWidth="1"/>
    <col min="4" max="4" width="11.25" customWidth="1"/>
    <col min="5" max="5" width="7.25" customWidth="1"/>
    <col min="6" max="6" width="5.5" customWidth="1"/>
    <col min="7" max="7" width="20.875" customWidth="1"/>
    <col min="8" max="11" width="6.5" customWidth="1"/>
    <col min="12" max="12" width="19.75" customWidth="1"/>
    <col min="13" max="13" width="5.75" customWidth="1"/>
    <col min="14" max="14" width="5.5" customWidth="1"/>
    <col min="15" max="18" width="0" hidden="1" customWidth="1"/>
  </cols>
  <sheetData>
    <row r="1" spans="1:19" ht="18" customHeight="1" x14ac:dyDescent="0.15">
      <c r="A1" s="66"/>
      <c r="B1" s="66"/>
      <c r="C1" s="66"/>
      <c r="D1" s="63" t="s">
        <v>18</v>
      </c>
      <c r="E1" s="131"/>
      <c r="F1" s="131"/>
      <c r="G1" s="64" t="s">
        <v>84</v>
      </c>
      <c r="H1" s="124" t="s">
        <v>102</v>
      </c>
      <c r="I1" s="123"/>
      <c r="M1" s="72"/>
      <c r="N1" s="72"/>
      <c r="O1" s="89" t="s">
        <v>59</v>
      </c>
      <c r="P1" s="72" t="str">
        <f>YEAR(NenGappi) &amp; RIGHT("00"&amp;MONTH(NenGappi),2)&amp;RIGHT("00"&amp;DAY(NenGappi),2)</f>
        <v>19000100</v>
      </c>
      <c r="Q1" s="72">
        <f>MAX(C21:C26)</f>
        <v>0</v>
      </c>
      <c r="R1" s="72"/>
      <c r="S1" s="72"/>
    </row>
    <row r="2" spans="1:19" ht="18" customHeight="1" x14ac:dyDescent="0.15">
      <c r="A2" s="66"/>
      <c r="B2" s="66"/>
      <c r="C2" s="66"/>
      <c r="G2" s="114" t="s">
        <v>80</v>
      </c>
      <c r="H2" s="126" t="s">
        <v>98</v>
      </c>
      <c r="I2" s="123"/>
      <c r="J2" s="66"/>
      <c r="K2" s="66"/>
      <c r="L2" s="66"/>
      <c r="M2" s="66"/>
      <c r="O2" s="88" t="s">
        <v>50</v>
      </c>
    </row>
    <row r="3" spans="1:19" ht="18" customHeight="1" x14ac:dyDescent="0.15">
      <c r="A3" s="66"/>
      <c r="B3" s="66"/>
      <c r="C3" s="66"/>
      <c r="D3" s="117" t="s">
        <v>73</v>
      </c>
      <c r="E3" s="129" t="s">
        <v>99</v>
      </c>
      <c r="F3" s="60"/>
      <c r="G3" s="60"/>
      <c r="H3" s="60"/>
      <c r="I3" s="60"/>
      <c r="J3" s="115"/>
      <c r="K3" s="115"/>
      <c r="L3" s="116"/>
      <c r="M3" s="66"/>
    </row>
    <row r="4" spans="1:19" ht="18" hidden="1" customHeight="1" x14ac:dyDescent="0.15">
      <c r="A4" s="66"/>
      <c r="B4" s="66"/>
      <c r="C4" s="66"/>
      <c r="D4" s="62"/>
      <c r="E4" s="62"/>
      <c r="F4" s="62"/>
      <c r="G4" s="62"/>
      <c r="H4" s="62"/>
      <c r="I4" s="62"/>
      <c r="J4" s="62"/>
      <c r="K4" s="62"/>
      <c r="L4" s="62"/>
      <c r="M4" s="66"/>
    </row>
    <row r="5" spans="1:19" ht="18" hidden="1" customHeight="1" x14ac:dyDescent="0.15">
      <c r="A5" s="66"/>
      <c r="B5" s="66"/>
      <c r="C5" s="66"/>
      <c r="D5" s="62"/>
      <c r="E5" s="62"/>
      <c r="F5" s="62"/>
      <c r="G5" s="62"/>
      <c r="H5" s="62"/>
      <c r="I5" s="62"/>
      <c r="J5" s="62"/>
      <c r="K5" s="62"/>
      <c r="L5" s="62"/>
      <c r="M5" s="66"/>
    </row>
    <row r="6" spans="1:19" ht="18" hidden="1" customHeight="1" x14ac:dyDescent="0.15">
      <c r="A6" s="66"/>
      <c r="B6" s="66"/>
      <c r="C6" s="66"/>
      <c r="D6" s="62"/>
      <c r="E6" s="62"/>
      <c r="F6" s="62"/>
      <c r="G6" s="62"/>
      <c r="H6" s="62"/>
      <c r="I6" s="62"/>
      <c r="J6" s="62"/>
      <c r="K6" s="62"/>
      <c r="L6" s="62"/>
      <c r="M6" s="66"/>
    </row>
    <row r="7" spans="1:19" ht="18" hidden="1" customHeight="1" x14ac:dyDescent="0.15">
      <c r="A7" s="66"/>
      <c r="B7" s="66"/>
      <c r="C7" s="66"/>
      <c r="D7" s="62"/>
      <c r="E7" s="62"/>
      <c r="F7" s="62"/>
      <c r="G7" s="62"/>
      <c r="H7" s="62"/>
      <c r="I7" s="62"/>
      <c r="J7" s="62"/>
      <c r="K7" s="62"/>
      <c r="L7" s="62"/>
      <c r="M7" s="66"/>
    </row>
    <row r="8" spans="1:19" ht="18" hidden="1" customHeight="1" x14ac:dyDescent="0.15">
      <c r="A8" s="66"/>
      <c r="B8" s="66"/>
      <c r="C8" s="66"/>
      <c r="D8" s="62"/>
      <c r="E8" s="62"/>
      <c r="F8" s="62"/>
      <c r="G8" s="62"/>
      <c r="H8" s="62"/>
      <c r="I8" s="62"/>
      <c r="J8" s="62"/>
      <c r="K8" s="62"/>
      <c r="L8" s="62"/>
      <c r="M8" s="66"/>
    </row>
    <row r="9" spans="1:19" ht="18" hidden="1" customHeight="1" x14ac:dyDescent="0.15">
      <c r="A9" s="66"/>
      <c r="B9" s="66"/>
      <c r="C9" s="66"/>
      <c r="D9" s="62"/>
      <c r="E9" s="62"/>
      <c r="F9" s="62"/>
      <c r="G9" s="62"/>
      <c r="H9" s="62"/>
      <c r="I9" s="62"/>
      <c r="J9" s="62"/>
      <c r="K9" s="62"/>
      <c r="L9" s="62"/>
      <c r="M9" s="66"/>
    </row>
    <row r="10" spans="1:19" ht="18" hidden="1" customHeight="1" x14ac:dyDescent="0.15">
      <c r="A10" s="66"/>
      <c r="B10" s="66"/>
      <c r="C10" s="66"/>
      <c r="D10" s="62"/>
      <c r="E10" s="62"/>
      <c r="F10" s="62"/>
      <c r="G10" s="62"/>
      <c r="H10" s="62"/>
      <c r="I10" s="62"/>
      <c r="J10" s="62"/>
      <c r="K10" s="62"/>
      <c r="L10" s="62"/>
      <c r="M10" s="66"/>
    </row>
    <row r="11" spans="1:19" ht="18" hidden="1" customHeight="1" x14ac:dyDescent="0.15">
      <c r="A11" s="66"/>
      <c r="B11" s="66"/>
      <c r="C11" s="66"/>
      <c r="D11" s="62"/>
      <c r="E11" s="62"/>
      <c r="F11" s="62"/>
      <c r="G11" s="62"/>
      <c r="H11" s="62"/>
      <c r="I11" s="62"/>
      <c r="J11" s="62"/>
      <c r="K11" s="62"/>
      <c r="L11" s="62"/>
      <c r="M11" s="66"/>
    </row>
    <row r="12" spans="1:19" s="48" customFormat="1" ht="18" customHeight="1" x14ac:dyDescent="0.15">
      <c r="A12" s="67"/>
      <c r="B12" s="67"/>
      <c r="C12" s="67"/>
      <c r="D12" s="65" t="s">
        <v>52</v>
      </c>
      <c r="E12" s="134"/>
      <c r="F12" s="135"/>
      <c r="G12" s="136"/>
      <c r="H12" s="67"/>
      <c r="I12" s="67"/>
      <c r="J12" s="67"/>
      <c r="K12" s="67"/>
      <c r="L12" s="67"/>
      <c r="M12" s="67"/>
    </row>
    <row r="13" spans="1:19" ht="18" customHeight="1" x14ac:dyDescent="0.15">
      <c r="C13" s="113"/>
      <c r="D13" s="113"/>
      <c r="K13" s="51" t="s">
        <v>63</v>
      </c>
      <c r="L13" s="128"/>
    </row>
    <row r="14" spans="1:19" ht="18" customHeight="1" x14ac:dyDescent="0.15">
      <c r="C14" s="113"/>
      <c r="D14" s="113"/>
      <c r="E14" s="137" t="s">
        <v>96</v>
      </c>
      <c r="F14" s="137"/>
      <c r="G14" s="137"/>
      <c r="H14" s="137"/>
      <c r="I14" s="137"/>
      <c r="J14" s="137"/>
      <c r="K14" s="137"/>
      <c r="L14" s="125"/>
    </row>
    <row r="15" spans="1:19" ht="12.75" customHeight="1" x14ac:dyDescent="0.15"/>
    <row r="16" spans="1:19" ht="18" customHeight="1" x14ac:dyDescent="0.15">
      <c r="C16" s="133"/>
      <c r="D16" s="133"/>
      <c r="E16" s="133"/>
      <c r="F16" s="133"/>
      <c r="G16" s="133"/>
    </row>
    <row r="17" spans="2:15" ht="18" customHeight="1" x14ac:dyDescent="0.15">
      <c r="J17" t="s">
        <v>74</v>
      </c>
    </row>
    <row r="18" spans="2:15" ht="18" customHeight="1" x14ac:dyDescent="0.15">
      <c r="B18" s="113"/>
      <c r="C18" s="132"/>
      <c r="D18" s="132"/>
      <c r="E18" t="s">
        <v>61</v>
      </c>
      <c r="J18" t="s">
        <v>33</v>
      </c>
    </row>
    <row r="19" spans="2:15" ht="18" customHeight="1" x14ac:dyDescent="0.15">
      <c r="C19" t="s">
        <v>97</v>
      </c>
      <c r="J19" t="s">
        <v>57</v>
      </c>
    </row>
    <row r="20" spans="2:15" s="49" customFormat="1" ht="25.5" customHeight="1" x14ac:dyDescent="0.15">
      <c r="C20" s="50" t="s">
        <v>31</v>
      </c>
      <c r="D20" s="50" t="s">
        <v>8</v>
      </c>
      <c r="E20" s="50" t="s">
        <v>10</v>
      </c>
      <c r="F20" s="77" t="s">
        <v>5</v>
      </c>
      <c r="G20" s="83" t="s">
        <v>21</v>
      </c>
      <c r="H20" s="50" t="s">
        <v>12</v>
      </c>
      <c r="I20" s="50" t="s">
        <v>11</v>
      </c>
      <c r="J20" s="50" t="s">
        <v>62</v>
      </c>
      <c r="K20" s="50" t="s">
        <v>75</v>
      </c>
      <c r="L20" s="83" t="s">
        <v>60</v>
      </c>
    </row>
    <row r="21" spans="2:15" s="80" customFormat="1" ht="18.75" x14ac:dyDescent="0.15">
      <c r="C21" s="77"/>
      <c r="D21" s="109"/>
      <c r="E21" s="110"/>
      <c r="F21" s="50"/>
      <c r="G21" s="82"/>
      <c r="H21" s="107"/>
      <c r="I21" s="108"/>
      <c r="J21" s="108"/>
      <c r="K21" s="108"/>
      <c r="L21" s="82"/>
      <c r="O21" s="81">
        <v>1</v>
      </c>
    </row>
    <row r="22" spans="2:15" s="49" customFormat="1" ht="18.75" x14ac:dyDescent="0.15">
      <c r="C22" s="50"/>
      <c r="D22" s="109"/>
      <c r="E22" s="110"/>
      <c r="F22" s="50"/>
      <c r="G22" s="82"/>
      <c r="H22" s="107"/>
      <c r="I22" s="108"/>
      <c r="J22" s="108"/>
      <c r="K22" s="108"/>
      <c r="L22" s="82"/>
      <c r="O22" s="81"/>
    </row>
    <row r="23" spans="2:15" s="49" customFormat="1" ht="18.75" x14ac:dyDescent="0.15">
      <c r="C23" s="50"/>
      <c r="D23" s="109"/>
      <c r="E23" s="110"/>
      <c r="F23" s="50"/>
      <c r="G23" s="82"/>
      <c r="H23" s="107"/>
      <c r="I23" s="108"/>
      <c r="J23" s="108"/>
      <c r="K23" s="108"/>
      <c r="L23" s="82"/>
      <c r="O23" s="81">
        <v>3</v>
      </c>
    </row>
    <row r="24" spans="2:15" s="49" customFormat="1" ht="18.75" x14ac:dyDescent="0.15">
      <c r="C24" s="50"/>
      <c r="D24" s="109"/>
      <c r="E24" s="110"/>
      <c r="F24" s="50"/>
      <c r="G24" s="82"/>
      <c r="H24" s="107"/>
      <c r="I24" s="108"/>
      <c r="J24" s="108"/>
      <c r="K24" s="108"/>
      <c r="L24" s="82"/>
      <c r="O24" s="81">
        <v>4</v>
      </c>
    </row>
    <row r="25" spans="2:15" s="49" customFormat="1" ht="18.75" x14ac:dyDescent="0.15">
      <c r="C25" s="50"/>
      <c r="D25" s="109"/>
      <c r="E25" s="110"/>
      <c r="F25" s="50"/>
      <c r="G25" s="82"/>
      <c r="H25" s="107"/>
      <c r="I25" s="108"/>
      <c r="J25" s="108"/>
      <c r="K25" s="108"/>
      <c r="L25" s="82"/>
      <c r="O25" s="81">
        <v>5</v>
      </c>
    </row>
    <row r="26" spans="2:15" s="49" customFormat="1" ht="18.75" x14ac:dyDescent="0.15">
      <c r="C26" s="50"/>
      <c r="D26" s="109"/>
      <c r="E26" s="110"/>
      <c r="F26" s="50"/>
      <c r="G26" s="82"/>
      <c r="H26" s="107"/>
      <c r="I26" s="108"/>
      <c r="J26" s="108"/>
      <c r="K26" s="108"/>
      <c r="L26" s="82"/>
      <c r="O26" s="81">
        <v>6</v>
      </c>
    </row>
    <row r="27" spans="2:15" s="49" customFormat="1" ht="18.75" x14ac:dyDescent="0.15">
      <c r="C27" s="50"/>
      <c r="D27" s="109"/>
      <c r="E27" s="110"/>
      <c r="F27" s="50"/>
      <c r="G27" s="82"/>
      <c r="H27" s="107"/>
      <c r="I27" s="108"/>
      <c r="J27" s="108"/>
      <c r="K27" s="108"/>
      <c r="L27" s="82"/>
      <c r="O27" s="81">
        <v>7</v>
      </c>
    </row>
    <row r="28" spans="2:15" s="49" customFormat="1" ht="18.75" x14ac:dyDescent="0.15">
      <c r="C28" s="50"/>
      <c r="D28" s="109"/>
      <c r="E28" s="110"/>
      <c r="F28" s="50"/>
      <c r="G28" s="82"/>
      <c r="H28" s="107"/>
      <c r="I28" s="108"/>
      <c r="J28" s="108"/>
      <c r="K28" s="108"/>
      <c r="L28" s="82"/>
      <c r="O28" s="81">
        <v>8</v>
      </c>
    </row>
    <row r="29" spans="2:15" s="49" customFormat="1" ht="18.75" x14ac:dyDescent="0.15">
      <c r="C29" s="50"/>
      <c r="D29" s="109"/>
      <c r="E29" s="110"/>
      <c r="F29" s="50"/>
      <c r="G29" s="82"/>
      <c r="H29" s="107"/>
      <c r="I29" s="108"/>
      <c r="J29" s="108"/>
      <c r="K29" s="108"/>
      <c r="L29" s="82"/>
      <c r="O29" s="81">
        <v>9</v>
      </c>
    </row>
    <row r="30" spans="2:15" s="49" customFormat="1" ht="18.75" x14ac:dyDescent="0.15">
      <c r="C30" s="50"/>
      <c r="D30" s="109"/>
      <c r="E30" s="110"/>
      <c r="F30" s="50"/>
      <c r="G30" s="82"/>
      <c r="H30" s="107"/>
      <c r="I30" s="108"/>
      <c r="J30" s="108"/>
      <c r="K30" s="108"/>
      <c r="L30" s="82"/>
      <c r="O30" s="81">
        <v>10</v>
      </c>
    </row>
    <row r="31" spans="2:15" s="49" customFormat="1" ht="18.75" x14ac:dyDescent="0.15">
      <c r="C31" s="50"/>
      <c r="D31" s="109"/>
      <c r="E31" s="110"/>
      <c r="F31" s="50"/>
      <c r="G31" s="82"/>
      <c r="H31" s="107"/>
      <c r="I31" s="108"/>
      <c r="J31" s="108"/>
      <c r="K31" s="108"/>
      <c r="L31" s="82"/>
      <c r="O31" s="81">
        <v>11</v>
      </c>
    </row>
    <row r="32" spans="2:15" s="49" customFormat="1" ht="18.75" x14ac:dyDescent="0.15">
      <c r="C32" s="50"/>
      <c r="D32" s="109"/>
      <c r="E32" s="110"/>
      <c r="F32" s="50"/>
      <c r="G32" s="82"/>
      <c r="H32" s="107"/>
      <c r="I32" s="108"/>
      <c r="J32" s="108"/>
      <c r="K32" s="108"/>
      <c r="L32" s="82"/>
      <c r="O32" s="81">
        <v>12</v>
      </c>
    </row>
    <row r="33" spans="3:15" s="49" customFormat="1" ht="18.75" x14ac:dyDescent="0.15">
      <c r="C33" s="50"/>
      <c r="D33" s="109"/>
      <c r="E33" s="110"/>
      <c r="F33" s="50"/>
      <c r="G33" s="82"/>
      <c r="H33" s="107"/>
      <c r="I33" s="108"/>
      <c r="J33" s="108"/>
      <c r="K33" s="108"/>
      <c r="L33" s="82"/>
      <c r="O33" s="81">
        <v>13</v>
      </c>
    </row>
    <row r="34" spans="3:15" s="49" customFormat="1" ht="18.75" x14ac:dyDescent="0.15">
      <c r="C34" s="50"/>
      <c r="D34" s="109"/>
      <c r="E34" s="110"/>
      <c r="F34" s="50"/>
      <c r="G34" s="82"/>
      <c r="H34" s="107"/>
      <c r="I34" s="108"/>
      <c r="J34" s="108"/>
      <c r="K34" s="108"/>
      <c r="L34" s="82"/>
      <c r="O34" s="81">
        <v>14</v>
      </c>
    </row>
    <row r="35" spans="3:15" s="49" customFormat="1" ht="18.75" x14ac:dyDescent="0.15">
      <c r="C35" s="50"/>
      <c r="D35" s="109"/>
      <c r="E35" s="110"/>
      <c r="F35" s="50"/>
      <c r="G35" s="82"/>
      <c r="H35" s="107"/>
      <c r="I35" s="108"/>
      <c r="J35" s="108"/>
      <c r="K35" s="108"/>
      <c r="L35" s="82"/>
      <c r="O35" s="81">
        <v>15</v>
      </c>
    </row>
    <row r="36" spans="3:15" s="49" customFormat="1" ht="18.75" x14ac:dyDescent="0.15">
      <c r="C36" s="50"/>
      <c r="D36" s="109"/>
      <c r="E36" s="110"/>
      <c r="F36" s="50"/>
      <c r="G36" s="82"/>
      <c r="H36" s="107"/>
      <c r="I36" s="108"/>
      <c r="J36" s="108"/>
      <c r="K36" s="108"/>
      <c r="L36" s="82"/>
      <c r="O36" s="81">
        <v>16</v>
      </c>
    </row>
    <row r="37" spans="3:15" s="49" customFormat="1" ht="18.75" x14ac:dyDescent="0.15">
      <c r="C37" s="50"/>
      <c r="D37" s="109"/>
      <c r="E37" s="110"/>
      <c r="F37" s="50"/>
      <c r="G37" s="82"/>
      <c r="H37" s="107"/>
      <c r="I37" s="108"/>
      <c r="J37" s="108"/>
      <c r="K37" s="108"/>
      <c r="L37" s="82"/>
      <c r="O37" s="81">
        <v>17</v>
      </c>
    </row>
    <row r="38" spans="3:15" s="49" customFormat="1" ht="18.75" x14ac:dyDescent="0.15">
      <c r="C38" s="50"/>
      <c r="D38" s="109"/>
      <c r="E38" s="110"/>
      <c r="F38" s="50"/>
      <c r="G38" s="82"/>
      <c r="H38" s="107"/>
      <c r="I38" s="108"/>
      <c r="J38" s="108"/>
      <c r="K38" s="108"/>
      <c r="L38" s="82"/>
      <c r="O38" s="81">
        <v>18</v>
      </c>
    </row>
    <row r="39" spans="3:15" s="49" customFormat="1" ht="18.75" x14ac:dyDescent="0.15">
      <c r="C39" s="50"/>
      <c r="D39" s="109"/>
      <c r="E39" s="110"/>
      <c r="F39" s="50"/>
      <c r="G39" s="82"/>
      <c r="H39" s="107"/>
      <c r="I39" s="108"/>
      <c r="J39" s="108"/>
      <c r="K39" s="108"/>
      <c r="L39" s="82"/>
      <c r="O39" s="81">
        <v>19</v>
      </c>
    </row>
    <row r="40" spans="3:15" s="49" customFormat="1" ht="18.75" x14ac:dyDescent="0.15">
      <c r="C40" s="50"/>
      <c r="D40" s="109"/>
      <c r="E40" s="110"/>
      <c r="F40" s="50"/>
      <c r="G40" s="82"/>
      <c r="H40" s="107"/>
      <c r="I40" s="108"/>
      <c r="J40" s="108"/>
      <c r="K40" s="108"/>
      <c r="L40" s="82"/>
      <c r="O40" s="81">
        <v>20</v>
      </c>
    </row>
    <row r="41" spans="3:15" s="49" customFormat="1" ht="18.75" x14ac:dyDescent="0.15">
      <c r="C41" s="50"/>
      <c r="D41" s="109"/>
      <c r="E41" s="110"/>
      <c r="F41" s="50"/>
      <c r="G41" s="82"/>
      <c r="H41" s="107"/>
      <c r="I41" s="108"/>
      <c r="J41" s="108"/>
      <c r="K41" s="108"/>
      <c r="L41" s="82"/>
      <c r="O41" s="81">
        <v>21</v>
      </c>
    </row>
    <row r="42" spans="3:15" s="49" customFormat="1" ht="18.75" x14ac:dyDescent="0.15">
      <c r="C42" s="50"/>
      <c r="D42" s="109"/>
      <c r="E42" s="110"/>
      <c r="F42" s="50"/>
      <c r="G42" s="82"/>
      <c r="H42" s="107"/>
      <c r="I42" s="108"/>
      <c r="J42" s="108"/>
      <c r="K42" s="108"/>
      <c r="L42" s="82"/>
      <c r="O42" s="81">
        <v>22</v>
      </c>
    </row>
    <row r="43" spans="3:15" s="49" customFormat="1" ht="18.75" x14ac:dyDescent="0.15">
      <c r="C43" s="50"/>
      <c r="D43" s="109"/>
      <c r="E43" s="110"/>
      <c r="F43" s="50"/>
      <c r="G43" s="82"/>
      <c r="H43" s="107"/>
      <c r="I43" s="108"/>
      <c r="J43" s="108"/>
      <c r="K43" s="108"/>
      <c r="L43" s="82"/>
      <c r="O43" s="81">
        <v>23</v>
      </c>
    </row>
    <row r="44" spans="3:15" s="49" customFormat="1" ht="18.75" x14ac:dyDescent="0.15">
      <c r="C44" s="50"/>
      <c r="D44" s="109"/>
      <c r="E44" s="110"/>
      <c r="F44" s="50"/>
      <c r="G44" s="82"/>
      <c r="H44" s="107"/>
      <c r="I44" s="108"/>
      <c r="J44" s="108"/>
      <c r="K44" s="108"/>
      <c r="L44" s="82"/>
      <c r="O44" s="81">
        <v>24</v>
      </c>
    </row>
    <row r="45" spans="3:15" s="49" customFormat="1" ht="18.75" x14ac:dyDescent="0.15">
      <c r="C45" s="50"/>
      <c r="D45" s="109"/>
      <c r="E45" s="110"/>
      <c r="F45" s="50"/>
      <c r="G45" s="82"/>
      <c r="H45" s="107"/>
      <c r="I45" s="108"/>
      <c r="J45" s="108"/>
      <c r="K45" s="108"/>
      <c r="L45" s="82"/>
      <c r="O45" s="81">
        <v>25</v>
      </c>
    </row>
    <row r="46" spans="3:15" s="49" customFormat="1" ht="18.75" x14ac:dyDescent="0.15">
      <c r="C46" s="50"/>
      <c r="D46" s="109"/>
      <c r="E46" s="110"/>
      <c r="F46" s="50"/>
      <c r="G46" s="82"/>
      <c r="H46" s="107"/>
      <c r="I46" s="108"/>
      <c r="J46" s="108"/>
      <c r="K46" s="108"/>
      <c r="L46" s="82"/>
      <c r="O46" s="81">
        <v>26</v>
      </c>
    </row>
    <row r="47" spans="3:15" s="49" customFormat="1" ht="18.75" x14ac:dyDescent="0.15">
      <c r="C47" s="50"/>
      <c r="D47" s="109"/>
      <c r="E47" s="110"/>
      <c r="F47" s="50"/>
      <c r="G47" s="82"/>
      <c r="H47" s="107"/>
      <c r="I47" s="108"/>
      <c r="J47" s="108"/>
      <c r="K47" s="108"/>
      <c r="L47" s="82"/>
      <c r="O47" s="81">
        <v>27</v>
      </c>
    </row>
    <row r="48" spans="3:15" s="49" customFormat="1" ht="18.75" x14ac:dyDescent="0.15">
      <c r="C48" s="50"/>
      <c r="D48" s="109"/>
      <c r="E48" s="110"/>
      <c r="F48" s="50"/>
      <c r="G48" s="82"/>
      <c r="H48" s="107"/>
      <c r="I48" s="108"/>
      <c r="J48" s="108"/>
      <c r="K48" s="108"/>
      <c r="L48" s="82"/>
      <c r="O48" s="81">
        <v>28</v>
      </c>
    </row>
    <row r="49" spans="3:15" s="49" customFormat="1" ht="18.75" x14ac:dyDescent="0.15">
      <c r="C49" s="50"/>
      <c r="D49" s="109"/>
      <c r="E49" s="110"/>
      <c r="F49" s="50"/>
      <c r="G49" s="82"/>
      <c r="H49" s="107"/>
      <c r="I49" s="108"/>
      <c r="J49" s="108"/>
      <c r="K49" s="108"/>
      <c r="L49" s="82"/>
      <c r="O49" s="81">
        <v>29</v>
      </c>
    </row>
    <row r="50" spans="3:15" s="49" customFormat="1" ht="18.75" x14ac:dyDescent="0.15">
      <c r="C50" s="50"/>
      <c r="D50" s="109"/>
      <c r="E50" s="110"/>
      <c r="F50" s="50"/>
      <c r="G50" s="82"/>
      <c r="H50" s="107"/>
      <c r="I50" s="108"/>
      <c r="J50" s="108"/>
      <c r="K50" s="108"/>
      <c r="L50" s="82"/>
      <c r="O50" s="81">
        <v>30</v>
      </c>
    </row>
    <row r="51" spans="3:15" s="49" customFormat="1" ht="18.75" x14ac:dyDescent="0.15">
      <c r="C51" s="50"/>
      <c r="D51" s="109"/>
      <c r="E51" s="110"/>
      <c r="F51" s="50"/>
      <c r="G51" s="82"/>
      <c r="H51" s="107"/>
      <c r="I51" s="108"/>
      <c r="J51" s="108"/>
      <c r="K51" s="108"/>
      <c r="L51" s="82"/>
      <c r="O51" s="81">
        <v>31</v>
      </c>
    </row>
    <row r="52" spans="3:15" s="49" customFormat="1" ht="18.75" x14ac:dyDescent="0.15">
      <c r="C52" s="50"/>
      <c r="D52" s="109"/>
      <c r="E52" s="110"/>
      <c r="F52" s="50"/>
      <c r="G52" s="82"/>
      <c r="H52" s="107"/>
      <c r="I52" s="108"/>
      <c r="J52" s="108"/>
      <c r="K52" s="108"/>
      <c r="L52" s="82"/>
      <c r="O52" s="81">
        <v>32</v>
      </c>
    </row>
    <row r="53" spans="3:15" s="49" customFormat="1" ht="18.75" x14ac:dyDescent="0.15">
      <c r="C53" s="50"/>
      <c r="D53" s="109"/>
      <c r="E53" s="110"/>
      <c r="F53" s="50"/>
      <c r="G53" s="82"/>
      <c r="H53" s="107"/>
      <c r="I53" s="108"/>
      <c r="J53" s="108"/>
      <c r="K53" s="108"/>
      <c r="L53" s="82"/>
      <c r="O53" s="81">
        <v>33</v>
      </c>
    </row>
    <row r="54" spans="3:15" s="49" customFormat="1" ht="18.75" x14ac:dyDescent="0.15">
      <c r="C54" s="50"/>
      <c r="D54" s="109"/>
      <c r="E54" s="110"/>
      <c r="F54" s="50"/>
      <c r="G54" s="82"/>
      <c r="H54" s="107"/>
      <c r="I54" s="108"/>
      <c r="J54" s="108"/>
      <c r="K54" s="108"/>
      <c r="L54" s="82"/>
      <c r="O54" s="81">
        <v>34</v>
      </c>
    </row>
    <row r="55" spans="3:15" s="49" customFormat="1" ht="18.75" x14ac:dyDescent="0.15">
      <c r="C55" s="50"/>
      <c r="D55" s="109"/>
      <c r="E55" s="110"/>
      <c r="F55" s="50"/>
      <c r="G55" s="82"/>
      <c r="H55" s="107"/>
      <c r="I55" s="108"/>
      <c r="J55" s="108"/>
      <c r="K55" s="108"/>
      <c r="L55" s="82"/>
      <c r="O55" s="81">
        <v>35</v>
      </c>
    </row>
    <row r="56" spans="3:15" s="49" customFormat="1" ht="18.75" x14ac:dyDescent="0.15">
      <c r="C56" s="50"/>
      <c r="D56" s="109"/>
      <c r="E56" s="110"/>
      <c r="F56" s="50"/>
      <c r="G56" s="82"/>
      <c r="H56" s="107"/>
      <c r="I56" s="108"/>
      <c r="J56" s="108"/>
      <c r="K56" s="108"/>
      <c r="L56" s="82"/>
      <c r="O56" s="81">
        <v>36</v>
      </c>
    </row>
    <row r="57" spans="3:15" s="49" customFormat="1" ht="18.75" x14ac:dyDescent="0.15">
      <c r="C57" s="50"/>
      <c r="D57" s="109"/>
      <c r="E57" s="110"/>
      <c r="F57" s="50"/>
      <c r="G57" s="82"/>
      <c r="H57" s="107"/>
      <c r="I57" s="108"/>
      <c r="J57" s="108"/>
      <c r="K57" s="108"/>
      <c r="L57" s="82"/>
      <c r="O57" s="81">
        <v>37</v>
      </c>
    </row>
    <row r="58" spans="3:15" s="49" customFormat="1" ht="18.75" x14ac:dyDescent="0.15">
      <c r="C58" s="50"/>
      <c r="D58" s="109"/>
      <c r="E58" s="110"/>
      <c r="F58" s="50"/>
      <c r="G58" s="82"/>
      <c r="H58" s="107"/>
      <c r="I58" s="108"/>
      <c r="J58" s="108"/>
      <c r="K58" s="108"/>
      <c r="L58" s="82"/>
      <c r="O58" s="81">
        <v>38</v>
      </c>
    </row>
    <row r="59" spans="3:15" s="49" customFormat="1" ht="18.75" x14ac:dyDescent="0.15">
      <c r="C59" s="50"/>
      <c r="D59" s="109"/>
      <c r="E59" s="110"/>
      <c r="F59" s="50"/>
      <c r="G59" s="82"/>
      <c r="H59" s="107"/>
      <c r="I59" s="108"/>
      <c r="J59" s="108"/>
      <c r="K59" s="108"/>
      <c r="L59" s="82"/>
      <c r="O59" s="81">
        <v>39</v>
      </c>
    </row>
    <row r="60" spans="3:15" s="49" customFormat="1" ht="18.75" x14ac:dyDescent="0.15">
      <c r="C60" s="50"/>
      <c r="D60" s="109"/>
      <c r="E60" s="110"/>
      <c r="F60" s="50"/>
      <c r="G60" s="82"/>
      <c r="H60" s="107"/>
      <c r="I60" s="108"/>
      <c r="J60" s="108"/>
      <c r="K60" s="108"/>
      <c r="L60" s="82"/>
      <c r="O60" s="81">
        <v>40</v>
      </c>
    </row>
    <row r="61" spans="3:15" s="49" customFormat="1" ht="18.75" x14ac:dyDescent="0.15">
      <c r="C61" s="50"/>
      <c r="D61" s="109"/>
      <c r="E61" s="110"/>
      <c r="F61" s="50"/>
      <c r="G61" s="82"/>
      <c r="H61" s="107"/>
      <c r="I61" s="108"/>
      <c r="J61" s="108"/>
      <c r="K61" s="108"/>
      <c r="L61" s="82"/>
      <c r="O61" s="81">
        <v>41</v>
      </c>
    </row>
    <row r="62" spans="3:15" s="49" customFormat="1" ht="18.75" x14ac:dyDescent="0.15">
      <c r="C62" s="50"/>
      <c r="D62" s="109"/>
      <c r="E62" s="110"/>
      <c r="F62" s="50"/>
      <c r="G62" s="82"/>
      <c r="H62" s="107"/>
      <c r="I62" s="108"/>
      <c r="J62" s="108"/>
      <c r="K62" s="108"/>
      <c r="L62" s="82"/>
      <c r="O62" s="81">
        <v>42</v>
      </c>
    </row>
    <row r="63" spans="3:15" s="49" customFormat="1" ht="18.75" x14ac:dyDescent="0.15">
      <c r="C63" s="50"/>
      <c r="D63" s="109"/>
      <c r="E63" s="110"/>
      <c r="F63" s="50"/>
      <c r="G63" s="82"/>
      <c r="H63" s="107"/>
      <c r="I63" s="108"/>
      <c r="J63" s="108"/>
      <c r="K63" s="108"/>
      <c r="L63" s="82"/>
      <c r="O63" s="81">
        <v>43</v>
      </c>
    </row>
    <row r="64" spans="3:15" s="49" customFormat="1" ht="18.75" x14ac:dyDescent="0.15">
      <c r="C64" s="50"/>
      <c r="D64" s="109"/>
      <c r="E64" s="110"/>
      <c r="F64" s="50"/>
      <c r="G64" s="82"/>
      <c r="H64" s="107"/>
      <c r="I64" s="108"/>
      <c r="J64" s="108"/>
      <c r="K64" s="108"/>
      <c r="L64" s="82"/>
      <c r="O64" s="81">
        <v>44</v>
      </c>
    </row>
    <row r="65" spans="3:15" s="49" customFormat="1" ht="18.75" x14ac:dyDescent="0.15">
      <c r="C65" s="50"/>
      <c r="D65" s="109"/>
      <c r="E65" s="110"/>
      <c r="F65" s="50"/>
      <c r="G65" s="82"/>
      <c r="H65" s="107"/>
      <c r="I65" s="108"/>
      <c r="J65" s="108"/>
      <c r="K65" s="108"/>
      <c r="L65" s="82"/>
      <c r="O65" s="81">
        <v>45</v>
      </c>
    </row>
    <row r="66" spans="3:15" s="49" customFormat="1" ht="18.75" x14ac:dyDescent="0.15">
      <c r="C66" s="50"/>
      <c r="D66" s="109"/>
      <c r="E66" s="110"/>
      <c r="F66" s="50"/>
      <c r="G66" s="82"/>
      <c r="H66" s="107"/>
      <c r="I66" s="108"/>
      <c r="J66" s="108"/>
      <c r="K66" s="108"/>
      <c r="L66" s="82"/>
      <c r="O66" s="81">
        <v>46</v>
      </c>
    </row>
    <row r="67" spans="3:15" s="49" customFormat="1" ht="18.75" x14ac:dyDescent="0.15">
      <c r="C67" s="50"/>
      <c r="D67" s="109"/>
      <c r="E67" s="110"/>
      <c r="F67" s="50"/>
      <c r="G67" s="82"/>
      <c r="H67" s="107"/>
      <c r="I67" s="108"/>
      <c r="J67" s="108"/>
      <c r="K67" s="108"/>
      <c r="L67" s="82"/>
      <c r="O67" s="81">
        <v>47</v>
      </c>
    </row>
    <row r="68" spans="3:15" s="49" customFormat="1" ht="18.75" x14ac:dyDescent="0.15">
      <c r="C68" s="50"/>
      <c r="D68" s="109"/>
      <c r="E68" s="110"/>
      <c r="F68" s="50"/>
      <c r="G68" s="82"/>
      <c r="H68" s="107"/>
      <c r="I68" s="108"/>
      <c r="J68" s="108"/>
      <c r="K68" s="108"/>
      <c r="L68" s="82"/>
      <c r="O68" s="81">
        <v>48</v>
      </c>
    </row>
    <row r="69" spans="3:15" s="49" customFormat="1" ht="18.75" x14ac:dyDescent="0.15">
      <c r="C69" s="50"/>
      <c r="D69" s="109"/>
      <c r="E69" s="110"/>
      <c r="F69" s="50"/>
      <c r="G69" s="82"/>
      <c r="H69" s="107"/>
      <c r="I69" s="108"/>
      <c r="J69" s="108"/>
      <c r="K69" s="108"/>
      <c r="L69" s="82"/>
      <c r="O69" s="81">
        <v>49</v>
      </c>
    </row>
    <row r="70" spans="3:15" s="49" customFormat="1" ht="18.75" x14ac:dyDescent="0.15">
      <c r="C70" s="50"/>
      <c r="D70" s="109"/>
      <c r="E70" s="110"/>
      <c r="F70" s="50"/>
      <c r="G70" s="82"/>
      <c r="H70" s="107"/>
      <c r="I70" s="108"/>
      <c r="J70" s="108"/>
      <c r="K70" s="108"/>
      <c r="L70" s="82"/>
      <c r="O70" s="81">
        <v>50</v>
      </c>
    </row>
    <row r="71" spans="3:15" s="49" customFormat="1" ht="18.75" x14ac:dyDescent="0.15">
      <c r="C71" s="50"/>
      <c r="D71" s="109"/>
      <c r="E71" s="110"/>
      <c r="F71" s="50"/>
      <c r="G71" s="82"/>
      <c r="H71" s="107"/>
      <c r="I71" s="108"/>
      <c r="J71" s="108"/>
      <c r="K71" s="108"/>
      <c r="L71" s="82"/>
      <c r="O71" s="81">
        <v>51</v>
      </c>
    </row>
    <row r="72" spans="3:15" s="49" customFormat="1" ht="18.75" x14ac:dyDescent="0.15">
      <c r="C72" s="50"/>
      <c r="D72" s="109"/>
      <c r="E72" s="110"/>
      <c r="F72" s="50"/>
      <c r="G72" s="82"/>
      <c r="H72" s="107"/>
      <c r="I72" s="108"/>
      <c r="J72" s="108"/>
      <c r="K72" s="108"/>
      <c r="L72" s="82"/>
      <c r="O72" s="81">
        <v>52</v>
      </c>
    </row>
    <row r="73" spans="3:15" s="49" customFormat="1" ht="18.75" x14ac:dyDescent="0.15">
      <c r="C73" s="50"/>
      <c r="D73" s="78"/>
      <c r="E73" s="79"/>
      <c r="F73" s="77"/>
      <c r="G73" s="82"/>
      <c r="H73" s="107"/>
      <c r="I73" s="108"/>
      <c r="J73" s="108"/>
      <c r="K73" s="108"/>
      <c r="L73" s="82"/>
      <c r="O73" s="81">
        <v>53</v>
      </c>
    </row>
    <row r="74" spans="3:15" s="49" customFormat="1" ht="18.75" x14ac:dyDescent="0.15">
      <c r="C74" s="50"/>
      <c r="D74" s="109"/>
      <c r="E74" s="110"/>
      <c r="F74" s="50"/>
      <c r="G74" s="82"/>
      <c r="H74" s="107"/>
      <c r="I74" s="108"/>
      <c r="J74" s="108"/>
      <c r="K74" s="108"/>
      <c r="L74" s="82"/>
      <c r="O74" s="81">
        <v>54</v>
      </c>
    </row>
    <row r="75" spans="3:15" s="49" customFormat="1" ht="18.75" x14ac:dyDescent="0.15">
      <c r="C75" s="50"/>
      <c r="D75" s="109"/>
      <c r="E75" s="110"/>
      <c r="F75" s="50"/>
      <c r="G75" s="82"/>
      <c r="H75" s="107"/>
      <c r="I75" s="108"/>
      <c r="J75" s="108"/>
      <c r="K75" s="108"/>
      <c r="L75" s="82"/>
      <c r="O75" s="81">
        <v>55</v>
      </c>
    </row>
    <row r="76" spans="3:15" s="49" customFormat="1" ht="18.75" x14ac:dyDescent="0.15">
      <c r="C76" s="50"/>
      <c r="D76" s="109"/>
      <c r="E76" s="110"/>
      <c r="F76" s="50"/>
      <c r="G76" s="82"/>
      <c r="H76" s="107"/>
      <c r="I76" s="108"/>
      <c r="J76" s="108"/>
      <c r="K76" s="108"/>
      <c r="L76" s="82"/>
      <c r="O76" s="81">
        <v>56</v>
      </c>
    </row>
    <row r="77" spans="3:15" s="49" customFormat="1" ht="18.75" x14ac:dyDescent="0.15">
      <c r="C77" s="50"/>
      <c r="D77" s="109"/>
      <c r="E77" s="110"/>
      <c r="F77" s="50"/>
      <c r="G77" s="82"/>
      <c r="H77" s="107"/>
      <c r="I77" s="108"/>
      <c r="J77" s="108"/>
      <c r="K77" s="108"/>
      <c r="L77" s="111"/>
      <c r="O77" s="81">
        <v>57</v>
      </c>
    </row>
    <row r="78" spans="3:15" s="49" customFormat="1" ht="18.75" x14ac:dyDescent="0.15">
      <c r="C78" s="50"/>
      <c r="D78" s="109"/>
      <c r="E78" s="110"/>
      <c r="F78" s="50"/>
      <c r="G78" s="82"/>
      <c r="H78" s="107"/>
      <c r="I78" s="108"/>
      <c r="J78" s="108"/>
      <c r="K78" s="108"/>
      <c r="L78" s="111"/>
      <c r="O78" s="81">
        <v>58</v>
      </c>
    </row>
    <row r="79" spans="3:15" s="49" customFormat="1" ht="18.75" x14ac:dyDescent="0.15">
      <c r="C79" s="50"/>
      <c r="D79" s="109"/>
      <c r="E79" s="110"/>
      <c r="F79" s="50"/>
      <c r="G79" s="82"/>
      <c r="H79" s="107"/>
      <c r="I79" s="108"/>
      <c r="J79" s="108"/>
      <c r="K79" s="108"/>
      <c r="L79" s="82"/>
      <c r="O79" s="81">
        <v>59</v>
      </c>
    </row>
    <row r="80" spans="3:15" s="49" customFormat="1" ht="18.75" x14ac:dyDescent="0.15">
      <c r="C80" s="50"/>
      <c r="D80" s="109"/>
      <c r="E80" s="110"/>
      <c r="F80" s="50"/>
      <c r="G80" s="82"/>
      <c r="H80" s="107"/>
      <c r="I80" s="108"/>
      <c r="J80" s="108"/>
      <c r="K80" s="108"/>
      <c r="L80" s="82"/>
      <c r="O80" s="81">
        <v>60</v>
      </c>
    </row>
    <row r="81" spans="3:15" s="49" customFormat="1" ht="18.75" x14ac:dyDescent="0.15">
      <c r="C81" s="50"/>
      <c r="D81" s="109"/>
      <c r="E81" s="110"/>
      <c r="F81" s="50"/>
      <c r="G81" s="82"/>
      <c r="H81" s="107"/>
      <c r="I81" s="108"/>
      <c r="J81" s="108"/>
      <c r="K81" s="108"/>
      <c r="L81" s="82"/>
      <c r="O81" s="81">
        <v>61</v>
      </c>
    </row>
    <row r="82" spans="3:15" s="49" customFormat="1" ht="18.75" x14ac:dyDescent="0.15">
      <c r="C82" s="50"/>
      <c r="D82" s="109"/>
      <c r="E82" s="110"/>
      <c r="F82" s="50"/>
      <c r="G82" s="82"/>
      <c r="H82" s="107"/>
      <c r="I82" s="108"/>
      <c r="J82" s="108"/>
      <c r="K82" s="108"/>
      <c r="L82" s="82"/>
      <c r="O82" s="81">
        <v>62</v>
      </c>
    </row>
    <row r="83" spans="3:15" s="49" customFormat="1" ht="18.75" x14ac:dyDescent="0.15">
      <c r="C83" s="50"/>
      <c r="D83" s="109"/>
      <c r="E83" s="110"/>
      <c r="F83" s="50"/>
      <c r="G83" s="82"/>
      <c r="H83" s="107"/>
      <c r="I83" s="108"/>
      <c r="J83" s="108"/>
      <c r="K83" s="108"/>
      <c r="L83" s="82"/>
      <c r="O83" s="81">
        <v>63</v>
      </c>
    </row>
    <row r="84" spans="3:15" s="49" customFormat="1" ht="18.75" x14ac:dyDescent="0.15">
      <c r="C84" s="50"/>
      <c r="D84" s="109"/>
      <c r="E84" s="110"/>
      <c r="F84" s="50"/>
      <c r="G84" s="82"/>
      <c r="H84" s="107"/>
      <c r="I84" s="108"/>
      <c r="J84" s="108"/>
      <c r="K84" s="108"/>
      <c r="L84" s="82"/>
      <c r="O84" s="81">
        <v>64</v>
      </c>
    </row>
    <row r="85" spans="3:15" s="49" customFormat="1" ht="18.75" x14ac:dyDescent="0.15">
      <c r="C85" s="50"/>
      <c r="D85" s="109"/>
      <c r="E85" s="110"/>
      <c r="F85" s="50"/>
      <c r="G85" s="82"/>
      <c r="H85" s="107"/>
      <c r="I85" s="108"/>
      <c r="J85" s="108"/>
      <c r="K85" s="108"/>
      <c r="L85" s="82"/>
      <c r="O85" s="81">
        <v>65</v>
      </c>
    </row>
    <row r="86" spans="3:15" s="49" customFormat="1" ht="18.75" x14ac:dyDescent="0.15">
      <c r="C86" s="50"/>
      <c r="D86" s="109"/>
      <c r="E86" s="110"/>
      <c r="F86" s="50"/>
      <c r="G86" s="82"/>
      <c r="H86" s="107"/>
      <c r="I86" s="108"/>
      <c r="J86" s="108"/>
      <c r="K86" s="108"/>
      <c r="L86" s="82"/>
      <c r="O86" s="81">
        <v>66</v>
      </c>
    </row>
    <row r="87" spans="3:15" s="49" customFormat="1" ht="18.75" x14ac:dyDescent="0.15">
      <c r="C87" s="50"/>
      <c r="D87" s="109"/>
      <c r="E87" s="110"/>
      <c r="F87" s="50"/>
      <c r="G87" s="82"/>
      <c r="H87" s="107"/>
      <c r="I87" s="108"/>
      <c r="J87" s="108"/>
      <c r="K87" s="108"/>
      <c r="L87" s="82"/>
      <c r="O87" s="81">
        <v>67</v>
      </c>
    </row>
    <row r="88" spans="3:15" s="49" customFormat="1" ht="18.75" x14ac:dyDescent="0.15">
      <c r="C88" s="50"/>
      <c r="D88" s="109"/>
      <c r="E88" s="110"/>
      <c r="F88" s="50"/>
      <c r="G88" s="82"/>
      <c r="H88" s="107"/>
      <c r="I88" s="108"/>
      <c r="J88" s="108"/>
      <c r="K88" s="108"/>
      <c r="L88" s="82"/>
      <c r="O88" s="81">
        <v>68</v>
      </c>
    </row>
    <row r="89" spans="3:15" s="49" customFormat="1" ht="18.75" x14ac:dyDescent="0.15">
      <c r="C89" s="50"/>
      <c r="D89" s="109"/>
      <c r="E89" s="110"/>
      <c r="F89" s="50"/>
      <c r="G89" s="82"/>
      <c r="H89" s="107"/>
      <c r="I89" s="108"/>
      <c r="J89" s="108"/>
      <c r="K89" s="108"/>
      <c r="L89" s="82"/>
      <c r="O89" s="81">
        <v>69</v>
      </c>
    </row>
    <row r="90" spans="3:15" s="49" customFormat="1" ht="18.75" x14ac:dyDescent="0.15">
      <c r="C90" s="50"/>
      <c r="D90" s="109"/>
      <c r="E90" s="110"/>
      <c r="F90" s="50"/>
      <c r="G90" s="82"/>
      <c r="H90" s="107"/>
      <c r="I90" s="108"/>
      <c r="J90" s="108"/>
      <c r="K90" s="108"/>
      <c r="L90" s="82"/>
      <c r="O90" s="81">
        <v>70</v>
      </c>
    </row>
    <row r="91" spans="3:15" s="49" customFormat="1" ht="18.75" x14ac:dyDescent="0.15">
      <c r="C91" s="50"/>
      <c r="D91" s="109"/>
      <c r="E91" s="110"/>
      <c r="F91" s="50"/>
      <c r="G91" s="82"/>
      <c r="H91" s="107"/>
      <c r="I91" s="108"/>
      <c r="J91" s="108"/>
      <c r="K91" s="108"/>
      <c r="L91" s="82"/>
      <c r="O91" s="81">
        <v>71</v>
      </c>
    </row>
    <row r="92" spans="3:15" s="49" customFormat="1" ht="18.75" x14ac:dyDescent="0.15">
      <c r="C92" s="50"/>
      <c r="D92" s="109"/>
      <c r="E92" s="110"/>
      <c r="F92" s="50"/>
      <c r="G92" s="82"/>
      <c r="H92" s="107"/>
      <c r="I92" s="108"/>
      <c r="J92" s="108"/>
      <c r="K92" s="108"/>
      <c r="L92" s="82"/>
      <c r="O92" s="81">
        <v>72</v>
      </c>
    </row>
    <row r="93" spans="3:15" s="49" customFormat="1" ht="18.75" x14ac:dyDescent="0.15">
      <c r="C93" s="50"/>
      <c r="D93" s="109"/>
      <c r="E93" s="110"/>
      <c r="F93" s="50"/>
      <c r="G93" s="82"/>
      <c r="H93" s="107"/>
      <c r="I93" s="108"/>
      <c r="J93" s="108"/>
      <c r="K93" s="108"/>
      <c r="L93" s="82"/>
      <c r="O93" s="81">
        <v>73</v>
      </c>
    </row>
    <row r="94" spans="3:15" s="49" customFormat="1" ht="18.75" x14ac:dyDescent="0.15">
      <c r="C94" s="50"/>
      <c r="D94" s="109"/>
      <c r="E94" s="110"/>
      <c r="F94" s="50"/>
      <c r="G94" s="82"/>
      <c r="H94" s="107"/>
      <c r="I94" s="108"/>
      <c r="J94" s="108"/>
      <c r="K94" s="108"/>
      <c r="L94" s="82"/>
      <c r="O94" s="81">
        <v>74</v>
      </c>
    </row>
    <row r="95" spans="3:15" s="49" customFormat="1" ht="18.75" x14ac:dyDescent="0.15">
      <c r="C95" s="50"/>
      <c r="D95" s="109"/>
      <c r="E95" s="110"/>
      <c r="F95" s="50"/>
      <c r="G95" s="82"/>
      <c r="H95" s="107"/>
      <c r="I95" s="108"/>
      <c r="J95" s="108"/>
      <c r="K95" s="108"/>
      <c r="L95" s="82"/>
      <c r="O95" s="81">
        <v>75</v>
      </c>
    </row>
    <row r="96" spans="3:15" s="49" customFormat="1" ht="18.75" x14ac:dyDescent="0.15">
      <c r="C96" s="50"/>
      <c r="D96" s="109"/>
      <c r="E96" s="110"/>
      <c r="F96" s="50"/>
      <c r="G96" s="82"/>
      <c r="H96" s="107"/>
      <c r="I96" s="108"/>
      <c r="J96" s="108"/>
      <c r="K96" s="108"/>
      <c r="L96" s="82"/>
      <c r="O96" s="81">
        <v>76</v>
      </c>
    </row>
    <row r="97" spans="3:15" s="49" customFormat="1" ht="18.75" x14ac:dyDescent="0.15">
      <c r="C97" s="50"/>
      <c r="D97" s="109"/>
      <c r="E97" s="110"/>
      <c r="F97" s="50"/>
      <c r="G97" s="82"/>
      <c r="H97" s="107"/>
      <c r="I97" s="108"/>
      <c r="J97" s="108"/>
      <c r="K97" s="108"/>
      <c r="L97" s="82"/>
      <c r="O97" s="81">
        <v>77</v>
      </c>
    </row>
    <row r="98" spans="3:15" s="49" customFormat="1" ht="18.75" x14ac:dyDescent="0.15">
      <c r="C98" s="50"/>
      <c r="D98" s="109"/>
      <c r="E98" s="110"/>
      <c r="F98" s="50"/>
      <c r="G98" s="82"/>
      <c r="H98" s="107"/>
      <c r="I98" s="108"/>
      <c r="J98" s="108"/>
      <c r="K98" s="108"/>
      <c r="L98" s="82"/>
      <c r="O98" s="81">
        <v>78</v>
      </c>
    </row>
    <row r="99" spans="3:15" s="49" customFormat="1" ht="18.75" x14ac:dyDescent="0.15">
      <c r="C99" s="50"/>
      <c r="D99" s="109"/>
      <c r="E99" s="110"/>
      <c r="F99" s="50"/>
      <c r="G99" s="82"/>
      <c r="H99" s="107"/>
      <c r="I99" s="108"/>
      <c r="J99" s="108"/>
      <c r="K99" s="108"/>
      <c r="L99" s="82"/>
      <c r="O99" s="81">
        <v>79</v>
      </c>
    </row>
    <row r="100" spans="3:15" s="49" customFormat="1" ht="18.75" x14ac:dyDescent="0.15">
      <c r="C100" s="50"/>
      <c r="D100" s="109"/>
      <c r="E100" s="110"/>
      <c r="F100" s="50"/>
      <c r="G100" s="82"/>
      <c r="H100" s="107"/>
      <c r="I100" s="108"/>
      <c r="J100" s="108"/>
      <c r="K100" s="108"/>
      <c r="L100" s="82"/>
      <c r="O100" s="81">
        <v>80</v>
      </c>
    </row>
    <row r="101" spans="3:15" s="49" customFormat="1" ht="18.75" x14ac:dyDescent="0.15">
      <c r="C101" s="50"/>
      <c r="D101" s="109"/>
      <c r="E101" s="110"/>
      <c r="F101" s="50"/>
      <c r="G101" s="82"/>
      <c r="H101" s="107"/>
      <c r="I101" s="108"/>
      <c r="J101" s="108"/>
      <c r="K101" s="108"/>
      <c r="L101" s="82"/>
      <c r="O101" s="81">
        <v>81</v>
      </c>
    </row>
    <row r="102" spans="3:15" s="49" customFormat="1" ht="18.75" x14ac:dyDescent="0.15">
      <c r="C102" s="50"/>
      <c r="D102" s="109"/>
      <c r="E102" s="110"/>
      <c r="F102" s="50"/>
      <c r="G102" s="82"/>
      <c r="H102" s="107"/>
      <c r="I102" s="108"/>
      <c r="J102" s="108"/>
      <c r="K102" s="108"/>
      <c r="L102" s="82"/>
      <c r="O102" s="81">
        <v>82</v>
      </c>
    </row>
    <row r="103" spans="3:15" s="49" customFormat="1" ht="18.75" x14ac:dyDescent="0.15">
      <c r="C103" s="50"/>
      <c r="D103" s="109"/>
      <c r="E103" s="110"/>
      <c r="F103" s="50"/>
      <c r="G103" s="82"/>
      <c r="H103" s="107"/>
      <c r="I103" s="108"/>
      <c r="J103" s="108"/>
      <c r="K103" s="108"/>
      <c r="L103" s="82"/>
      <c r="O103" s="81">
        <v>83</v>
      </c>
    </row>
    <row r="104" spans="3:15" s="49" customFormat="1" ht="18.75" x14ac:dyDescent="0.15">
      <c r="C104" s="50"/>
      <c r="D104" s="109"/>
      <c r="E104" s="110"/>
      <c r="F104" s="50"/>
      <c r="G104" s="82"/>
      <c r="H104" s="107"/>
      <c r="I104" s="108"/>
      <c r="J104" s="108"/>
      <c r="K104" s="108"/>
      <c r="L104" s="82"/>
      <c r="O104" s="81">
        <v>84</v>
      </c>
    </row>
    <row r="105" spans="3:15" s="49" customFormat="1" ht="18.75" x14ac:dyDescent="0.15">
      <c r="C105" s="50"/>
      <c r="D105" s="109"/>
      <c r="E105" s="110"/>
      <c r="F105" s="50"/>
      <c r="G105" s="82"/>
      <c r="H105" s="107"/>
      <c r="I105" s="108"/>
      <c r="J105" s="108"/>
      <c r="K105" s="108"/>
      <c r="L105" s="82"/>
      <c r="O105" s="81">
        <v>85</v>
      </c>
    </row>
    <row r="106" spans="3:15" s="49" customFormat="1" ht="18.75" x14ac:dyDescent="0.15">
      <c r="C106" s="50"/>
      <c r="D106" s="109"/>
      <c r="E106" s="110"/>
      <c r="F106" s="50"/>
      <c r="G106" s="82"/>
      <c r="H106" s="107"/>
      <c r="I106" s="108"/>
      <c r="J106" s="108"/>
      <c r="K106" s="108"/>
      <c r="L106" s="82"/>
      <c r="O106" s="81">
        <v>86</v>
      </c>
    </row>
    <row r="107" spans="3:15" s="49" customFormat="1" ht="18.75" x14ac:dyDescent="0.15">
      <c r="C107" s="50"/>
      <c r="D107" s="109"/>
      <c r="E107" s="110"/>
      <c r="F107" s="50"/>
      <c r="G107" s="82"/>
      <c r="H107" s="107"/>
      <c r="I107" s="108"/>
      <c r="J107" s="108"/>
      <c r="K107" s="108"/>
      <c r="L107" s="82"/>
      <c r="O107" s="81">
        <v>87</v>
      </c>
    </row>
    <row r="108" spans="3:15" s="49" customFormat="1" ht="18.75" x14ac:dyDescent="0.15">
      <c r="C108" s="50"/>
      <c r="D108" s="109"/>
      <c r="E108" s="110"/>
      <c r="F108" s="50"/>
      <c r="G108" s="82"/>
      <c r="H108" s="107"/>
      <c r="I108" s="108"/>
      <c r="J108" s="108"/>
      <c r="K108" s="108"/>
      <c r="L108" s="82"/>
      <c r="O108" s="81">
        <v>88</v>
      </c>
    </row>
    <row r="109" spans="3:15" s="49" customFormat="1" ht="18.75" x14ac:dyDescent="0.15">
      <c r="C109" s="50"/>
      <c r="D109" s="109"/>
      <c r="E109" s="110"/>
      <c r="F109" s="50"/>
      <c r="G109" s="82"/>
      <c r="H109" s="107"/>
      <c r="I109" s="108"/>
      <c r="J109" s="108"/>
      <c r="K109" s="108"/>
      <c r="L109" s="82"/>
      <c r="O109" s="81">
        <v>89</v>
      </c>
    </row>
    <row r="110" spans="3:15" s="49" customFormat="1" ht="18.75" x14ac:dyDescent="0.15">
      <c r="C110" s="50"/>
      <c r="D110" s="109"/>
      <c r="E110" s="110"/>
      <c r="F110" s="50"/>
      <c r="G110" s="82"/>
      <c r="H110" s="107"/>
      <c r="I110" s="108"/>
      <c r="J110" s="108"/>
      <c r="K110" s="108"/>
      <c r="L110" s="82"/>
      <c r="O110" s="81">
        <v>90</v>
      </c>
    </row>
    <row r="111" spans="3:15" s="49" customFormat="1" ht="18.75" x14ac:dyDescent="0.15">
      <c r="C111" s="50"/>
      <c r="D111" s="109"/>
      <c r="E111" s="110"/>
      <c r="F111" s="50"/>
      <c r="G111" s="82"/>
      <c r="H111" s="107"/>
      <c r="I111" s="108"/>
      <c r="J111" s="108"/>
      <c r="K111" s="108"/>
      <c r="L111" s="82"/>
      <c r="O111" s="81">
        <v>91</v>
      </c>
    </row>
    <row r="112" spans="3:15" s="49" customFormat="1" ht="18.75" x14ac:dyDescent="0.15">
      <c r="C112" s="50"/>
      <c r="D112" s="109"/>
      <c r="E112" s="110"/>
      <c r="F112" s="50"/>
      <c r="G112" s="82"/>
      <c r="H112" s="107"/>
      <c r="I112" s="108"/>
      <c r="J112" s="108"/>
      <c r="K112" s="108"/>
      <c r="L112" s="82"/>
      <c r="O112" s="81">
        <v>92</v>
      </c>
    </row>
    <row r="113" spans="3:15" s="49" customFormat="1" ht="18.75" x14ac:dyDescent="0.15">
      <c r="C113" s="50"/>
      <c r="D113" s="109"/>
      <c r="E113" s="110"/>
      <c r="F113" s="50"/>
      <c r="G113" s="82"/>
      <c r="H113" s="107"/>
      <c r="I113" s="108"/>
      <c r="J113" s="108"/>
      <c r="K113" s="108"/>
      <c r="L113" s="82"/>
      <c r="O113" s="81">
        <v>93</v>
      </c>
    </row>
    <row r="114" spans="3:15" s="49" customFormat="1" ht="18.75" x14ac:dyDescent="0.15">
      <c r="C114" s="50"/>
      <c r="D114" s="109"/>
      <c r="E114" s="110"/>
      <c r="F114" s="50"/>
      <c r="G114" s="82"/>
      <c r="H114" s="107"/>
      <c r="I114" s="108"/>
      <c r="J114" s="108"/>
      <c r="K114" s="108"/>
      <c r="L114" s="82"/>
      <c r="O114" s="81">
        <v>94</v>
      </c>
    </row>
    <row r="115" spans="3:15" s="49" customFormat="1" ht="18.75" x14ac:dyDescent="0.15">
      <c r="C115" s="50"/>
      <c r="D115" s="109"/>
      <c r="E115" s="110"/>
      <c r="F115" s="50"/>
      <c r="G115" s="82"/>
      <c r="H115" s="107"/>
      <c r="I115" s="108"/>
      <c r="J115" s="108"/>
      <c r="K115" s="108"/>
      <c r="L115" s="82"/>
      <c r="O115" s="81">
        <v>95</v>
      </c>
    </row>
    <row r="116" spans="3:15" s="49" customFormat="1" ht="18.75" x14ac:dyDescent="0.15">
      <c r="C116" s="50"/>
      <c r="D116" s="109"/>
      <c r="E116" s="110"/>
      <c r="F116" s="50"/>
      <c r="G116" s="82"/>
      <c r="H116" s="107"/>
      <c r="I116" s="108"/>
      <c r="J116" s="108"/>
      <c r="K116" s="108"/>
      <c r="L116" s="82"/>
      <c r="O116" s="81">
        <v>96</v>
      </c>
    </row>
    <row r="117" spans="3:15" s="49" customFormat="1" ht="18.75" x14ac:dyDescent="0.15">
      <c r="C117" s="50"/>
      <c r="D117" s="109"/>
      <c r="E117" s="110"/>
      <c r="F117" s="50"/>
      <c r="G117" s="82"/>
      <c r="H117" s="107"/>
      <c r="I117" s="108"/>
      <c r="J117" s="108"/>
      <c r="K117" s="108"/>
      <c r="L117" s="82"/>
      <c r="O117" s="81">
        <v>97</v>
      </c>
    </row>
    <row r="118" spans="3:15" s="49" customFormat="1" ht="18.75" x14ac:dyDescent="0.15">
      <c r="C118" s="50"/>
      <c r="D118" s="109"/>
      <c r="E118" s="110"/>
      <c r="F118" s="50"/>
      <c r="G118" s="82"/>
      <c r="H118" s="107"/>
      <c r="I118" s="108"/>
      <c r="J118" s="108"/>
      <c r="K118" s="108"/>
      <c r="L118" s="82"/>
      <c r="O118" s="81">
        <v>98</v>
      </c>
    </row>
    <row r="119" spans="3:15" s="49" customFormat="1" ht="18.75" x14ac:dyDescent="0.15">
      <c r="C119" s="50"/>
      <c r="D119" s="109"/>
      <c r="E119" s="110"/>
      <c r="F119" s="50"/>
      <c r="G119" s="82"/>
      <c r="H119" s="107"/>
      <c r="I119" s="108"/>
      <c r="J119" s="108"/>
      <c r="K119" s="108"/>
      <c r="L119" s="82"/>
      <c r="O119" s="81">
        <v>99</v>
      </c>
    </row>
    <row r="120" spans="3:15" s="49" customFormat="1" ht="18.75" x14ac:dyDescent="0.15">
      <c r="C120" s="50"/>
      <c r="D120" s="109"/>
      <c r="E120" s="110"/>
      <c r="F120" s="50"/>
      <c r="G120" s="82"/>
      <c r="H120" s="107"/>
      <c r="I120" s="108"/>
      <c r="J120" s="108"/>
      <c r="K120" s="108"/>
      <c r="L120" s="82"/>
      <c r="O120" s="81">
        <v>100</v>
      </c>
    </row>
    <row r="121" spans="3:15" s="49" customFormat="1" ht="18.75" x14ac:dyDescent="0.15">
      <c r="C121" s="50"/>
      <c r="D121" s="109"/>
      <c r="E121" s="110"/>
      <c r="F121" s="50"/>
      <c r="G121" s="82"/>
      <c r="H121" s="107"/>
      <c r="I121" s="108"/>
      <c r="J121" s="108"/>
      <c r="K121" s="108"/>
      <c r="L121" s="82"/>
      <c r="O121" s="81">
        <v>101</v>
      </c>
    </row>
    <row r="122" spans="3:15" s="49" customFormat="1" ht="18.75" x14ac:dyDescent="0.15">
      <c r="C122" s="50"/>
      <c r="D122" s="109"/>
      <c r="E122" s="110"/>
      <c r="F122" s="50"/>
      <c r="G122" s="82"/>
      <c r="H122" s="107"/>
      <c r="I122" s="108"/>
      <c r="J122" s="108"/>
      <c r="K122" s="108"/>
      <c r="L122" s="82"/>
      <c r="O122" s="81">
        <v>102</v>
      </c>
    </row>
    <row r="123" spans="3:15" s="49" customFormat="1" ht="18.75" x14ac:dyDescent="0.15">
      <c r="C123" s="50"/>
      <c r="D123" s="109"/>
      <c r="E123" s="110"/>
      <c r="F123" s="50"/>
      <c r="G123" s="82"/>
      <c r="H123" s="107"/>
      <c r="I123" s="108"/>
      <c r="J123" s="108"/>
      <c r="K123" s="108"/>
      <c r="L123" s="82"/>
      <c r="O123" s="81">
        <v>103</v>
      </c>
    </row>
    <row r="124" spans="3:15" s="49" customFormat="1" ht="18.75" x14ac:dyDescent="0.15">
      <c r="C124" s="50"/>
      <c r="D124" s="109"/>
      <c r="E124" s="110"/>
      <c r="F124" s="50"/>
      <c r="G124" s="82"/>
      <c r="H124" s="107"/>
      <c r="I124" s="108"/>
      <c r="J124" s="108"/>
      <c r="K124" s="108"/>
      <c r="L124" s="82"/>
      <c r="O124" s="81">
        <v>104</v>
      </c>
    </row>
    <row r="125" spans="3:15" s="49" customFormat="1" ht="18.75" x14ac:dyDescent="0.15">
      <c r="C125" s="50"/>
      <c r="D125" s="109"/>
      <c r="E125" s="110"/>
      <c r="F125" s="50"/>
      <c r="G125" s="82"/>
      <c r="H125" s="107"/>
      <c r="I125" s="108"/>
      <c r="J125" s="108"/>
      <c r="K125" s="108"/>
      <c r="L125" s="82"/>
      <c r="O125" s="81">
        <v>105</v>
      </c>
    </row>
    <row r="126" spans="3:15" s="49" customFormat="1" ht="18.75" x14ac:dyDescent="0.15">
      <c r="C126" s="50"/>
      <c r="D126" s="109"/>
      <c r="E126" s="110"/>
      <c r="F126" s="50"/>
      <c r="G126" s="82"/>
      <c r="H126" s="107"/>
      <c r="I126" s="108"/>
      <c r="J126" s="108"/>
      <c r="K126" s="108"/>
      <c r="L126" s="82"/>
      <c r="O126" s="81">
        <v>106</v>
      </c>
    </row>
    <row r="127" spans="3:15" s="49" customFormat="1" ht="18.75" x14ac:dyDescent="0.15">
      <c r="C127" s="50"/>
      <c r="D127" s="109"/>
      <c r="E127" s="110"/>
      <c r="F127" s="50"/>
      <c r="G127" s="82"/>
      <c r="H127" s="107"/>
      <c r="I127" s="108"/>
      <c r="J127" s="108"/>
      <c r="K127" s="108"/>
      <c r="L127" s="82"/>
      <c r="O127" s="81">
        <v>107</v>
      </c>
    </row>
    <row r="128" spans="3:15" s="49" customFormat="1" ht="18.75" x14ac:dyDescent="0.15">
      <c r="C128" s="50"/>
      <c r="D128" s="109"/>
      <c r="E128" s="110"/>
      <c r="F128" s="50"/>
      <c r="G128" s="82"/>
      <c r="H128" s="107"/>
      <c r="I128" s="108"/>
      <c r="J128" s="108"/>
      <c r="K128" s="108"/>
      <c r="L128" s="82"/>
      <c r="O128" s="81">
        <v>108</v>
      </c>
    </row>
    <row r="129" spans="3:15" s="49" customFormat="1" ht="18.75" x14ac:dyDescent="0.15">
      <c r="C129" s="50"/>
      <c r="D129" s="109"/>
      <c r="E129" s="110"/>
      <c r="F129" s="50"/>
      <c r="G129" s="82"/>
      <c r="H129" s="107"/>
      <c r="I129" s="108"/>
      <c r="J129" s="108"/>
      <c r="K129" s="108"/>
      <c r="L129" s="82"/>
      <c r="O129" s="81">
        <v>109</v>
      </c>
    </row>
    <row r="130" spans="3:15" s="49" customFormat="1" ht="18.75" x14ac:dyDescent="0.15">
      <c r="C130" s="50"/>
      <c r="D130" s="109"/>
      <c r="E130" s="110"/>
      <c r="F130" s="50"/>
      <c r="G130" s="82"/>
      <c r="H130" s="107"/>
      <c r="I130" s="108"/>
      <c r="J130" s="108"/>
      <c r="K130" s="108"/>
      <c r="L130" s="82"/>
      <c r="O130" s="81">
        <v>110</v>
      </c>
    </row>
    <row r="131" spans="3:15" s="49" customFormat="1" ht="18.75" x14ac:dyDescent="0.15">
      <c r="C131" s="50"/>
      <c r="D131" s="109"/>
      <c r="E131" s="110"/>
      <c r="F131" s="50"/>
      <c r="G131" s="82"/>
      <c r="H131" s="107"/>
      <c r="I131" s="108"/>
      <c r="J131" s="108"/>
      <c r="K131" s="108"/>
      <c r="L131" s="82"/>
      <c r="O131" s="81">
        <v>111</v>
      </c>
    </row>
    <row r="132" spans="3:15" s="49" customFormat="1" ht="18.75" x14ac:dyDescent="0.15">
      <c r="C132" s="50"/>
      <c r="D132" s="109"/>
      <c r="E132" s="110"/>
      <c r="F132" s="50"/>
      <c r="G132" s="82"/>
      <c r="H132" s="107"/>
      <c r="I132" s="108"/>
      <c r="J132" s="108"/>
      <c r="K132" s="108"/>
      <c r="L132" s="82"/>
      <c r="O132" s="81">
        <v>112</v>
      </c>
    </row>
    <row r="133" spans="3:15" s="49" customFormat="1" ht="18.75" x14ac:dyDescent="0.15">
      <c r="C133" s="50"/>
      <c r="D133" s="109"/>
      <c r="E133" s="110"/>
      <c r="F133" s="50"/>
      <c r="G133" s="82"/>
      <c r="H133" s="107"/>
      <c r="I133" s="108"/>
      <c r="J133" s="108"/>
      <c r="K133" s="108"/>
      <c r="L133" s="82"/>
      <c r="O133" s="81">
        <v>113</v>
      </c>
    </row>
    <row r="134" spans="3:15" s="49" customFormat="1" ht="18.75" x14ac:dyDescent="0.15">
      <c r="C134" s="50"/>
      <c r="D134" s="109"/>
      <c r="E134" s="110"/>
      <c r="F134" s="50"/>
      <c r="G134" s="82"/>
      <c r="H134" s="107"/>
      <c r="I134" s="108"/>
      <c r="J134" s="108"/>
      <c r="K134" s="108"/>
      <c r="L134" s="82"/>
      <c r="O134" s="81">
        <v>114</v>
      </c>
    </row>
    <row r="135" spans="3:15" s="49" customFormat="1" ht="18.75" x14ac:dyDescent="0.15">
      <c r="C135" s="50"/>
      <c r="D135" s="109"/>
      <c r="E135" s="110"/>
      <c r="F135" s="50"/>
      <c r="G135" s="82"/>
      <c r="H135" s="107"/>
      <c r="I135" s="108"/>
      <c r="J135" s="108"/>
      <c r="K135" s="108"/>
      <c r="L135" s="82"/>
      <c r="O135" s="81">
        <v>115</v>
      </c>
    </row>
    <row r="136" spans="3:15" s="49" customFormat="1" ht="18.75" x14ac:dyDescent="0.15">
      <c r="C136" s="50"/>
      <c r="D136" s="109"/>
      <c r="E136" s="110"/>
      <c r="F136" s="50"/>
      <c r="G136" s="82"/>
      <c r="H136" s="107"/>
      <c r="I136" s="108"/>
      <c r="J136" s="108"/>
      <c r="K136" s="108"/>
      <c r="L136" s="82"/>
      <c r="O136" s="81">
        <v>116</v>
      </c>
    </row>
    <row r="137" spans="3:15" s="49" customFormat="1" ht="18.75" x14ac:dyDescent="0.15">
      <c r="C137" s="50"/>
      <c r="D137" s="109"/>
      <c r="E137" s="110"/>
      <c r="F137" s="50"/>
      <c r="G137" s="82"/>
      <c r="H137" s="107"/>
      <c r="I137" s="108"/>
      <c r="J137" s="108"/>
      <c r="K137" s="108"/>
      <c r="L137" s="82"/>
      <c r="O137" s="81">
        <v>117</v>
      </c>
    </row>
    <row r="138" spans="3:15" s="49" customFormat="1" ht="18.75" x14ac:dyDescent="0.15">
      <c r="C138" s="50"/>
      <c r="D138" s="109"/>
      <c r="E138" s="110"/>
      <c r="F138" s="50"/>
      <c r="G138" s="82"/>
      <c r="H138" s="107"/>
      <c r="I138" s="108"/>
      <c r="J138" s="108"/>
      <c r="K138" s="108"/>
      <c r="L138" s="82"/>
      <c r="O138" s="81">
        <v>118</v>
      </c>
    </row>
    <row r="139" spans="3:15" s="49" customFormat="1" ht="18.75" x14ac:dyDescent="0.15">
      <c r="C139" s="50"/>
      <c r="D139" s="109"/>
      <c r="E139" s="110"/>
      <c r="F139" s="50"/>
      <c r="G139" s="82"/>
      <c r="H139" s="107"/>
      <c r="I139" s="108"/>
      <c r="J139" s="108"/>
      <c r="K139" s="108"/>
      <c r="L139" s="82"/>
      <c r="O139" s="81">
        <v>119</v>
      </c>
    </row>
    <row r="140" spans="3:15" s="49" customFormat="1" ht="18.75" x14ac:dyDescent="0.15">
      <c r="C140" s="50"/>
      <c r="D140" s="109"/>
      <c r="E140" s="110"/>
      <c r="F140" s="50"/>
      <c r="G140" s="82"/>
      <c r="H140" s="107"/>
      <c r="I140" s="108"/>
      <c r="J140" s="108"/>
      <c r="K140" s="108"/>
      <c r="L140" s="82"/>
      <c r="O140" s="81">
        <v>120</v>
      </c>
    </row>
    <row r="141" spans="3:15" s="49" customFormat="1" ht="18.75" x14ac:dyDescent="0.15">
      <c r="C141" s="50"/>
      <c r="D141" s="109"/>
      <c r="E141" s="110"/>
      <c r="F141" s="50"/>
      <c r="G141" s="82"/>
      <c r="H141" s="107"/>
      <c r="I141" s="108"/>
      <c r="J141" s="108"/>
      <c r="K141" s="108"/>
      <c r="L141" s="82"/>
      <c r="O141" s="81">
        <v>121</v>
      </c>
    </row>
    <row r="142" spans="3:15" s="49" customFormat="1" ht="18.75" x14ac:dyDescent="0.15">
      <c r="C142" s="50"/>
      <c r="D142" s="109"/>
      <c r="E142" s="110"/>
      <c r="F142" s="50"/>
      <c r="G142" s="82"/>
      <c r="H142" s="107"/>
      <c r="I142" s="108"/>
      <c r="J142" s="108"/>
      <c r="K142" s="108"/>
      <c r="L142" s="82"/>
      <c r="O142" s="81">
        <v>122</v>
      </c>
    </row>
    <row r="143" spans="3:15" s="49" customFormat="1" ht="18.75" x14ac:dyDescent="0.15">
      <c r="C143" s="50"/>
      <c r="D143" s="109"/>
      <c r="E143" s="110"/>
      <c r="F143" s="50"/>
      <c r="G143" s="82"/>
      <c r="H143" s="107"/>
      <c r="I143" s="108"/>
      <c r="J143" s="108"/>
      <c r="K143" s="108"/>
      <c r="L143" s="82"/>
      <c r="O143" s="81">
        <v>123</v>
      </c>
    </row>
    <row r="144" spans="3:15" s="49" customFormat="1" ht="18.75" x14ac:dyDescent="0.15">
      <c r="C144" s="50"/>
      <c r="D144" s="109"/>
      <c r="E144" s="110"/>
      <c r="F144" s="50"/>
      <c r="G144" s="82"/>
      <c r="H144" s="107"/>
      <c r="I144" s="108"/>
      <c r="J144" s="108"/>
      <c r="K144" s="108"/>
      <c r="L144" s="82"/>
      <c r="O144" s="81">
        <v>124</v>
      </c>
    </row>
    <row r="145" spans="3:15" s="49" customFormat="1" ht="18.75" x14ac:dyDescent="0.15">
      <c r="C145" s="50"/>
      <c r="D145" s="109"/>
      <c r="E145" s="110"/>
      <c r="F145" s="50"/>
      <c r="G145" s="82"/>
      <c r="H145" s="107"/>
      <c r="I145" s="108"/>
      <c r="J145" s="108"/>
      <c r="K145" s="108"/>
      <c r="L145" s="82"/>
      <c r="O145" s="81">
        <v>125</v>
      </c>
    </row>
    <row r="146" spans="3:15" s="49" customFormat="1" ht="18.75" x14ac:dyDescent="0.15">
      <c r="C146" s="50"/>
      <c r="D146" s="109"/>
      <c r="E146" s="110"/>
      <c r="F146" s="50"/>
      <c r="G146" s="82"/>
      <c r="H146" s="107"/>
      <c r="I146" s="108"/>
      <c r="J146" s="108"/>
      <c r="K146" s="108"/>
      <c r="L146" s="82"/>
      <c r="O146" s="81">
        <v>126</v>
      </c>
    </row>
    <row r="147" spans="3:15" s="49" customFormat="1" ht="18.75" x14ac:dyDescent="0.15">
      <c r="C147" s="50"/>
      <c r="D147" s="109"/>
      <c r="E147" s="110"/>
      <c r="F147" s="50"/>
      <c r="G147" s="82"/>
      <c r="H147" s="107"/>
      <c r="I147" s="108"/>
      <c r="J147" s="108"/>
      <c r="K147" s="108"/>
      <c r="L147" s="82"/>
      <c r="O147" s="81">
        <v>127</v>
      </c>
    </row>
    <row r="148" spans="3:15" s="49" customFormat="1" ht="18.75" x14ac:dyDescent="0.15">
      <c r="C148" s="50"/>
      <c r="D148" s="109"/>
      <c r="E148" s="110"/>
      <c r="F148" s="50"/>
      <c r="G148" s="82"/>
      <c r="H148" s="107"/>
      <c r="I148" s="108"/>
      <c r="J148" s="108"/>
      <c r="K148" s="108"/>
      <c r="L148" s="82"/>
      <c r="O148" s="81">
        <v>128</v>
      </c>
    </row>
    <row r="149" spans="3:15" s="49" customFormat="1" ht="18.75" x14ac:dyDescent="0.15">
      <c r="C149" s="50"/>
      <c r="D149" s="109"/>
      <c r="E149" s="110"/>
      <c r="F149" s="50"/>
      <c r="G149" s="82"/>
      <c r="H149" s="107"/>
      <c r="I149" s="108"/>
      <c r="J149" s="108"/>
      <c r="K149" s="108"/>
      <c r="L149" s="82"/>
      <c r="O149" s="81">
        <v>129</v>
      </c>
    </row>
    <row r="150" spans="3:15" s="49" customFormat="1" ht="18.75" x14ac:dyDescent="0.15">
      <c r="C150" s="50"/>
      <c r="D150" s="109"/>
      <c r="E150" s="110"/>
      <c r="F150" s="50"/>
      <c r="G150" s="82"/>
      <c r="H150" s="107"/>
      <c r="I150" s="108"/>
      <c r="J150" s="108"/>
      <c r="K150" s="108"/>
      <c r="L150" s="82"/>
      <c r="O150" s="81">
        <v>130</v>
      </c>
    </row>
    <row r="151" spans="3:15" s="49" customFormat="1" ht="18.75" x14ac:dyDescent="0.15">
      <c r="C151" s="50"/>
      <c r="D151" s="109"/>
      <c r="E151" s="110"/>
      <c r="F151" s="50"/>
      <c r="G151" s="82"/>
      <c r="H151" s="107"/>
      <c r="I151" s="108"/>
      <c r="J151" s="108"/>
      <c r="K151" s="108"/>
      <c r="L151" s="82"/>
      <c r="O151" s="81">
        <v>131</v>
      </c>
    </row>
    <row r="152" spans="3:15" s="49" customFormat="1" ht="18.75" x14ac:dyDescent="0.15">
      <c r="C152" s="50"/>
      <c r="D152" s="109"/>
      <c r="E152" s="110"/>
      <c r="F152" s="50"/>
      <c r="G152" s="82"/>
      <c r="H152" s="107"/>
      <c r="I152" s="108"/>
      <c r="J152" s="108"/>
      <c r="K152" s="108"/>
      <c r="L152" s="82"/>
      <c r="O152" s="81">
        <v>132</v>
      </c>
    </row>
    <row r="153" spans="3:15" s="49" customFormat="1" ht="18.75" x14ac:dyDescent="0.15">
      <c r="C153" s="50"/>
      <c r="D153" s="109"/>
      <c r="E153" s="110"/>
      <c r="F153" s="50"/>
      <c r="G153" s="82"/>
      <c r="H153" s="107"/>
      <c r="I153" s="108"/>
      <c r="J153" s="108"/>
      <c r="K153" s="108"/>
      <c r="L153" s="82"/>
      <c r="O153" s="81">
        <v>133</v>
      </c>
    </row>
    <row r="154" spans="3:15" s="49" customFormat="1" ht="18.75" x14ac:dyDescent="0.15">
      <c r="C154" s="50"/>
      <c r="D154" s="109"/>
      <c r="E154" s="110"/>
      <c r="F154" s="50"/>
      <c r="G154" s="82"/>
      <c r="H154" s="107"/>
      <c r="I154" s="108"/>
      <c r="J154" s="108"/>
      <c r="K154" s="108"/>
      <c r="L154" s="82"/>
      <c r="O154" s="81">
        <v>134</v>
      </c>
    </row>
    <row r="155" spans="3:15" s="49" customFormat="1" ht="18.75" x14ac:dyDescent="0.15">
      <c r="C155" s="50"/>
      <c r="D155" s="109"/>
      <c r="E155" s="110"/>
      <c r="F155" s="50"/>
      <c r="G155" s="82"/>
      <c r="H155" s="107"/>
      <c r="I155" s="108"/>
      <c r="J155" s="108"/>
      <c r="K155" s="108"/>
      <c r="L155" s="82"/>
      <c r="O155" s="81">
        <v>135</v>
      </c>
    </row>
    <row r="156" spans="3:15" s="49" customFormat="1" ht="18.75" x14ac:dyDescent="0.15">
      <c r="C156" s="50"/>
      <c r="D156" s="109"/>
      <c r="E156" s="110"/>
      <c r="F156" s="50"/>
      <c r="G156" s="82"/>
      <c r="H156" s="107"/>
      <c r="I156" s="108"/>
      <c r="J156" s="108"/>
      <c r="K156" s="108"/>
      <c r="L156" s="82"/>
      <c r="O156" s="81">
        <v>136</v>
      </c>
    </row>
    <row r="157" spans="3:15" s="49" customFormat="1" ht="18.75" x14ac:dyDescent="0.15">
      <c r="C157" s="50"/>
      <c r="D157" s="109"/>
      <c r="E157" s="110"/>
      <c r="F157" s="50"/>
      <c r="G157" s="82"/>
      <c r="H157" s="107"/>
      <c r="I157" s="108"/>
      <c r="J157" s="108"/>
      <c r="K157" s="108"/>
      <c r="L157" s="82"/>
      <c r="O157" s="81">
        <v>137</v>
      </c>
    </row>
    <row r="158" spans="3:15" s="49" customFormat="1" ht="18.75" x14ac:dyDescent="0.15">
      <c r="C158" s="50"/>
      <c r="D158" s="109"/>
      <c r="E158" s="110"/>
      <c r="F158" s="50"/>
      <c r="G158" s="82"/>
      <c r="H158" s="107"/>
      <c r="I158" s="108"/>
      <c r="J158" s="108"/>
      <c r="K158" s="108"/>
      <c r="L158" s="82"/>
      <c r="O158" s="81">
        <v>138</v>
      </c>
    </row>
    <row r="159" spans="3:15" s="49" customFormat="1" ht="18.75" x14ac:dyDescent="0.15">
      <c r="C159" s="50"/>
      <c r="D159" s="109"/>
      <c r="E159" s="110"/>
      <c r="F159" s="50"/>
      <c r="G159" s="82"/>
      <c r="H159" s="107"/>
      <c r="I159" s="108"/>
      <c r="J159" s="108"/>
      <c r="K159" s="108"/>
      <c r="L159" s="82"/>
      <c r="O159" s="81">
        <v>139</v>
      </c>
    </row>
    <row r="160" spans="3:15" s="49" customFormat="1" ht="18.75" x14ac:dyDescent="0.15">
      <c r="C160" s="50"/>
      <c r="D160" s="109"/>
      <c r="E160" s="110"/>
      <c r="F160" s="50"/>
      <c r="G160" s="82"/>
      <c r="H160" s="107"/>
      <c r="I160" s="108"/>
      <c r="J160" s="108"/>
      <c r="K160" s="108"/>
      <c r="L160" s="82"/>
      <c r="O160" s="81">
        <v>140</v>
      </c>
    </row>
    <row r="161" spans="3:15" s="49" customFormat="1" ht="18.75" x14ac:dyDescent="0.15">
      <c r="C161" s="50"/>
      <c r="D161" s="109"/>
      <c r="E161" s="110"/>
      <c r="F161" s="50"/>
      <c r="G161" s="82"/>
      <c r="H161" s="107"/>
      <c r="I161" s="108"/>
      <c r="J161" s="108"/>
      <c r="K161" s="108"/>
      <c r="L161" s="82"/>
      <c r="O161" s="81">
        <v>141</v>
      </c>
    </row>
    <row r="162" spans="3:15" s="49" customFormat="1" ht="18.75" x14ac:dyDescent="0.15">
      <c r="C162" s="50"/>
      <c r="D162" s="109"/>
      <c r="E162" s="110"/>
      <c r="F162" s="50"/>
      <c r="G162" s="82"/>
      <c r="H162" s="107"/>
      <c r="I162" s="108"/>
      <c r="J162" s="108"/>
      <c r="K162" s="108"/>
      <c r="L162" s="82"/>
      <c r="O162" s="81">
        <v>142</v>
      </c>
    </row>
    <row r="163" spans="3:15" s="49" customFormat="1" ht="18.75" x14ac:dyDescent="0.15">
      <c r="C163" s="50"/>
      <c r="D163" s="109"/>
      <c r="E163" s="110"/>
      <c r="F163" s="50"/>
      <c r="G163" s="82"/>
      <c r="H163" s="107"/>
      <c r="I163" s="108"/>
      <c r="J163" s="108"/>
      <c r="K163" s="108"/>
      <c r="L163" s="82"/>
      <c r="O163" s="81">
        <v>143</v>
      </c>
    </row>
    <row r="164" spans="3:15" s="49" customFormat="1" ht="18.75" x14ac:dyDescent="0.15">
      <c r="C164" s="50"/>
      <c r="D164" s="109"/>
      <c r="E164" s="110"/>
      <c r="F164" s="50"/>
      <c r="G164" s="82"/>
      <c r="H164" s="107"/>
      <c r="I164" s="108"/>
      <c r="J164" s="108"/>
      <c r="K164" s="108"/>
      <c r="L164" s="82"/>
      <c r="O164" s="81">
        <v>144</v>
      </c>
    </row>
    <row r="165" spans="3:15" s="49" customFormat="1" ht="18.75" x14ac:dyDescent="0.15">
      <c r="C165" s="50"/>
      <c r="D165" s="109"/>
      <c r="E165" s="110"/>
      <c r="F165" s="50"/>
      <c r="G165" s="82"/>
      <c r="H165" s="107"/>
      <c r="I165" s="108"/>
      <c r="J165" s="108"/>
      <c r="K165" s="108"/>
      <c r="L165" s="82"/>
      <c r="O165" s="81">
        <v>145</v>
      </c>
    </row>
    <row r="166" spans="3:15" s="49" customFormat="1" ht="18.75" x14ac:dyDescent="0.15">
      <c r="C166" s="50"/>
      <c r="D166" s="109"/>
      <c r="E166" s="110"/>
      <c r="F166" s="50"/>
      <c r="G166" s="82"/>
      <c r="H166" s="107"/>
      <c r="I166" s="108"/>
      <c r="J166" s="108"/>
      <c r="K166" s="108"/>
      <c r="L166" s="82"/>
      <c r="O166" s="81">
        <v>146</v>
      </c>
    </row>
    <row r="167" spans="3:15" s="49" customFormat="1" ht="18.75" x14ac:dyDescent="0.15">
      <c r="C167" s="50"/>
      <c r="D167" s="109"/>
      <c r="E167" s="110"/>
      <c r="F167" s="50"/>
      <c r="G167" s="82"/>
      <c r="H167" s="107"/>
      <c r="I167" s="108"/>
      <c r="J167" s="108"/>
      <c r="K167" s="108"/>
      <c r="L167" s="82"/>
      <c r="O167" s="81">
        <v>147</v>
      </c>
    </row>
    <row r="168" spans="3:15" s="49" customFormat="1" ht="18.75" x14ac:dyDescent="0.15">
      <c r="C168" s="50"/>
      <c r="D168" s="109"/>
      <c r="E168" s="110"/>
      <c r="F168" s="50"/>
      <c r="G168" s="82"/>
      <c r="H168" s="107"/>
      <c r="I168" s="108"/>
      <c r="J168" s="108"/>
      <c r="K168" s="108"/>
      <c r="L168" s="82"/>
      <c r="O168" s="81">
        <v>148</v>
      </c>
    </row>
    <row r="169" spans="3:15" s="49" customFormat="1" ht="18.75" x14ac:dyDescent="0.15">
      <c r="C169" s="50"/>
      <c r="D169" s="109"/>
      <c r="E169" s="110"/>
      <c r="F169" s="50"/>
      <c r="G169" s="82"/>
      <c r="H169" s="107"/>
      <c r="I169" s="108"/>
      <c r="J169" s="108"/>
      <c r="K169" s="108"/>
      <c r="L169" s="82"/>
      <c r="O169" s="81">
        <v>149</v>
      </c>
    </row>
    <row r="170" spans="3:15" s="49" customFormat="1" ht="18.75" x14ac:dyDescent="0.15">
      <c r="C170" s="50"/>
      <c r="D170" s="109"/>
      <c r="E170" s="110"/>
      <c r="F170" s="50"/>
      <c r="G170" s="82"/>
      <c r="H170" s="107"/>
      <c r="I170" s="108"/>
      <c r="J170" s="108"/>
      <c r="K170" s="108"/>
      <c r="L170" s="82"/>
      <c r="O170" s="81">
        <v>150</v>
      </c>
    </row>
    <row r="171" spans="3:15" s="49" customFormat="1" ht="18.75" x14ac:dyDescent="0.15">
      <c r="C171" s="50"/>
      <c r="D171" s="109"/>
      <c r="E171" s="110"/>
      <c r="F171" s="50"/>
      <c r="G171" s="82"/>
      <c r="H171" s="107"/>
      <c r="I171" s="108"/>
      <c r="J171" s="108"/>
      <c r="K171" s="108"/>
      <c r="L171" s="82"/>
      <c r="O171" s="81">
        <v>151</v>
      </c>
    </row>
    <row r="172" spans="3:15" s="49" customFormat="1" ht="18.75" x14ac:dyDescent="0.15">
      <c r="C172" s="50"/>
      <c r="D172" s="109"/>
      <c r="E172" s="110"/>
      <c r="F172" s="50"/>
      <c r="G172" s="82"/>
      <c r="H172" s="107"/>
      <c r="I172" s="108"/>
      <c r="J172" s="108"/>
      <c r="K172" s="108"/>
      <c r="L172" s="82"/>
      <c r="O172" s="81">
        <v>152</v>
      </c>
    </row>
    <row r="173" spans="3:15" s="49" customFormat="1" ht="18.75" x14ac:dyDescent="0.15">
      <c r="C173" s="50"/>
      <c r="D173" s="109"/>
      <c r="E173" s="110"/>
      <c r="F173" s="50"/>
      <c r="G173" s="82"/>
      <c r="H173" s="107"/>
      <c r="I173" s="108"/>
      <c r="J173" s="108"/>
      <c r="K173" s="108"/>
      <c r="L173" s="82"/>
      <c r="O173" s="81">
        <v>153</v>
      </c>
    </row>
    <row r="174" spans="3:15" s="49" customFormat="1" ht="18.75" x14ac:dyDescent="0.15">
      <c r="C174" s="50"/>
      <c r="D174" s="109"/>
      <c r="E174" s="110"/>
      <c r="F174" s="50"/>
      <c r="G174" s="82"/>
      <c r="H174" s="107"/>
      <c r="I174" s="108"/>
      <c r="J174" s="108"/>
      <c r="K174" s="108"/>
      <c r="L174" s="82"/>
      <c r="O174" s="81">
        <v>154</v>
      </c>
    </row>
    <row r="175" spans="3:15" s="49" customFormat="1" ht="18.75" x14ac:dyDescent="0.15">
      <c r="C175" s="50"/>
      <c r="D175" s="109"/>
      <c r="E175" s="110"/>
      <c r="F175" s="50"/>
      <c r="G175" s="82"/>
      <c r="H175" s="107"/>
      <c r="I175" s="108"/>
      <c r="J175" s="108"/>
      <c r="K175" s="108"/>
      <c r="L175" s="82"/>
      <c r="O175" s="81">
        <v>155</v>
      </c>
    </row>
    <row r="176" spans="3:15" s="49" customFormat="1" ht="18.75" x14ac:dyDescent="0.15">
      <c r="C176" s="50"/>
      <c r="D176" s="109"/>
      <c r="E176" s="110"/>
      <c r="F176" s="50"/>
      <c r="G176" s="82"/>
      <c r="H176" s="107"/>
      <c r="I176" s="108"/>
      <c r="J176" s="108"/>
      <c r="K176" s="108"/>
      <c r="L176" s="82"/>
      <c r="O176" s="81">
        <v>156</v>
      </c>
    </row>
    <row r="177" spans="3:15" s="49" customFormat="1" ht="18.75" x14ac:dyDescent="0.15">
      <c r="C177" s="50"/>
      <c r="D177" s="109"/>
      <c r="E177" s="110"/>
      <c r="F177" s="50"/>
      <c r="G177" s="82"/>
      <c r="H177" s="107"/>
      <c r="I177" s="108"/>
      <c r="J177" s="108"/>
      <c r="K177" s="108"/>
      <c r="L177" s="82"/>
      <c r="O177" s="81">
        <v>157</v>
      </c>
    </row>
    <row r="178" spans="3:15" s="49" customFormat="1" ht="18.75" x14ac:dyDescent="0.15">
      <c r="C178" s="50"/>
      <c r="D178" s="109"/>
      <c r="E178" s="110"/>
      <c r="F178" s="50"/>
      <c r="G178" s="82"/>
      <c r="H178" s="107"/>
      <c r="I178" s="108"/>
      <c r="J178" s="108"/>
      <c r="K178" s="108"/>
      <c r="L178" s="82"/>
      <c r="O178" s="81">
        <v>158</v>
      </c>
    </row>
    <row r="179" spans="3:15" s="49" customFormat="1" ht="18.75" x14ac:dyDescent="0.15">
      <c r="C179" s="50"/>
      <c r="D179" s="109"/>
      <c r="E179" s="110"/>
      <c r="F179" s="50"/>
      <c r="G179" s="82"/>
      <c r="H179" s="107"/>
      <c r="I179" s="108"/>
      <c r="J179" s="108"/>
      <c r="K179" s="108"/>
      <c r="L179" s="82"/>
      <c r="O179" s="81">
        <v>159</v>
      </c>
    </row>
    <row r="180" spans="3:15" s="49" customFormat="1" ht="18.75" x14ac:dyDescent="0.15">
      <c r="C180" s="50"/>
      <c r="D180" s="109"/>
      <c r="E180" s="110"/>
      <c r="F180" s="50"/>
      <c r="G180" s="82"/>
      <c r="H180" s="107"/>
      <c r="I180" s="108"/>
      <c r="J180" s="108"/>
      <c r="K180" s="108"/>
      <c r="L180" s="82"/>
      <c r="O180" s="81">
        <v>160</v>
      </c>
    </row>
    <row r="181" spans="3:15" s="49" customFormat="1" ht="18.75" x14ac:dyDescent="0.15">
      <c r="C181" s="50"/>
      <c r="D181" s="109"/>
      <c r="E181" s="110"/>
      <c r="F181" s="50"/>
      <c r="G181" s="82"/>
      <c r="H181" s="107"/>
      <c r="I181" s="108"/>
      <c r="J181" s="108"/>
      <c r="K181" s="108"/>
      <c r="L181" s="82"/>
      <c r="O181" s="81">
        <v>161</v>
      </c>
    </row>
    <row r="182" spans="3:15" s="49" customFormat="1" ht="18.75" x14ac:dyDescent="0.15">
      <c r="C182" s="50"/>
      <c r="D182" s="109"/>
      <c r="E182" s="110"/>
      <c r="F182" s="50"/>
      <c r="G182" s="82"/>
      <c r="H182" s="107"/>
      <c r="I182" s="108"/>
      <c r="J182" s="108"/>
      <c r="K182" s="108"/>
      <c r="L182" s="82"/>
      <c r="O182" s="81">
        <v>162</v>
      </c>
    </row>
    <row r="183" spans="3:15" s="49" customFormat="1" ht="18.75" x14ac:dyDescent="0.15">
      <c r="C183" s="50"/>
      <c r="D183" s="109"/>
      <c r="E183" s="110"/>
      <c r="F183" s="50"/>
      <c r="G183" s="82"/>
      <c r="H183" s="107"/>
      <c r="I183" s="108"/>
      <c r="J183" s="108"/>
      <c r="K183" s="108"/>
      <c r="L183" s="82"/>
      <c r="O183" s="81">
        <v>163</v>
      </c>
    </row>
    <row r="184" spans="3:15" s="49" customFormat="1" ht="18.75" x14ac:dyDescent="0.15">
      <c r="C184" s="50"/>
      <c r="D184" s="109"/>
      <c r="E184" s="110"/>
      <c r="F184" s="50"/>
      <c r="G184" s="82"/>
      <c r="H184" s="107"/>
      <c r="I184" s="108"/>
      <c r="J184" s="108"/>
      <c r="K184" s="108"/>
      <c r="L184" s="82"/>
      <c r="O184" s="81">
        <v>164</v>
      </c>
    </row>
    <row r="185" spans="3:15" s="49" customFormat="1" ht="18.75" x14ac:dyDescent="0.15">
      <c r="C185" s="50"/>
      <c r="D185" s="109"/>
      <c r="E185" s="110"/>
      <c r="F185" s="50"/>
      <c r="G185" s="82"/>
      <c r="H185" s="107"/>
      <c r="I185" s="108"/>
      <c r="J185" s="108"/>
      <c r="K185" s="108"/>
      <c r="L185" s="82"/>
      <c r="O185" s="81">
        <v>165</v>
      </c>
    </row>
    <row r="186" spans="3:15" s="49" customFormat="1" ht="18.75" x14ac:dyDescent="0.15">
      <c r="C186" s="50"/>
      <c r="D186" s="109"/>
      <c r="E186" s="110"/>
      <c r="F186" s="50"/>
      <c r="G186" s="82"/>
      <c r="H186" s="107"/>
      <c r="I186" s="108"/>
      <c r="J186" s="108"/>
      <c r="K186" s="108"/>
      <c r="L186" s="82"/>
      <c r="O186" s="81">
        <v>166</v>
      </c>
    </row>
    <row r="187" spans="3:15" s="49" customFormat="1" ht="18.75" x14ac:dyDescent="0.15">
      <c r="C187" s="50"/>
      <c r="D187" s="109"/>
      <c r="E187" s="110"/>
      <c r="F187" s="50"/>
      <c r="G187" s="82"/>
      <c r="H187" s="107"/>
      <c r="I187" s="108"/>
      <c r="J187" s="108"/>
      <c r="K187" s="108"/>
      <c r="L187" s="82"/>
      <c r="O187" s="81">
        <v>167</v>
      </c>
    </row>
    <row r="188" spans="3:15" s="49" customFormat="1" ht="18.75" x14ac:dyDescent="0.15">
      <c r="C188" s="50"/>
      <c r="D188" s="109"/>
      <c r="E188" s="110"/>
      <c r="F188" s="50"/>
      <c r="G188" s="82"/>
      <c r="H188" s="107"/>
      <c r="I188" s="108"/>
      <c r="J188" s="108"/>
      <c r="K188" s="108"/>
      <c r="L188" s="82"/>
      <c r="O188" s="81">
        <v>168</v>
      </c>
    </row>
    <row r="189" spans="3:15" s="49" customFormat="1" ht="18.75" x14ac:dyDescent="0.15">
      <c r="C189" s="50"/>
      <c r="D189" s="109"/>
      <c r="E189" s="110"/>
      <c r="F189" s="50"/>
      <c r="G189" s="82"/>
      <c r="H189" s="107"/>
      <c r="I189" s="108"/>
      <c r="J189" s="108"/>
      <c r="K189" s="108"/>
      <c r="L189" s="82"/>
      <c r="O189" s="81">
        <v>169</v>
      </c>
    </row>
    <row r="190" spans="3:15" s="49" customFormat="1" ht="18.75" x14ac:dyDescent="0.15">
      <c r="C190" s="50"/>
      <c r="D190" s="109"/>
      <c r="E190" s="110"/>
      <c r="F190" s="50"/>
      <c r="G190" s="82"/>
      <c r="H190" s="107"/>
      <c r="I190" s="108"/>
      <c r="J190" s="108"/>
      <c r="K190" s="108"/>
      <c r="L190" s="82"/>
      <c r="O190" s="81">
        <v>170</v>
      </c>
    </row>
    <row r="191" spans="3:15" s="49" customFormat="1" ht="18.75" x14ac:dyDescent="0.15">
      <c r="C191" s="50"/>
      <c r="D191" s="109"/>
      <c r="E191" s="110"/>
      <c r="F191" s="50"/>
      <c r="G191" s="82"/>
      <c r="H191" s="107"/>
      <c r="I191" s="108"/>
      <c r="J191" s="108"/>
      <c r="K191" s="108"/>
      <c r="L191" s="82"/>
      <c r="O191" s="81">
        <v>171</v>
      </c>
    </row>
    <row r="192" spans="3:15" s="49" customFormat="1" ht="18.75" x14ac:dyDescent="0.15">
      <c r="C192" s="50"/>
      <c r="D192" s="109"/>
      <c r="E192" s="110"/>
      <c r="F192" s="50"/>
      <c r="G192" s="82"/>
      <c r="H192" s="107"/>
      <c r="I192" s="108"/>
      <c r="J192" s="108"/>
      <c r="K192" s="108"/>
      <c r="L192" s="82"/>
      <c r="O192" s="81">
        <v>172</v>
      </c>
    </row>
    <row r="193" spans="3:15" s="49" customFormat="1" ht="18.75" x14ac:dyDescent="0.15">
      <c r="C193" s="50"/>
      <c r="D193" s="109"/>
      <c r="E193" s="110"/>
      <c r="F193" s="50"/>
      <c r="G193" s="82"/>
      <c r="H193" s="107"/>
      <c r="I193" s="108"/>
      <c r="J193" s="108"/>
      <c r="K193" s="108"/>
      <c r="L193" s="82"/>
      <c r="O193" s="81">
        <v>173</v>
      </c>
    </row>
    <row r="194" spans="3:15" s="49" customFormat="1" ht="18.75" x14ac:dyDescent="0.15">
      <c r="C194" s="50"/>
      <c r="D194" s="109"/>
      <c r="E194" s="110"/>
      <c r="F194" s="50"/>
      <c r="G194" s="82"/>
      <c r="H194" s="107"/>
      <c r="I194" s="108"/>
      <c r="J194" s="108"/>
      <c r="K194" s="108"/>
      <c r="L194" s="82"/>
      <c r="O194" s="81">
        <v>174</v>
      </c>
    </row>
    <row r="195" spans="3:15" s="49" customFormat="1" ht="18.75" x14ac:dyDescent="0.15">
      <c r="C195" s="50"/>
      <c r="D195" s="109"/>
      <c r="E195" s="110"/>
      <c r="F195" s="50"/>
      <c r="G195" s="82"/>
      <c r="H195" s="107"/>
      <c r="I195" s="108"/>
      <c r="J195" s="108"/>
      <c r="K195" s="108"/>
      <c r="L195" s="82"/>
      <c r="O195" s="81">
        <v>175</v>
      </c>
    </row>
    <row r="196" spans="3:15" s="49" customFormat="1" ht="18.75" x14ac:dyDescent="0.15">
      <c r="C196" s="50"/>
      <c r="D196" s="109"/>
      <c r="E196" s="110"/>
      <c r="F196" s="50"/>
      <c r="G196" s="82"/>
      <c r="H196" s="107"/>
      <c r="I196" s="108"/>
      <c r="J196" s="108"/>
      <c r="K196" s="108"/>
      <c r="L196" s="82"/>
      <c r="O196" s="81">
        <v>176</v>
      </c>
    </row>
    <row r="197" spans="3:15" s="49" customFormat="1" ht="18.75" x14ac:dyDescent="0.15">
      <c r="C197" s="50"/>
      <c r="D197" s="109"/>
      <c r="E197" s="110"/>
      <c r="F197" s="50"/>
      <c r="G197" s="82"/>
      <c r="H197" s="107"/>
      <c r="I197" s="108"/>
      <c r="J197" s="108"/>
      <c r="K197" s="108"/>
      <c r="L197" s="82"/>
      <c r="O197" s="81">
        <v>177</v>
      </c>
    </row>
    <row r="198" spans="3:15" s="49" customFormat="1" ht="18.75" x14ac:dyDescent="0.15">
      <c r="C198" s="50"/>
      <c r="D198" s="109"/>
      <c r="E198" s="110"/>
      <c r="F198" s="50"/>
      <c r="G198" s="82"/>
      <c r="H198" s="107"/>
      <c r="I198" s="108"/>
      <c r="J198" s="108"/>
      <c r="K198" s="108"/>
      <c r="L198" s="82"/>
      <c r="O198" s="81">
        <v>178</v>
      </c>
    </row>
    <row r="199" spans="3:15" s="49" customFormat="1" ht="18.75" x14ac:dyDescent="0.15">
      <c r="C199" s="50"/>
      <c r="D199" s="109"/>
      <c r="E199" s="110"/>
      <c r="F199" s="50"/>
      <c r="G199" s="82"/>
      <c r="H199" s="107"/>
      <c r="I199" s="108"/>
      <c r="J199" s="108"/>
      <c r="K199" s="108"/>
      <c r="L199" s="82"/>
      <c r="O199" s="81">
        <v>179</v>
      </c>
    </row>
    <row r="200" spans="3:15" s="49" customFormat="1" ht="18.75" x14ac:dyDescent="0.15">
      <c r="C200" s="50"/>
      <c r="D200" s="109"/>
      <c r="E200" s="110"/>
      <c r="F200" s="50"/>
      <c r="G200" s="82"/>
      <c r="H200" s="107"/>
      <c r="I200" s="108"/>
      <c r="J200" s="108"/>
      <c r="K200" s="108"/>
      <c r="L200" s="82"/>
      <c r="O200" s="81">
        <v>180</v>
      </c>
    </row>
    <row r="201" spans="3:15" x14ac:dyDescent="0.15">
      <c r="D201" s="91"/>
      <c r="E201" s="92"/>
      <c r="F201" s="93"/>
      <c r="G201" s="94"/>
      <c r="H201" s="95"/>
      <c r="I201" s="96"/>
      <c r="J201" s="96"/>
      <c r="K201" s="96"/>
      <c r="L201" s="94"/>
      <c r="O201" s="80"/>
    </row>
    <row r="202" spans="3:15" x14ac:dyDescent="0.15">
      <c r="D202" s="91"/>
      <c r="E202" s="92"/>
      <c r="F202" s="93"/>
      <c r="G202" s="94"/>
      <c r="H202" s="95"/>
      <c r="I202" s="96"/>
      <c r="J202" s="96"/>
      <c r="K202" s="96"/>
      <c r="L202" s="94"/>
      <c r="O202" s="80"/>
    </row>
    <row r="203" spans="3:15" x14ac:dyDescent="0.15">
      <c r="O203" s="80"/>
    </row>
    <row r="204" spans="3:15" x14ac:dyDescent="0.15">
      <c r="O204" s="80"/>
    </row>
    <row r="205" spans="3:15" x14ac:dyDescent="0.15">
      <c r="O205" s="80"/>
    </row>
    <row r="206" spans="3:15" x14ac:dyDescent="0.15">
      <c r="O206" s="80"/>
    </row>
    <row r="207" spans="3:15" x14ac:dyDescent="0.15">
      <c r="O207" s="80"/>
    </row>
    <row r="208" spans="3:15" x14ac:dyDescent="0.15">
      <c r="O208" s="80"/>
    </row>
    <row r="209" spans="15:15" x14ac:dyDescent="0.15">
      <c r="O209" s="80"/>
    </row>
    <row r="210" spans="15:15" x14ac:dyDescent="0.15">
      <c r="O210" s="80"/>
    </row>
    <row r="211" spans="15:15" x14ac:dyDescent="0.15">
      <c r="O211" s="80"/>
    </row>
    <row r="212" spans="15:15" x14ac:dyDescent="0.15">
      <c r="O212" s="80"/>
    </row>
    <row r="213" spans="15:15" x14ac:dyDescent="0.15">
      <c r="O213" s="80"/>
    </row>
    <row r="214" spans="15:15" x14ac:dyDescent="0.15">
      <c r="O214" s="80"/>
    </row>
    <row r="215" spans="15:15" x14ac:dyDescent="0.15">
      <c r="O215" s="80"/>
    </row>
    <row r="216" spans="15:15" x14ac:dyDescent="0.15">
      <c r="O216" s="80"/>
    </row>
    <row r="217" spans="15:15" x14ac:dyDescent="0.15">
      <c r="O217" s="80"/>
    </row>
    <row r="218" spans="15:15" x14ac:dyDescent="0.15">
      <c r="O218" s="80"/>
    </row>
    <row r="219" spans="15:15" x14ac:dyDescent="0.15">
      <c r="O219" s="80"/>
    </row>
    <row r="220" spans="15:15" x14ac:dyDescent="0.15">
      <c r="O220" s="80"/>
    </row>
  </sheetData>
  <sortState xmlns:xlrd2="http://schemas.microsoft.com/office/spreadsheetml/2017/richdata2" ref="D21:L39">
    <sortCondition ref="D21"/>
    <sortCondition ref="E21"/>
  </sortState>
  <mergeCells count="5">
    <mergeCell ref="E1:F1"/>
    <mergeCell ref="C18:D18"/>
    <mergeCell ref="C16:G16"/>
    <mergeCell ref="E12:G12"/>
    <mergeCell ref="E14:K14"/>
  </mergeCells>
  <phoneticPr fontId="2"/>
  <dataValidations count="4">
    <dataValidation type="list" allowBlank="1" showInputMessage="1" showErrorMessage="1" sqref="H1:H2" xr:uid="{00000000-0002-0000-0000-000001000000}">
      <formula1>$O$1:$O$2</formula1>
    </dataValidation>
    <dataValidation type="whole" operator="equal" allowBlank="1" showInputMessage="1" showErrorMessage="1" sqref="O2:Q2" xr:uid="{00000000-0002-0000-0000-000002000000}">
      <formula1>9999</formula1>
    </dataValidation>
    <dataValidation imeMode="off" allowBlank="1" showInputMessage="1" showErrorMessage="1" sqref="C18:D18" xr:uid="{00000000-0002-0000-0000-000003000000}"/>
    <dataValidation type="whole" imeMode="off" allowBlank="1" showInputMessage="1" showErrorMessage="1" sqref="E1:F1" xr:uid="{981BEA93-DDB8-46C6-84AD-3F111F567BD7}">
      <formula1>0</formula1>
      <formula2>1999</formula2>
    </dataValidation>
  </dataValidations>
  <hyperlinks>
    <hyperlink ref="E3" r:id="rId1" xr:uid="{00000000-0004-0000-0000-000000000000}"/>
  </hyperlinks>
  <pageMargins left="0.42" right="0.2" top="0.77" bottom="0.81" header="0.51200000000000001" footer="0.51200000000000001"/>
  <pageSetup paperSize="9" orientation="portrait" horizontalDpi="4294967293" r:id="rId2"/>
  <headerFooter alignWithMargins="0">
    <oddFooter>&amp;C&amp;P/&amp;N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標準データ抽出">
                <anchor moveWithCells="1" sizeWithCells="1">
                  <from>
                    <xdr:col>11</xdr:col>
                    <xdr:colOff>219075</xdr:colOff>
                    <xdr:row>0</xdr:row>
                    <xdr:rowOff>38100</xdr:rowOff>
                  </from>
                  <to>
                    <xdr:col>11</xdr:col>
                    <xdr:colOff>904875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標準報告書記録処理">
                <anchor moveWithCells="1" sizeWithCells="1">
                  <from>
                    <xdr:col>11</xdr:col>
                    <xdr:colOff>933450</xdr:colOff>
                    <xdr:row>0</xdr:row>
                    <xdr:rowOff>28575</xdr:rowOff>
                  </from>
                  <to>
                    <xdr:col>12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T199"/>
  <sheetViews>
    <sheetView showGridLines="0" workbookViewId="0">
      <pane xSplit="11" ySplit="7" topLeftCell="L8" activePane="bottomRight" state="frozen"/>
      <selection pane="topRight" activeCell="L1" sqref="L1"/>
      <selection pane="bottomLeft" activeCell="A8" sqref="A8"/>
      <selection pane="bottomRight" activeCell="T6" sqref="T6"/>
    </sheetView>
  </sheetViews>
  <sheetFormatPr defaultRowHeight="13.5" x14ac:dyDescent="0.15"/>
  <cols>
    <col min="1" max="1" width="3.125" style="1" customWidth="1"/>
    <col min="2" max="2" width="4.25" style="14" customWidth="1"/>
    <col min="3" max="3" width="13" style="14" hidden="1" customWidth="1"/>
    <col min="4" max="4" width="22.875" style="14" customWidth="1"/>
    <col min="5" max="6" width="13.5" style="14" customWidth="1"/>
    <col min="7" max="7" width="9.875" style="14" customWidth="1"/>
    <col min="8" max="8" width="23" style="14" customWidth="1"/>
    <col min="9" max="10" width="9" style="14"/>
    <col min="11" max="16384" width="9" style="1"/>
  </cols>
  <sheetData>
    <row r="1" spans="2:20" ht="17.25" customHeight="1" x14ac:dyDescent="0.15">
      <c r="D1" s="68" t="s">
        <v>18</v>
      </c>
      <c r="E1" s="28">
        <v>565</v>
      </c>
      <c r="F1" s="140" t="s">
        <v>51</v>
      </c>
      <c r="G1" s="141"/>
      <c r="H1" s="130" t="s">
        <v>100</v>
      </c>
      <c r="I1" s="75"/>
      <c r="J1" s="75"/>
      <c r="K1" s="76"/>
      <c r="L1" s="60"/>
      <c r="M1" s="60"/>
      <c r="N1" s="60"/>
      <c r="O1" s="61"/>
      <c r="Q1" s="138" t="s">
        <v>69</v>
      </c>
      <c r="R1" s="58" t="s">
        <v>59</v>
      </c>
    </row>
    <row r="2" spans="2:20" ht="18" customHeight="1" x14ac:dyDescent="0.15">
      <c r="D2" s="68" t="s">
        <v>67</v>
      </c>
      <c r="E2" s="29" t="s">
        <v>59</v>
      </c>
      <c r="F2" s="71" t="s">
        <v>70</v>
      </c>
      <c r="G2" s="142"/>
      <c r="H2" s="143"/>
      <c r="Q2" s="139"/>
      <c r="R2" s="58" t="s">
        <v>50</v>
      </c>
    </row>
    <row r="3" spans="2:20" ht="18.75" x14ac:dyDescent="0.15">
      <c r="B3" s="15" t="s">
        <v>26</v>
      </c>
      <c r="D3" s="15"/>
      <c r="Q3" s="58" t="s">
        <v>68</v>
      </c>
      <c r="R3" s="59" t="str">
        <f>YEAR(D5)&amp;RIGHT("00"&amp;MONTH(D5),2)&amp;RIGHT("00"&amp;DAY(D5),2)</f>
        <v>19000100</v>
      </c>
    </row>
    <row r="4" spans="2:20" ht="33" customHeight="1" x14ac:dyDescent="0.15">
      <c r="D4" s="15"/>
    </row>
    <row r="5" spans="2:20" ht="18.75" customHeight="1" x14ac:dyDescent="0.15">
      <c r="C5" s="87"/>
      <c r="D5" s="127"/>
      <c r="E5" s="16" t="s">
        <v>30</v>
      </c>
    </row>
    <row r="6" spans="2:20" x14ac:dyDescent="0.15">
      <c r="H6" s="23"/>
    </row>
    <row r="7" spans="2:20" ht="17.25" x14ac:dyDescent="0.15">
      <c r="B7" s="21" t="s">
        <v>31</v>
      </c>
      <c r="C7" s="20"/>
      <c r="D7" s="21" t="s">
        <v>71</v>
      </c>
      <c r="E7" s="21" t="s">
        <v>27</v>
      </c>
      <c r="F7" s="21" t="s">
        <v>28</v>
      </c>
      <c r="G7" s="21" t="s">
        <v>29</v>
      </c>
      <c r="H7" s="21" t="s">
        <v>72</v>
      </c>
      <c r="I7" s="16"/>
      <c r="J7" s="16"/>
      <c r="Q7" s="10"/>
    </row>
    <row r="8" spans="2:20" ht="34.5" customHeight="1" x14ac:dyDescent="0.15">
      <c r="B8" s="17"/>
      <c r="C8" s="17"/>
      <c r="D8" s="84"/>
      <c r="E8" s="19"/>
      <c r="F8" s="17"/>
      <c r="G8" s="18"/>
      <c r="H8" s="85"/>
      <c r="I8" s="16"/>
      <c r="J8" s="16"/>
      <c r="Q8" s="3"/>
      <c r="R8" s="2"/>
      <c r="S8" s="12"/>
      <c r="T8" s="2"/>
    </row>
    <row r="9" spans="2:20" ht="34.5" customHeight="1" x14ac:dyDescent="0.15">
      <c r="B9" s="17"/>
      <c r="C9" s="17"/>
      <c r="D9" s="84"/>
      <c r="E9" s="19"/>
      <c r="F9" s="17"/>
      <c r="G9" s="18"/>
      <c r="H9" s="85"/>
      <c r="I9" s="16"/>
      <c r="J9" s="16"/>
      <c r="Q9" s="10"/>
      <c r="R9" s="2"/>
      <c r="S9" s="12"/>
      <c r="T9" s="2"/>
    </row>
    <row r="10" spans="2:20" ht="34.5" customHeight="1" x14ac:dyDescent="0.15">
      <c r="B10" s="17"/>
      <c r="C10" s="17"/>
      <c r="D10" s="84"/>
      <c r="E10" s="19"/>
      <c r="F10" s="17"/>
      <c r="G10" s="18"/>
      <c r="H10" s="85"/>
      <c r="I10" s="16"/>
      <c r="J10" s="16"/>
      <c r="Q10" s="10"/>
      <c r="R10" s="2"/>
      <c r="S10" s="12"/>
      <c r="T10" s="2"/>
    </row>
    <row r="11" spans="2:20" ht="34.5" customHeight="1" x14ac:dyDescent="0.15">
      <c r="B11" s="17"/>
      <c r="C11" s="17"/>
      <c r="D11" s="84"/>
      <c r="E11" s="19"/>
      <c r="F11" s="17"/>
      <c r="G11" s="18"/>
      <c r="H11" s="85"/>
      <c r="I11" s="16"/>
      <c r="J11" s="16"/>
      <c r="Q11" s="10"/>
      <c r="R11" s="2"/>
      <c r="S11" s="12"/>
      <c r="T11" s="2"/>
    </row>
    <row r="12" spans="2:20" ht="34.5" customHeight="1" x14ac:dyDescent="0.15">
      <c r="B12" s="17"/>
      <c r="C12" s="17"/>
      <c r="D12" s="84"/>
      <c r="E12" s="19"/>
      <c r="F12" s="17"/>
      <c r="G12" s="18"/>
      <c r="H12" s="85"/>
      <c r="I12" s="16"/>
      <c r="J12" s="16"/>
      <c r="Q12" s="10"/>
      <c r="R12" s="2"/>
      <c r="S12" s="12"/>
      <c r="T12" s="2"/>
    </row>
    <row r="13" spans="2:20" ht="34.5" customHeight="1" x14ac:dyDescent="0.15">
      <c r="B13" s="17"/>
      <c r="C13" s="17"/>
      <c r="D13" s="84"/>
      <c r="E13" s="19"/>
      <c r="F13" s="17"/>
      <c r="G13" s="18"/>
      <c r="H13" s="85"/>
      <c r="I13" s="16"/>
      <c r="J13" s="16"/>
      <c r="Q13" s="10"/>
      <c r="R13" s="2"/>
      <c r="S13" s="12"/>
      <c r="T13" s="2"/>
    </row>
    <row r="14" spans="2:20" ht="34.5" customHeight="1" x14ac:dyDescent="0.15">
      <c r="B14" s="17"/>
      <c r="C14" s="17"/>
      <c r="D14" s="84"/>
      <c r="E14" s="19"/>
      <c r="F14" s="17"/>
      <c r="G14" s="18"/>
      <c r="H14" s="85"/>
      <c r="I14" s="16"/>
      <c r="J14" s="16"/>
      <c r="Q14" s="10"/>
      <c r="R14" s="2"/>
      <c r="S14" s="12"/>
      <c r="T14" s="2"/>
    </row>
    <row r="15" spans="2:20" ht="34.5" customHeight="1" x14ac:dyDescent="0.15">
      <c r="B15" s="17"/>
      <c r="C15" s="17"/>
      <c r="D15" s="84"/>
      <c r="E15" s="19"/>
      <c r="F15" s="17"/>
      <c r="G15" s="18"/>
      <c r="H15" s="85"/>
      <c r="I15" s="16"/>
      <c r="J15" s="16"/>
      <c r="Q15" s="10"/>
      <c r="R15" s="2"/>
      <c r="S15" s="12"/>
      <c r="T15" s="2"/>
    </row>
    <row r="16" spans="2:20" ht="34.5" customHeight="1" x14ac:dyDescent="0.15">
      <c r="B16" s="17"/>
      <c r="C16" s="17"/>
      <c r="D16" s="84"/>
      <c r="E16" s="19"/>
      <c r="F16" s="17"/>
      <c r="G16" s="18"/>
      <c r="H16" s="85"/>
      <c r="I16" s="16"/>
      <c r="J16" s="16"/>
      <c r="Q16" s="10"/>
      <c r="R16" s="2"/>
      <c r="S16" s="12"/>
      <c r="T16" s="2"/>
    </row>
    <row r="17" spans="2:20" ht="34.5" customHeight="1" x14ac:dyDescent="0.15">
      <c r="B17" s="17"/>
      <c r="C17" s="17"/>
      <c r="D17" s="84"/>
      <c r="E17" s="19"/>
      <c r="F17" s="17"/>
      <c r="G17" s="18"/>
      <c r="H17" s="85"/>
      <c r="I17" s="16"/>
      <c r="J17" s="16"/>
      <c r="Q17" s="10"/>
      <c r="R17" s="2"/>
      <c r="S17" s="12"/>
      <c r="T17" s="2"/>
    </row>
    <row r="18" spans="2:20" ht="34.5" customHeight="1" x14ac:dyDescent="0.15">
      <c r="B18" s="17"/>
      <c r="C18" s="17"/>
      <c r="D18" s="84"/>
      <c r="E18" s="19"/>
      <c r="F18" s="17"/>
      <c r="G18" s="18"/>
      <c r="H18" s="85"/>
      <c r="I18" s="16"/>
      <c r="J18" s="16"/>
      <c r="Q18" s="3"/>
      <c r="R18" s="2"/>
      <c r="S18" s="12"/>
      <c r="T18" s="2"/>
    </row>
    <row r="19" spans="2:20" ht="34.5" customHeight="1" x14ac:dyDescent="0.15">
      <c r="B19" s="17"/>
      <c r="C19" s="17"/>
      <c r="D19" s="84"/>
      <c r="E19" s="19"/>
      <c r="F19" s="17"/>
      <c r="G19" s="18"/>
      <c r="H19" s="85"/>
      <c r="I19" s="16"/>
      <c r="J19" s="16"/>
      <c r="Q19" s="10"/>
      <c r="R19" s="2"/>
      <c r="S19" s="12"/>
      <c r="T19" s="2"/>
    </row>
    <row r="20" spans="2:20" ht="34.5" customHeight="1" x14ac:dyDescent="0.15">
      <c r="B20" s="17"/>
      <c r="C20" s="17"/>
      <c r="D20" s="84"/>
      <c r="E20" s="19"/>
      <c r="F20" s="17"/>
      <c r="G20" s="18"/>
      <c r="H20" s="85"/>
      <c r="I20" s="16"/>
      <c r="J20" s="16"/>
      <c r="R20" s="2"/>
      <c r="S20" s="2"/>
      <c r="T20" s="2"/>
    </row>
    <row r="21" spans="2:20" ht="34.5" customHeight="1" x14ac:dyDescent="0.15">
      <c r="B21" s="17"/>
      <c r="C21" s="17"/>
      <c r="D21" s="84"/>
      <c r="E21" s="19"/>
      <c r="F21" s="17"/>
      <c r="G21" s="18"/>
      <c r="H21" s="85"/>
      <c r="I21" s="16"/>
      <c r="J21" s="16"/>
      <c r="R21" s="2"/>
      <c r="T21" s="2"/>
    </row>
    <row r="22" spans="2:20" ht="34.5" customHeight="1" x14ac:dyDescent="0.15">
      <c r="B22" s="17"/>
      <c r="C22" s="17"/>
      <c r="D22" s="84"/>
      <c r="E22" s="19"/>
      <c r="F22" s="17"/>
      <c r="G22" s="18"/>
      <c r="H22" s="85"/>
      <c r="T22" s="2"/>
    </row>
    <row r="23" spans="2:20" ht="34.5" customHeight="1" x14ac:dyDescent="0.15">
      <c r="B23" s="17"/>
      <c r="C23" s="17"/>
      <c r="D23" s="84"/>
      <c r="E23" s="19"/>
      <c r="F23" s="17"/>
      <c r="G23" s="18"/>
      <c r="H23" s="85"/>
      <c r="T23" s="2"/>
    </row>
    <row r="24" spans="2:20" ht="34.5" customHeight="1" x14ac:dyDescent="0.15">
      <c r="B24" s="17"/>
      <c r="C24" s="17"/>
      <c r="D24" s="84"/>
      <c r="E24" s="19"/>
      <c r="F24" s="17"/>
      <c r="G24" s="18"/>
      <c r="H24" s="85"/>
      <c r="T24" s="2"/>
    </row>
    <row r="25" spans="2:20" ht="34.5" customHeight="1" x14ac:dyDescent="0.15">
      <c r="B25" s="17"/>
      <c r="C25" s="17"/>
      <c r="D25" s="84"/>
      <c r="E25" s="19"/>
      <c r="F25" s="17"/>
      <c r="G25" s="18"/>
      <c r="H25" s="85"/>
      <c r="T25" s="2"/>
    </row>
    <row r="26" spans="2:20" ht="34.5" customHeight="1" x14ac:dyDescent="0.15">
      <c r="B26" s="17"/>
      <c r="C26" s="17"/>
      <c r="D26" s="84"/>
      <c r="E26" s="19"/>
      <c r="F26" s="17"/>
      <c r="G26" s="18"/>
      <c r="H26" s="85"/>
      <c r="T26" s="2"/>
    </row>
    <row r="27" spans="2:20" ht="34.5" customHeight="1" x14ac:dyDescent="0.15">
      <c r="B27" s="17"/>
      <c r="C27" s="17"/>
      <c r="D27" s="84"/>
      <c r="E27" s="19"/>
      <c r="F27" s="17"/>
      <c r="G27" s="18"/>
      <c r="H27" s="85"/>
      <c r="T27" s="2"/>
    </row>
    <row r="28" spans="2:20" ht="34.5" customHeight="1" x14ac:dyDescent="0.15">
      <c r="B28" s="17"/>
      <c r="C28" s="17"/>
      <c r="D28" s="84"/>
      <c r="E28" s="19"/>
      <c r="F28" s="17"/>
      <c r="G28" s="18"/>
      <c r="H28" s="85"/>
      <c r="T28" s="2"/>
    </row>
    <row r="29" spans="2:20" ht="34.5" customHeight="1" x14ac:dyDescent="0.15">
      <c r="B29" s="17"/>
      <c r="C29" s="17"/>
      <c r="D29" s="84"/>
      <c r="E29" s="19"/>
      <c r="F29" s="17"/>
      <c r="G29" s="18"/>
      <c r="H29" s="85"/>
      <c r="T29" s="2"/>
    </row>
    <row r="30" spans="2:20" ht="34.5" customHeight="1" x14ac:dyDescent="0.15">
      <c r="B30" s="17"/>
      <c r="C30" s="17"/>
      <c r="D30" s="84"/>
      <c r="E30" s="19"/>
      <c r="F30" s="17"/>
      <c r="G30" s="18"/>
      <c r="H30" s="85"/>
      <c r="T30" s="2"/>
    </row>
    <row r="31" spans="2:20" ht="34.5" customHeight="1" x14ac:dyDescent="0.15">
      <c r="B31" s="17"/>
      <c r="C31" s="17"/>
      <c r="D31" s="84"/>
      <c r="E31" s="19"/>
      <c r="F31" s="17"/>
      <c r="G31" s="18"/>
      <c r="H31" s="85"/>
      <c r="T31" s="2"/>
    </row>
    <row r="32" spans="2:20" ht="34.5" customHeight="1" x14ac:dyDescent="0.15">
      <c r="B32" s="17"/>
      <c r="C32" s="17"/>
      <c r="D32" s="84"/>
      <c r="E32" s="19"/>
      <c r="F32" s="17"/>
      <c r="G32" s="18"/>
      <c r="H32" s="85"/>
      <c r="T32" s="2"/>
    </row>
    <row r="33" spans="2:20" ht="34.5" customHeight="1" x14ac:dyDescent="0.15">
      <c r="B33" s="17"/>
      <c r="C33" s="17"/>
      <c r="D33" s="84"/>
      <c r="E33" s="19"/>
      <c r="F33" s="17"/>
      <c r="G33" s="18"/>
      <c r="H33" s="85"/>
      <c r="T33" s="2"/>
    </row>
    <row r="34" spans="2:20" ht="34.5" customHeight="1" x14ac:dyDescent="0.15">
      <c r="B34" s="17"/>
      <c r="C34" s="17"/>
      <c r="D34" s="84"/>
      <c r="E34" s="19"/>
      <c r="F34" s="17"/>
      <c r="G34" s="18"/>
      <c r="H34" s="85"/>
      <c r="T34" s="2"/>
    </row>
    <row r="35" spans="2:20" ht="34.5" customHeight="1" x14ac:dyDescent="0.15">
      <c r="B35" s="17"/>
      <c r="C35" s="17"/>
      <c r="D35" s="84"/>
      <c r="E35" s="19"/>
      <c r="F35" s="17"/>
      <c r="G35" s="18"/>
      <c r="H35" s="85"/>
      <c r="T35" s="2"/>
    </row>
    <row r="36" spans="2:20" ht="34.5" customHeight="1" x14ac:dyDescent="0.15">
      <c r="B36" s="17"/>
      <c r="C36" s="17"/>
      <c r="D36" s="84"/>
      <c r="E36" s="19"/>
      <c r="F36" s="17"/>
      <c r="G36" s="18"/>
      <c r="H36" s="85"/>
      <c r="T36" s="2"/>
    </row>
    <row r="37" spans="2:20" ht="34.5" customHeight="1" x14ac:dyDescent="0.15">
      <c r="B37" s="17"/>
      <c r="C37" s="17"/>
      <c r="D37" s="84"/>
      <c r="E37" s="19"/>
      <c r="F37" s="17"/>
      <c r="G37" s="18"/>
      <c r="H37" s="85"/>
      <c r="T37" s="2"/>
    </row>
    <row r="38" spans="2:20" ht="34.5" customHeight="1" x14ac:dyDescent="0.15">
      <c r="B38" s="17"/>
      <c r="C38" s="17"/>
      <c r="D38" s="84"/>
      <c r="E38" s="19"/>
      <c r="F38" s="17"/>
      <c r="G38" s="18"/>
      <c r="H38" s="85"/>
      <c r="T38" s="2"/>
    </row>
    <row r="39" spans="2:20" ht="34.5" customHeight="1" x14ac:dyDescent="0.15">
      <c r="B39" s="17"/>
      <c r="C39" s="17"/>
      <c r="D39" s="84"/>
      <c r="E39" s="19"/>
      <c r="F39" s="17"/>
      <c r="G39" s="18"/>
      <c r="H39" s="85"/>
    </row>
    <row r="40" spans="2:20" ht="34.5" customHeight="1" x14ac:dyDescent="0.15">
      <c r="B40" s="17"/>
      <c r="C40" s="17"/>
      <c r="D40" s="84"/>
      <c r="E40" s="19"/>
      <c r="F40" s="17"/>
      <c r="G40" s="18"/>
      <c r="H40" s="85"/>
    </row>
    <row r="41" spans="2:20" ht="34.5" customHeight="1" x14ac:dyDescent="0.15">
      <c r="B41" s="17"/>
      <c r="C41" s="17"/>
      <c r="D41" s="84"/>
      <c r="E41" s="19"/>
      <c r="F41" s="17"/>
      <c r="G41" s="18"/>
      <c r="H41" s="85"/>
    </row>
    <row r="42" spans="2:20" ht="34.5" customHeight="1" x14ac:dyDescent="0.15">
      <c r="B42" s="17"/>
      <c r="C42" s="17"/>
      <c r="D42" s="84"/>
      <c r="E42" s="19"/>
      <c r="F42" s="17"/>
      <c r="G42" s="18"/>
      <c r="H42" s="85"/>
    </row>
    <row r="43" spans="2:20" ht="34.5" customHeight="1" x14ac:dyDescent="0.15">
      <c r="B43" s="17"/>
      <c r="C43" s="17"/>
      <c r="D43" s="84"/>
      <c r="E43" s="19"/>
      <c r="F43" s="17"/>
      <c r="G43" s="18"/>
      <c r="H43" s="85"/>
    </row>
    <row r="44" spans="2:20" ht="34.5" customHeight="1" x14ac:dyDescent="0.15">
      <c r="B44" s="17"/>
      <c r="C44" s="17"/>
      <c r="D44" s="84"/>
      <c r="E44" s="19"/>
      <c r="F44" s="17"/>
      <c r="G44" s="18"/>
      <c r="H44" s="85"/>
    </row>
    <row r="45" spans="2:20" ht="34.5" customHeight="1" x14ac:dyDescent="0.15">
      <c r="B45" s="17"/>
      <c r="C45" s="17"/>
      <c r="D45" s="84"/>
      <c r="E45" s="19"/>
      <c r="F45" s="17"/>
      <c r="G45" s="18"/>
      <c r="H45" s="85"/>
    </row>
    <row r="46" spans="2:20" ht="34.5" customHeight="1" x14ac:dyDescent="0.15">
      <c r="B46" s="17"/>
      <c r="C46" s="17"/>
      <c r="D46" s="84"/>
      <c r="E46" s="19"/>
      <c r="F46" s="17"/>
      <c r="G46" s="18"/>
      <c r="H46" s="85"/>
    </row>
    <row r="47" spans="2:20" ht="34.5" customHeight="1" x14ac:dyDescent="0.15">
      <c r="B47" s="17"/>
      <c r="C47" s="17"/>
      <c r="D47" s="84"/>
      <c r="E47" s="19"/>
      <c r="F47" s="17"/>
      <c r="G47" s="18"/>
      <c r="H47" s="85"/>
    </row>
    <row r="48" spans="2:20" ht="34.5" customHeight="1" x14ac:dyDescent="0.15">
      <c r="B48" s="17"/>
      <c r="C48" s="17"/>
      <c r="D48" s="84"/>
      <c r="E48" s="19"/>
      <c r="F48" s="17"/>
      <c r="G48" s="18"/>
      <c r="H48" s="85"/>
    </row>
    <row r="49" spans="2:8" ht="34.5" customHeight="1" x14ac:dyDescent="0.15">
      <c r="B49" s="17"/>
      <c r="C49" s="17"/>
      <c r="D49" s="84"/>
      <c r="E49" s="19"/>
      <c r="F49" s="17"/>
      <c r="G49" s="18"/>
      <c r="H49" s="85"/>
    </row>
    <row r="50" spans="2:8" ht="34.5" customHeight="1" x14ac:dyDescent="0.15">
      <c r="B50" s="17"/>
      <c r="C50" s="17"/>
      <c r="D50" s="84"/>
      <c r="E50" s="19"/>
      <c r="F50" s="17"/>
      <c r="G50" s="18"/>
      <c r="H50" s="85"/>
    </row>
    <row r="51" spans="2:8" ht="34.5" customHeight="1" x14ac:dyDescent="0.15">
      <c r="B51" s="17"/>
      <c r="C51" s="17"/>
      <c r="D51" s="84"/>
      <c r="E51" s="19"/>
      <c r="F51" s="17"/>
      <c r="G51" s="18"/>
      <c r="H51" s="85"/>
    </row>
    <row r="52" spans="2:8" ht="34.5" customHeight="1" x14ac:dyDescent="0.15">
      <c r="B52" s="17"/>
      <c r="C52" s="17"/>
      <c r="D52" s="84"/>
      <c r="E52" s="19"/>
      <c r="F52" s="17"/>
      <c r="G52" s="18"/>
      <c r="H52" s="85"/>
    </row>
    <row r="53" spans="2:8" ht="34.5" customHeight="1" x14ac:dyDescent="0.15">
      <c r="B53" s="17"/>
      <c r="C53" s="17"/>
      <c r="D53" s="84"/>
      <c r="E53" s="19"/>
      <c r="F53" s="17"/>
      <c r="G53" s="18"/>
      <c r="H53" s="85"/>
    </row>
    <row r="54" spans="2:8" ht="34.5" customHeight="1" x14ac:dyDescent="0.15">
      <c r="B54" s="17"/>
      <c r="C54" s="17"/>
      <c r="D54" s="84"/>
      <c r="E54" s="19"/>
      <c r="F54" s="17"/>
      <c r="G54" s="18"/>
      <c r="H54" s="85"/>
    </row>
    <row r="55" spans="2:8" ht="34.5" customHeight="1" x14ac:dyDescent="0.15">
      <c r="B55" s="17"/>
      <c r="C55" s="17"/>
      <c r="D55" s="84"/>
      <c r="E55" s="19"/>
      <c r="F55" s="17"/>
      <c r="G55" s="18"/>
      <c r="H55" s="85"/>
    </row>
    <row r="56" spans="2:8" ht="34.5" customHeight="1" x14ac:dyDescent="0.15">
      <c r="B56" s="17"/>
      <c r="C56" s="17"/>
      <c r="D56" s="84"/>
      <c r="E56" s="19"/>
      <c r="F56" s="17"/>
      <c r="G56" s="18"/>
      <c r="H56" s="85"/>
    </row>
    <row r="57" spans="2:8" ht="34.5" customHeight="1" x14ac:dyDescent="0.15">
      <c r="B57" s="17"/>
      <c r="C57" s="17"/>
      <c r="D57" s="84"/>
      <c r="E57" s="19"/>
      <c r="F57" s="17"/>
      <c r="G57" s="18"/>
      <c r="H57" s="85"/>
    </row>
    <row r="58" spans="2:8" ht="34.5" customHeight="1" x14ac:dyDescent="0.15">
      <c r="B58" s="17"/>
      <c r="C58" s="17"/>
      <c r="D58" s="84"/>
      <c r="E58" s="19"/>
      <c r="F58" s="17"/>
      <c r="G58" s="18"/>
      <c r="H58" s="85"/>
    </row>
    <row r="59" spans="2:8" ht="34.5" customHeight="1" x14ac:dyDescent="0.15">
      <c r="B59" s="17"/>
      <c r="C59" s="17"/>
      <c r="D59" s="84"/>
      <c r="E59" s="19"/>
      <c r="F59" s="17"/>
      <c r="G59" s="18"/>
      <c r="H59" s="85"/>
    </row>
    <row r="60" spans="2:8" ht="34.5" customHeight="1" x14ac:dyDescent="0.15">
      <c r="B60" s="17"/>
      <c r="C60" s="17"/>
      <c r="D60" s="84"/>
      <c r="E60" s="19"/>
      <c r="F60" s="17"/>
      <c r="G60" s="18"/>
      <c r="H60" s="85"/>
    </row>
    <row r="61" spans="2:8" ht="34.5" customHeight="1" x14ac:dyDescent="0.15">
      <c r="B61" s="17"/>
      <c r="C61" s="17"/>
      <c r="D61" s="84"/>
      <c r="E61" s="19"/>
      <c r="F61" s="17"/>
      <c r="G61" s="18"/>
      <c r="H61" s="85"/>
    </row>
    <row r="62" spans="2:8" ht="34.5" customHeight="1" x14ac:dyDescent="0.15">
      <c r="B62" s="17"/>
      <c r="C62" s="17"/>
      <c r="D62" s="84"/>
      <c r="E62" s="19"/>
      <c r="F62" s="17"/>
      <c r="G62" s="18"/>
      <c r="H62" s="85"/>
    </row>
    <row r="63" spans="2:8" ht="34.5" customHeight="1" x14ac:dyDescent="0.15">
      <c r="B63" s="17"/>
      <c r="C63" s="17"/>
      <c r="D63" s="84"/>
      <c r="E63" s="19"/>
      <c r="F63" s="17"/>
      <c r="G63" s="18"/>
      <c r="H63" s="85"/>
    </row>
    <row r="64" spans="2:8" ht="34.5" customHeight="1" x14ac:dyDescent="0.15">
      <c r="B64" s="17"/>
      <c r="C64" s="17"/>
      <c r="D64" s="84"/>
      <c r="E64" s="19"/>
      <c r="F64" s="17"/>
      <c r="G64" s="18"/>
      <c r="H64" s="85"/>
    </row>
    <row r="65" spans="2:8" ht="34.5" customHeight="1" x14ac:dyDescent="0.15">
      <c r="B65" s="17"/>
      <c r="C65" s="17"/>
      <c r="D65" s="84"/>
      <c r="E65" s="19"/>
      <c r="F65" s="17"/>
      <c r="G65" s="18"/>
      <c r="H65" s="85"/>
    </row>
    <row r="66" spans="2:8" ht="34.5" customHeight="1" x14ac:dyDescent="0.15">
      <c r="B66" s="17"/>
      <c r="C66" s="17"/>
      <c r="D66" s="84"/>
      <c r="E66" s="19"/>
      <c r="F66" s="17"/>
      <c r="G66" s="18"/>
      <c r="H66" s="85"/>
    </row>
    <row r="67" spans="2:8" ht="34.5" customHeight="1" x14ac:dyDescent="0.15">
      <c r="B67" s="17"/>
      <c r="C67" s="17"/>
      <c r="D67" s="84"/>
      <c r="E67" s="19"/>
      <c r="F67" s="17"/>
      <c r="G67" s="18"/>
      <c r="H67" s="85"/>
    </row>
    <row r="68" spans="2:8" ht="34.5" customHeight="1" x14ac:dyDescent="0.15">
      <c r="B68" s="17"/>
      <c r="C68" s="17"/>
      <c r="D68" s="84"/>
      <c r="E68" s="19"/>
      <c r="F68" s="17"/>
      <c r="G68" s="18"/>
      <c r="H68" s="85"/>
    </row>
    <row r="69" spans="2:8" ht="34.5" customHeight="1" x14ac:dyDescent="0.15">
      <c r="B69" s="17"/>
      <c r="C69" s="17"/>
      <c r="D69" s="84"/>
      <c r="E69" s="19"/>
      <c r="F69" s="17"/>
      <c r="G69" s="18"/>
      <c r="H69" s="85"/>
    </row>
    <row r="70" spans="2:8" ht="34.5" customHeight="1" x14ac:dyDescent="0.15">
      <c r="B70" s="17"/>
      <c r="C70" s="17"/>
      <c r="D70" s="84"/>
      <c r="E70" s="19"/>
      <c r="F70" s="17"/>
      <c r="G70" s="18"/>
      <c r="H70" s="85"/>
    </row>
    <row r="71" spans="2:8" ht="34.5" customHeight="1" x14ac:dyDescent="0.15">
      <c r="B71" s="17"/>
      <c r="C71" s="17"/>
      <c r="D71" s="84"/>
      <c r="E71" s="19"/>
      <c r="F71" s="17"/>
      <c r="G71" s="18"/>
      <c r="H71" s="85"/>
    </row>
    <row r="72" spans="2:8" ht="34.5" customHeight="1" x14ac:dyDescent="0.15">
      <c r="B72" s="17"/>
      <c r="C72" s="17"/>
      <c r="D72" s="84"/>
      <c r="E72" s="19"/>
      <c r="F72" s="17"/>
      <c r="G72" s="18"/>
      <c r="H72" s="85"/>
    </row>
    <row r="73" spans="2:8" ht="34.5" customHeight="1" x14ac:dyDescent="0.15">
      <c r="B73" s="17"/>
      <c r="C73" s="17"/>
      <c r="D73" s="84"/>
      <c r="E73" s="19"/>
      <c r="F73" s="17"/>
      <c r="G73" s="18"/>
      <c r="H73" s="85"/>
    </row>
    <row r="74" spans="2:8" ht="34.5" customHeight="1" x14ac:dyDescent="0.15">
      <c r="B74" s="17"/>
      <c r="C74" s="17"/>
      <c r="D74" s="84"/>
      <c r="E74" s="19"/>
      <c r="F74" s="17"/>
      <c r="G74" s="18"/>
      <c r="H74" s="85"/>
    </row>
    <row r="75" spans="2:8" ht="34.5" customHeight="1" x14ac:dyDescent="0.15">
      <c r="B75" s="17"/>
      <c r="C75" s="17"/>
      <c r="D75" s="84"/>
      <c r="E75" s="19"/>
      <c r="F75" s="17"/>
      <c r="G75" s="18"/>
      <c r="H75" s="85"/>
    </row>
    <row r="76" spans="2:8" ht="34.5" customHeight="1" x14ac:dyDescent="0.15">
      <c r="B76" s="17"/>
      <c r="C76" s="17"/>
      <c r="D76" s="84"/>
      <c r="E76" s="19"/>
      <c r="F76" s="17"/>
      <c r="G76" s="18"/>
      <c r="H76" s="85"/>
    </row>
    <row r="77" spans="2:8" ht="34.5" customHeight="1" x14ac:dyDescent="0.15">
      <c r="B77" s="17"/>
      <c r="C77" s="17"/>
      <c r="D77" s="84"/>
      <c r="E77" s="19"/>
      <c r="F77" s="17"/>
      <c r="G77" s="18"/>
      <c r="H77" s="85"/>
    </row>
    <row r="78" spans="2:8" ht="34.5" customHeight="1" x14ac:dyDescent="0.15">
      <c r="B78" s="17"/>
      <c r="C78" s="17"/>
      <c r="D78" s="84"/>
      <c r="E78" s="19"/>
      <c r="F78" s="17"/>
      <c r="G78" s="18"/>
      <c r="H78" s="85"/>
    </row>
    <row r="79" spans="2:8" ht="34.5" customHeight="1" x14ac:dyDescent="0.15">
      <c r="B79" s="17"/>
      <c r="C79" s="17"/>
      <c r="D79" s="84"/>
      <c r="E79" s="19"/>
      <c r="F79" s="17"/>
      <c r="G79" s="18"/>
      <c r="H79" s="85"/>
    </row>
    <row r="80" spans="2:8" ht="34.5" customHeight="1" x14ac:dyDescent="0.15">
      <c r="B80" s="17"/>
      <c r="C80" s="17"/>
      <c r="D80" s="84"/>
      <c r="E80" s="19"/>
      <c r="F80" s="17"/>
      <c r="G80" s="18"/>
      <c r="H80" s="85"/>
    </row>
    <row r="81" spans="2:8" ht="34.5" customHeight="1" x14ac:dyDescent="0.15">
      <c r="B81" s="17"/>
      <c r="C81" s="17"/>
      <c r="D81" s="84"/>
      <c r="E81" s="19"/>
      <c r="F81" s="17"/>
      <c r="G81" s="18"/>
      <c r="H81" s="85"/>
    </row>
    <row r="82" spans="2:8" ht="34.5" customHeight="1" x14ac:dyDescent="0.15">
      <c r="B82" s="17"/>
      <c r="C82" s="17"/>
      <c r="D82" s="84"/>
      <c r="E82" s="19"/>
      <c r="F82" s="17"/>
      <c r="G82" s="18"/>
      <c r="H82" s="85"/>
    </row>
    <row r="83" spans="2:8" ht="34.5" customHeight="1" x14ac:dyDescent="0.15">
      <c r="B83" s="17"/>
      <c r="C83" s="17"/>
      <c r="D83" s="84"/>
      <c r="E83" s="19"/>
      <c r="F83" s="17"/>
      <c r="G83" s="18"/>
      <c r="H83" s="85"/>
    </row>
    <row r="84" spans="2:8" ht="34.5" customHeight="1" x14ac:dyDescent="0.15">
      <c r="B84" s="17"/>
      <c r="C84" s="17"/>
      <c r="D84" s="84"/>
      <c r="E84" s="19"/>
      <c r="F84" s="17"/>
      <c r="G84" s="18"/>
      <c r="H84" s="85"/>
    </row>
    <row r="85" spans="2:8" ht="34.5" customHeight="1" x14ac:dyDescent="0.15">
      <c r="B85" s="17"/>
      <c r="C85" s="17"/>
      <c r="D85" s="84"/>
      <c r="E85" s="19"/>
      <c r="F85" s="17"/>
      <c r="G85" s="18"/>
      <c r="H85" s="85"/>
    </row>
    <row r="86" spans="2:8" ht="34.5" customHeight="1" x14ac:dyDescent="0.15">
      <c r="B86" s="17"/>
      <c r="C86" s="17"/>
      <c r="D86" s="84"/>
      <c r="E86" s="19"/>
      <c r="F86" s="17"/>
      <c r="G86" s="18"/>
      <c r="H86" s="85"/>
    </row>
    <row r="87" spans="2:8" ht="34.5" customHeight="1" x14ac:dyDescent="0.15">
      <c r="B87" s="17"/>
      <c r="C87" s="17"/>
      <c r="D87" s="84"/>
      <c r="E87" s="19"/>
      <c r="F87" s="17"/>
      <c r="G87" s="18"/>
      <c r="H87" s="85"/>
    </row>
    <row r="88" spans="2:8" ht="34.5" customHeight="1" x14ac:dyDescent="0.15">
      <c r="B88" s="17"/>
      <c r="C88" s="17"/>
      <c r="D88" s="84"/>
      <c r="E88" s="19"/>
      <c r="F88" s="17"/>
      <c r="G88" s="18"/>
      <c r="H88" s="85"/>
    </row>
    <row r="89" spans="2:8" ht="34.5" customHeight="1" x14ac:dyDescent="0.15">
      <c r="B89" s="17"/>
      <c r="C89" s="17"/>
      <c r="D89" s="84"/>
      <c r="E89" s="19"/>
      <c r="F89" s="17"/>
      <c r="G89" s="18"/>
      <c r="H89" s="85"/>
    </row>
    <row r="90" spans="2:8" ht="34.5" customHeight="1" x14ac:dyDescent="0.15">
      <c r="B90" s="17"/>
      <c r="C90" s="17"/>
      <c r="D90" s="84"/>
      <c r="E90" s="19"/>
      <c r="F90" s="17"/>
      <c r="G90" s="18"/>
      <c r="H90" s="85"/>
    </row>
    <row r="91" spans="2:8" ht="34.5" customHeight="1" x14ac:dyDescent="0.15">
      <c r="B91" s="17"/>
      <c r="C91" s="17"/>
      <c r="D91" s="84"/>
      <c r="E91" s="19"/>
      <c r="F91" s="17"/>
      <c r="G91" s="18"/>
      <c r="H91" s="85"/>
    </row>
    <row r="92" spans="2:8" ht="34.5" customHeight="1" x14ac:dyDescent="0.15">
      <c r="B92" s="17"/>
      <c r="C92" s="17"/>
      <c r="D92" s="84"/>
      <c r="E92" s="19"/>
      <c r="F92" s="17"/>
      <c r="G92" s="18"/>
      <c r="H92" s="85"/>
    </row>
    <row r="93" spans="2:8" ht="34.5" customHeight="1" x14ac:dyDescent="0.15">
      <c r="B93" s="17"/>
      <c r="C93" s="17"/>
      <c r="D93" s="84"/>
      <c r="E93" s="19"/>
      <c r="F93" s="17"/>
      <c r="G93" s="18"/>
      <c r="H93" s="85"/>
    </row>
    <row r="94" spans="2:8" ht="34.5" customHeight="1" x14ac:dyDescent="0.15">
      <c r="B94" s="17"/>
      <c r="C94" s="17"/>
      <c r="D94" s="84"/>
      <c r="E94" s="19"/>
      <c r="F94" s="17"/>
      <c r="G94" s="18"/>
      <c r="H94" s="85"/>
    </row>
    <row r="95" spans="2:8" ht="34.5" customHeight="1" x14ac:dyDescent="0.15">
      <c r="B95" s="17"/>
      <c r="C95" s="17"/>
      <c r="D95" s="84"/>
      <c r="E95" s="19"/>
      <c r="F95" s="17"/>
      <c r="G95" s="18"/>
      <c r="H95" s="85"/>
    </row>
    <row r="96" spans="2:8" ht="34.5" customHeight="1" x14ac:dyDescent="0.15">
      <c r="B96" s="17"/>
      <c r="C96" s="17"/>
      <c r="D96" s="84"/>
      <c r="E96" s="19"/>
      <c r="F96" s="17"/>
      <c r="G96" s="18"/>
      <c r="H96" s="85"/>
    </row>
    <row r="97" spans="2:8" ht="34.5" customHeight="1" x14ac:dyDescent="0.15">
      <c r="B97" s="17"/>
      <c r="C97" s="17"/>
      <c r="D97" s="84"/>
      <c r="E97" s="19"/>
      <c r="F97" s="17"/>
      <c r="G97" s="18"/>
      <c r="H97" s="85"/>
    </row>
    <row r="98" spans="2:8" ht="34.5" customHeight="1" x14ac:dyDescent="0.15">
      <c r="B98" s="17"/>
      <c r="C98" s="17"/>
      <c r="D98" s="84"/>
      <c r="E98" s="19"/>
      <c r="F98" s="17"/>
      <c r="G98" s="18"/>
      <c r="H98" s="85"/>
    </row>
    <row r="99" spans="2:8" ht="34.5" customHeight="1" x14ac:dyDescent="0.15">
      <c r="B99" s="17"/>
      <c r="C99" s="17"/>
      <c r="D99" s="84"/>
      <c r="E99" s="19"/>
      <c r="F99" s="17"/>
      <c r="G99" s="18"/>
      <c r="H99" s="85"/>
    </row>
    <row r="100" spans="2:8" ht="34.5" customHeight="1" x14ac:dyDescent="0.15">
      <c r="B100" s="17"/>
      <c r="C100" s="17"/>
      <c r="D100" s="84"/>
      <c r="E100" s="19"/>
      <c r="F100" s="17"/>
      <c r="G100" s="18"/>
      <c r="H100" s="85"/>
    </row>
    <row r="101" spans="2:8" ht="34.5" customHeight="1" x14ac:dyDescent="0.15">
      <c r="B101" s="17"/>
      <c r="C101" s="17"/>
      <c r="D101" s="84"/>
      <c r="E101" s="19"/>
      <c r="F101" s="17"/>
      <c r="G101" s="18"/>
      <c r="H101" s="85"/>
    </row>
    <row r="102" spans="2:8" ht="34.5" customHeight="1" x14ac:dyDescent="0.15">
      <c r="B102" s="17"/>
      <c r="C102" s="17"/>
      <c r="D102" s="84"/>
      <c r="E102" s="19"/>
      <c r="F102" s="17"/>
      <c r="G102" s="18"/>
      <c r="H102" s="85"/>
    </row>
    <row r="103" spans="2:8" ht="34.5" customHeight="1" x14ac:dyDescent="0.15">
      <c r="B103" s="17"/>
      <c r="C103" s="17"/>
      <c r="D103" s="84"/>
      <c r="E103" s="19"/>
      <c r="F103" s="17"/>
      <c r="G103" s="18"/>
      <c r="H103" s="85"/>
    </row>
    <row r="104" spans="2:8" ht="34.5" customHeight="1" x14ac:dyDescent="0.15">
      <c r="B104" s="17"/>
      <c r="C104" s="17"/>
      <c r="D104" s="84"/>
      <c r="E104" s="19"/>
      <c r="F104" s="17"/>
      <c r="G104" s="18"/>
      <c r="H104" s="85"/>
    </row>
    <row r="105" spans="2:8" ht="34.5" customHeight="1" x14ac:dyDescent="0.15">
      <c r="B105" s="17"/>
      <c r="C105" s="17"/>
      <c r="D105" s="84"/>
      <c r="E105" s="19"/>
      <c r="F105" s="17"/>
      <c r="G105" s="18"/>
      <c r="H105" s="85"/>
    </row>
    <row r="106" spans="2:8" ht="34.5" customHeight="1" x14ac:dyDescent="0.15">
      <c r="B106" s="17"/>
      <c r="C106" s="17"/>
      <c r="D106" s="84"/>
      <c r="E106" s="19"/>
      <c r="F106" s="17"/>
      <c r="G106" s="18"/>
      <c r="H106" s="85"/>
    </row>
    <row r="107" spans="2:8" ht="34.5" customHeight="1" x14ac:dyDescent="0.15">
      <c r="B107" s="17"/>
      <c r="C107" s="17"/>
      <c r="D107" s="84"/>
      <c r="E107" s="19"/>
      <c r="F107" s="17"/>
      <c r="G107" s="18"/>
      <c r="H107" s="85"/>
    </row>
    <row r="108" spans="2:8" ht="34.5" customHeight="1" x14ac:dyDescent="0.15">
      <c r="B108" s="17"/>
      <c r="C108" s="17"/>
      <c r="D108" s="84"/>
      <c r="E108" s="19"/>
      <c r="F108" s="17"/>
      <c r="G108" s="18"/>
      <c r="H108" s="85"/>
    </row>
    <row r="109" spans="2:8" ht="34.5" customHeight="1" x14ac:dyDescent="0.15">
      <c r="B109" s="17"/>
      <c r="C109" s="17"/>
      <c r="D109" s="84"/>
      <c r="E109" s="19"/>
      <c r="F109" s="17"/>
      <c r="G109" s="18"/>
      <c r="H109" s="85"/>
    </row>
    <row r="110" spans="2:8" ht="34.5" customHeight="1" x14ac:dyDescent="0.15">
      <c r="B110" s="17"/>
      <c r="C110" s="17"/>
      <c r="D110" s="84"/>
      <c r="E110" s="19"/>
      <c r="F110" s="17"/>
      <c r="G110" s="18"/>
      <c r="H110" s="85"/>
    </row>
    <row r="111" spans="2:8" ht="34.5" customHeight="1" x14ac:dyDescent="0.15">
      <c r="B111" s="17"/>
      <c r="C111" s="17"/>
      <c r="D111" s="84"/>
      <c r="E111" s="19"/>
      <c r="F111" s="17"/>
      <c r="G111" s="18"/>
      <c r="H111" s="85"/>
    </row>
    <row r="112" spans="2:8" ht="34.5" customHeight="1" x14ac:dyDescent="0.15">
      <c r="B112" s="17"/>
      <c r="C112" s="17"/>
      <c r="D112" s="84"/>
      <c r="E112" s="19"/>
      <c r="F112" s="17"/>
      <c r="G112" s="18"/>
      <c r="H112" s="85"/>
    </row>
    <row r="113" spans="2:8" ht="34.5" customHeight="1" x14ac:dyDescent="0.15">
      <c r="B113" s="17"/>
      <c r="C113" s="17"/>
      <c r="D113" s="84"/>
      <c r="E113" s="19"/>
      <c r="F113" s="17"/>
      <c r="G113" s="18"/>
      <c r="H113" s="85"/>
    </row>
    <row r="114" spans="2:8" ht="34.5" customHeight="1" x14ac:dyDescent="0.15">
      <c r="B114" s="17"/>
      <c r="C114" s="17"/>
      <c r="D114" s="84"/>
      <c r="E114" s="19"/>
      <c r="F114" s="17"/>
      <c r="G114" s="18"/>
      <c r="H114" s="85"/>
    </row>
    <row r="115" spans="2:8" ht="34.5" customHeight="1" x14ac:dyDescent="0.15">
      <c r="B115" s="17"/>
      <c r="C115" s="17"/>
      <c r="D115" s="84"/>
      <c r="E115" s="19"/>
      <c r="F115" s="17"/>
      <c r="G115" s="18"/>
      <c r="H115" s="85"/>
    </row>
    <row r="116" spans="2:8" ht="34.5" customHeight="1" x14ac:dyDescent="0.15">
      <c r="B116" s="17"/>
      <c r="C116" s="17"/>
      <c r="D116" s="84"/>
      <c r="E116" s="19"/>
      <c r="F116" s="17"/>
      <c r="G116" s="18"/>
      <c r="H116" s="85"/>
    </row>
    <row r="117" spans="2:8" ht="34.5" customHeight="1" x14ac:dyDescent="0.15">
      <c r="B117" s="17"/>
      <c r="C117" s="17"/>
      <c r="D117" s="84"/>
      <c r="E117" s="19"/>
      <c r="F117" s="17"/>
      <c r="G117" s="18"/>
      <c r="H117" s="85"/>
    </row>
    <row r="118" spans="2:8" ht="34.5" customHeight="1" x14ac:dyDescent="0.15">
      <c r="B118" s="17"/>
      <c r="C118" s="17"/>
      <c r="D118" s="84"/>
      <c r="E118" s="19"/>
      <c r="F118" s="17"/>
      <c r="G118" s="18"/>
      <c r="H118" s="85"/>
    </row>
    <row r="119" spans="2:8" ht="34.5" customHeight="1" x14ac:dyDescent="0.15">
      <c r="B119" s="17"/>
      <c r="C119" s="17"/>
      <c r="D119" s="84"/>
      <c r="E119" s="19"/>
      <c r="F119" s="17"/>
      <c r="G119" s="18"/>
      <c r="H119" s="85"/>
    </row>
    <row r="120" spans="2:8" ht="34.5" customHeight="1" x14ac:dyDescent="0.15">
      <c r="B120" s="17"/>
      <c r="C120" s="17"/>
      <c r="D120" s="84"/>
      <c r="E120" s="19"/>
      <c r="F120" s="17"/>
      <c r="G120" s="18"/>
      <c r="H120" s="85"/>
    </row>
    <row r="121" spans="2:8" ht="34.5" customHeight="1" x14ac:dyDescent="0.15">
      <c r="B121" s="17"/>
      <c r="C121" s="17"/>
      <c r="D121" s="84"/>
      <c r="E121" s="19"/>
      <c r="F121" s="17"/>
      <c r="G121" s="18"/>
      <c r="H121" s="85"/>
    </row>
    <row r="122" spans="2:8" ht="34.5" customHeight="1" x14ac:dyDescent="0.15">
      <c r="B122" s="17"/>
      <c r="C122" s="17"/>
      <c r="D122" s="84"/>
      <c r="E122" s="19"/>
      <c r="F122" s="17"/>
      <c r="G122" s="18"/>
      <c r="H122" s="85"/>
    </row>
    <row r="123" spans="2:8" ht="34.5" customHeight="1" x14ac:dyDescent="0.15">
      <c r="B123" s="17"/>
      <c r="C123" s="17"/>
      <c r="D123" s="84"/>
      <c r="E123" s="19"/>
      <c r="F123" s="17"/>
      <c r="G123" s="18"/>
      <c r="H123" s="85"/>
    </row>
    <row r="124" spans="2:8" ht="34.5" customHeight="1" x14ac:dyDescent="0.15">
      <c r="B124" s="17"/>
      <c r="C124" s="17"/>
      <c r="D124" s="84"/>
      <c r="E124" s="19"/>
      <c r="F124" s="17"/>
      <c r="G124" s="18"/>
      <c r="H124" s="85"/>
    </row>
    <row r="125" spans="2:8" ht="34.5" customHeight="1" x14ac:dyDescent="0.15">
      <c r="B125" s="17"/>
      <c r="C125" s="17"/>
      <c r="D125" s="84"/>
      <c r="E125" s="19"/>
      <c r="F125" s="17"/>
      <c r="G125" s="18"/>
      <c r="H125" s="85"/>
    </row>
    <row r="126" spans="2:8" ht="34.5" customHeight="1" x14ac:dyDescent="0.15">
      <c r="B126" s="17"/>
      <c r="C126" s="17"/>
      <c r="D126" s="84"/>
      <c r="E126" s="19"/>
      <c r="F126" s="17"/>
      <c r="G126" s="18"/>
      <c r="H126" s="85"/>
    </row>
    <row r="127" spans="2:8" ht="34.5" customHeight="1" x14ac:dyDescent="0.15">
      <c r="B127" s="17"/>
      <c r="C127" s="17"/>
      <c r="D127" s="84"/>
      <c r="E127" s="19"/>
      <c r="F127" s="17"/>
      <c r="G127" s="18"/>
      <c r="H127" s="85"/>
    </row>
    <row r="128" spans="2:8" ht="34.5" customHeight="1" x14ac:dyDescent="0.15">
      <c r="B128" s="17"/>
      <c r="C128" s="17"/>
      <c r="D128" s="84"/>
      <c r="E128" s="19"/>
      <c r="F128" s="17"/>
      <c r="G128" s="18"/>
      <c r="H128" s="85"/>
    </row>
    <row r="129" spans="2:8" ht="34.5" customHeight="1" x14ac:dyDescent="0.15">
      <c r="B129" s="17"/>
      <c r="C129" s="17"/>
      <c r="D129" s="84"/>
      <c r="E129" s="19"/>
      <c r="F129" s="17"/>
      <c r="G129" s="18"/>
      <c r="H129" s="85"/>
    </row>
    <row r="130" spans="2:8" ht="34.5" customHeight="1" x14ac:dyDescent="0.15">
      <c r="B130" s="17"/>
      <c r="C130" s="17"/>
      <c r="D130" s="84"/>
      <c r="E130" s="19"/>
      <c r="F130" s="17"/>
      <c r="G130" s="18"/>
      <c r="H130" s="85"/>
    </row>
    <row r="131" spans="2:8" ht="34.5" customHeight="1" x14ac:dyDescent="0.15">
      <c r="B131" s="17"/>
      <c r="C131" s="17"/>
      <c r="D131" s="84"/>
      <c r="E131" s="19"/>
      <c r="F131" s="17"/>
      <c r="G131" s="18"/>
      <c r="H131" s="85"/>
    </row>
    <row r="132" spans="2:8" ht="34.5" customHeight="1" x14ac:dyDescent="0.15">
      <c r="B132" s="17"/>
      <c r="C132" s="17"/>
      <c r="D132" s="84"/>
      <c r="E132" s="19"/>
      <c r="F132" s="17"/>
      <c r="G132" s="18"/>
      <c r="H132" s="85"/>
    </row>
    <row r="133" spans="2:8" ht="34.5" customHeight="1" x14ac:dyDescent="0.15">
      <c r="B133" s="17"/>
      <c r="C133" s="17"/>
      <c r="D133" s="84"/>
      <c r="E133" s="19"/>
      <c r="F133" s="17"/>
      <c r="G133" s="18"/>
      <c r="H133" s="85"/>
    </row>
    <row r="134" spans="2:8" ht="34.5" customHeight="1" x14ac:dyDescent="0.15">
      <c r="B134" s="17"/>
      <c r="C134" s="17"/>
      <c r="D134" s="84"/>
      <c r="E134" s="19"/>
      <c r="F134" s="17"/>
      <c r="G134" s="18"/>
      <c r="H134" s="85"/>
    </row>
    <row r="135" spans="2:8" ht="34.5" customHeight="1" x14ac:dyDescent="0.15">
      <c r="B135" s="17"/>
      <c r="C135" s="17"/>
      <c r="D135" s="84"/>
      <c r="E135" s="19"/>
      <c r="F135" s="17"/>
      <c r="G135" s="18"/>
      <c r="H135" s="85"/>
    </row>
    <row r="136" spans="2:8" ht="34.5" customHeight="1" x14ac:dyDescent="0.15">
      <c r="B136" s="17"/>
      <c r="C136" s="17"/>
      <c r="D136" s="84"/>
      <c r="E136" s="19"/>
      <c r="F136" s="17"/>
      <c r="G136" s="18"/>
      <c r="H136" s="85"/>
    </row>
    <row r="137" spans="2:8" ht="34.5" customHeight="1" x14ac:dyDescent="0.15">
      <c r="B137" s="17"/>
      <c r="C137" s="17"/>
      <c r="D137" s="84"/>
      <c r="E137" s="19"/>
      <c r="F137" s="17"/>
      <c r="G137" s="18"/>
      <c r="H137" s="85"/>
    </row>
    <row r="138" spans="2:8" ht="34.5" customHeight="1" x14ac:dyDescent="0.15">
      <c r="B138" s="17"/>
      <c r="C138" s="17"/>
      <c r="D138" s="84"/>
      <c r="E138" s="19"/>
      <c r="F138" s="17"/>
      <c r="G138" s="18"/>
      <c r="H138" s="85"/>
    </row>
    <row r="139" spans="2:8" ht="34.5" customHeight="1" x14ac:dyDescent="0.15">
      <c r="B139" s="17"/>
      <c r="C139" s="17"/>
      <c r="D139" s="84"/>
      <c r="E139" s="19"/>
      <c r="F139" s="17"/>
      <c r="G139" s="18"/>
      <c r="H139" s="85"/>
    </row>
    <row r="140" spans="2:8" ht="34.5" customHeight="1" x14ac:dyDescent="0.15">
      <c r="B140" s="17"/>
      <c r="C140" s="17"/>
      <c r="D140" s="84"/>
      <c r="E140" s="19"/>
      <c r="F140" s="17"/>
      <c r="G140" s="18"/>
      <c r="H140" s="85"/>
    </row>
    <row r="141" spans="2:8" ht="34.5" customHeight="1" x14ac:dyDescent="0.15">
      <c r="B141" s="17"/>
      <c r="C141" s="17"/>
      <c r="D141" s="84"/>
      <c r="E141" s="19"/>
      <c r="F141" s="17"/>
      <c r="G141" s="18"/>
      <c r="H141" s="85"/>
    </row>
    <row r="142" spans="2:8" ht="34.5" customHeight="1" x14ac:dyDescent="0.15">
      <c r="B142" s="17"/>
      <c r="C142" s="17"/>
      <c r="D142" s="84"/>
      <c r="E142" s="19"/>
      <c r="F142" s="17"/>
      <c r="G142" s="18"/>
      <c r="H142" s="85"/>
    </row>
    <row r="143" spans="2:8" ht="34.5" customHeight="1" x14ac:dyDescent="0.15">
      <c r="B143" s="17"/>
      <c r="C143" s="17"/>
      <c r="D143" s="84"/>
      <c r="E143" s="19"/>
      <c r="F143" s="17"/>
      <c r="G143" s="18"/>
      <c r="H143" s="85"/>
    </row>
    <row r="144" spans="2:8" ht="34.5" customHeight="1" x14ac:dyDescent="0.15">
      <c r="B144" s="17"/>
      <c r="C144" s="17"/>
      <c r="D144" s="84"/>
      <c r="E144" s="19"/>
      <c r="F144" s="17"/>
      <c r="G144" s="18"/>
      <c r="H144" s="85"/>
    </row>
    <row r="145" spans="2:8" ht="34.5" customHeight="1" x14ac:dyDescent="0.15">
      <c r="B145" s="17"/>
      <c r="C145" s="17"/>
      <c r="D145" s="84"/>
      <c r="E145" s="19"/>
      <c r="F145" s="17"/>
      <c r="G145" s="18"/>
      <c r="H145" s="85"/>
    </row>
    <row r="146" spans="2:8" ht="34.5" customHeight="1" x14ac:dyDescent="0.15">
      <c r="B146" s="17"/>
      <c r="C146" s="17"/>
      <c r="D146" s="84"/>
      <c r="E146" s="19"/>
      <c r="F146" s="17"/>
      <c r="G146" s="18"/>
      <c r="H146" s="85"/>
    </row>
    <row r="147" spans="2:8" ht="34.5" customHeight="1" x14ac:dyDescent="0.15">
      <c r="B147" s="17"/>
      <c r="C147" s="17"/>
      <c r="D147" s="84"/>
      <c r="E147" s="19"/>
      <c r="F147" s="17"/>
      <c r="G147" s="18"/>
      <c r="H147" s="85"/>
    </row>
    <row r="148" spans="2:8" ht="34.5" customHeight="1" x14ac:dyDescent="0.15">
      <c r="B148" s="17"/>
      <c r="C148" s="17"/>
      <c r="D148" s="84"/>
      <c r="E148" s="19"/>
      <c r="F148" s="17"/>
      <c r="G148" s="18"/>
      <c r="H148" s="85"/>
    </row>
    <row r="149" spans="2:8" ht="34.5" customHeight="1" x14ac:dyDescent="0.15">
      <c r="B149" s="17"/>
      <c r="C149" s="17"/>
      <c r="D149" s="84"/>
      <c r="E149" s="19"/>
      <c r="F149" s="17"/>
      <c r="G149" s="18"/>
      <c r="H149" s="85"/>
    </row>
    <row r="150" spans="2:8" ht="34.5" customHeight="1" x14ac:dyDescent="0.15">
      <c r="B150" s="17"/>
      <c r="C150" s="17"/>
      <c r="D150" s="84"/>
      <c r="E150" s="19"/>
      <c r="F150" s="17"/>
      <c r="G150" s="18"/>
      <c r="H150" s="85"/>
    </row>
    <row r="151" spans="2:8" ht="34.5" customHeight="1" x14ac:dyDescent="0.15">
      <c r="B151" s="17"/>
      <c r="C151" s="17"/>
      <c r="D151" s="84"/>
      <c r="E151" s="19"/>
      <c r="F151" s="17"/>
      <c r="G151" s="18"/>
      <c r="H151" s="85"/>
    </row>
    <row r="152" spans="2:8" ht="34.5" customHeight="1" x14ac:dyDescent="0.15">
      <c r="B152" s="17"/>
      <c r="C152" s="17"/>
      <c r="D152" s="84"/>
      <c r="E152" s="19"/>
      <c r="F152" s="17"/>
      <c r="G152" s="18"/>
      <c r="H152" s="85"/>
    </row>
    <row r="153" spans="2:8" ht="34.5" customHeight="1" x14ac:dyDescent="0.15">
      <c r="B153" s="17"/>
      <c r="C153" s="17"/>
      <c r="D153" s="84"/>
      <c r="E153" s="19"/>
      <c r="F153" s="17"/>
      <c r="G153" s="18"/>
      <c r="H153" s="85"/>
    </row>
    <row r="154" spans="2:8" ht="34.5" customHeight="1" x14ac:dyDescent="0.15">
      <c r="B154" s="17"/>
      <c r="C154" s="17"/>
      <c r="D154" s="84"/>
      <c r="E154" s="19"/>
      <c r="F154" s="17"/>
      <c r="G154" s="18"/>
      <c r="H154" s="85"/>
    </row>
    <row r="155" spans="2:8" ht="34.5" customHeight="1" x14ac:dyDescent="0.15">
      <c r="B155" s="17"/>
      <c r="C155" s="17"/>
      <c r="D155" s="84"/>
      <c r="E155" s="19"/>
      <c r="F155" s="17"/>
      <c r="G155" s="18"/>
      <c r="H155" s="85"/>
    </row>
    <row r="156" spans="2:8" ht="34.5" customHeight="1" x14ac:dyDescent="0.15">
      <c r="B156" s="17"/>
      <c r="C156" s="17"/>
      <c r="D156" s="84"/>
      <c r="E156" s="19"/>
      <c r="F156" s="17"/>
      <c r="G156" s="18"/>
      <c r="H156" s="85"/>
    </row>
    <row r="157" spans="2:8" ht="34.5" customHeight="1" x14ac:dyDescent="0.15">
      <c r="B157" s="17"/>
      <c r="C157" s="17"/>
      <c r="D157" s="84"/>
      <c r="E157" s="19"/>
      <c r="F157" s="17"/>
      <c r="G157" s="18"/>
      <c r="H157" s="85"/>
    </row>
    <row r="158" spans="2:8" ht="34.5" customHeight="1" x14ac:dyDescent="0.15">
      <c r="B158" s="17"/>
      <c r="C158" s="17"/>
      <c r="D158" s="84"/>
      <c r="E158" s="19"/>
      <c r="F158" s="17"/>
      <c r="G158" s="18"/>
      <c r="H158" s="85"/>
    </row>
    <row r="159" spans="2:8" ht="34.5" customHeight="1" x14ac:dyDescent="0.15">
      <c r="B159" s="17"/>
      <c r="C159" s="17"/>
      <c r="D159" s="84"/>
      <c r="E159" s="19"/>
      <c r="F159" s="17"/>
      <c r="G159" s="18"/>
      <c r="H159" s="85"/>
    </row>
    <row r="160" spans="2:8" ht="34.5" customHeight="1" x14ac:dyDescent="0.15">
      <c r="B160" s="17"/>
      <c r="C160" s="17"/>
      <c r="D160" s="84"/>
      <c r="E160" s="19"/>
      <c r="F160" s="17"/>
      <c r="G160" s="18"/>
      <c r="H160" s="85"/>
    </row>
    <row r="161" spans="2:8" ht="34.5" customHeight="1" x14ac:dyDescent="0.15">
      <c r="B161" s="17"/>
      <c r="C161" s="17"/>
      <c r="D161" s="84"/>
      <c r="E161" s="19"/>
      <c r="F161" s="17"/>
      <c r="G161" s="18"/>
      <c r="H161" s="85"/>
    </row>
    <row r="162" spans="2:8" ht="34.5" customHeight="1" x14ac:dyDescent="0.15">
      <c r="B162" s="17"/>
      <c r="C162" s="17"/>
      <c r="D162" s="84"/>
      <c r="E162" s="19"/>
      <c r="F162" s="17"/>
      <c r="G162" s="18"/>
      <c r="H162" s="85"/>
    </row>
    <row r="163" spans="2:8" ht="34.5" customHeight="1" x14ac:dyDescent="0.15">
      <c r="B163" s="17"/>
      <c r="C163" s="17"/>
      <c r="D163" s="84"/>
      <c r="E163" s="19"/>
      <c r="F163" s="17"/>
      <c r="G163" s="18"/>
      <c r="H163" s="85"/>
    </row>
    <row r="164" spans="2:8" ht="34.5" customHeight="1" x14ac:dyDescent="0.15">
      <c r="B164" s="17"/>
      <c r="C164" s="17"/>
      <c r="D164" s="84"/>
      <c r="E164" s="19"/>
      <c r="F164" s="17"/>
      <c r="G164" s="18"/>
      <c r="H164" s="85"/>
    </row>
    <row r="165" spans="2:8" ht="34.5" customHeight="1" x14ac:dyDescent="0.15">
      <c r="B165" s="17"/>
      <c r="C165" s="17"/>
      <c r="D165" s="84"/>
      <c r="E165" s="19"/>
      <c r="F165" s="17"/>
      <c r="G165" s="18"/>
      <c r="H165" s="85"/>
    </row>
    <row r="166" spans="2:8" ht="34.5" customHeight="1" x14ac:dyDescent="0.15">
      <c r="B166" s="17"/>
      <c r="C166" s="17"/>
      <c r="D166" s="84"/>
      <c r="E166" s="19"/>
      <c r="F166" s="17"/>
      <c r="G166" s="18"/>
      <c r="H166" s="85"/>
    </row>
    <row r="167" spans="2:8" ht="34.5" customHeight="1" x14ac:dyDescent="0.15">
      <c r="B167" s="17"/>
      <c r="C167" s="17"/>
      <c r="D167" s="84"/>
      <c r="E167" s="19"/>
      <c r="F167" s="17"/>
      <c r="G167" s="18"/>
      <c r="H167" s="85"/>
    </row>
    <row r="168" spans="2:8" ht="34.5" customHeight="1" x14ac:dyDescent="0.15">
      <c r="B168" s="17"/>
      <c r="C168" s="17"/>
      <c r="D168" s="84"/>
      <c r="E168" s="19"/>
      <c r="F168" s="17"/>
      <c r="G168" s="18"/>
      <c r="H168" s="85"/>
    </row>
    <row r="169" spans="2:8" ht="34.5" customHeight="1" x14ac:dyDescent="0.15">
      <c r="B169" s="17"/>
      <c r="C169" s="17"/>
      <c r="D169" s="84"/>
      <c r="E169" s="19"/>
      <c r="F169" s="17"/>
      <c r="G169" s="18"/>
      <c r="H169" s="85"/>
    </row>
    <row r="170" spans="2:8" ht="34.5" customHeight="1" x14ac:dyDescent="0.15">
      <c r="B170" s="17"/>
      <c r="C170" s="17"/>
      <c r="D170" s="84"/>
      <c r="E170" s="19"/>
      <c r="F170" s="17"/>
      <c r="G170" s="18"/>
      <c r="H170" s="85"/>
    </row>
    <row r="171" spans="2:8" ht="34.5" customHeight="1" x14ac:dyDescent="0.15">
      <c r="B171" s="17"/>
      <c r="C171" s="17"/>
      <c r="D171" s="84"/>
      <c r="E171" s="19"/>
      <c r="F171" s="17"/>
      <c r="G171" s="18"/>
      <c r="H171" s="85"/>
    </row>
    <row r="172" spans="2:8" ht="34.5" customHeight="1" x14ac:dyDescent="0.15">
      <c r="B172" s="17"/>
      <c r="C172" s="17"/>
      <c r="D172" s="84"/>
      <c r="E172" s="19"/>
      <c r="F172" s="17"/>
      <c r="G172" s="18"/>
      <c r="H172" s="85"/>
    </row>
    <row r="173" spans="2:8" ht="34.5" customHeight="1" x14ac:dyDescent="0.15">
      <c r="B173" s="17"/>
      <c r="C173" s="17"/>
      <c r="D173" s="84"/>
      <c r="E173" s="19"/>
      <c r="F173" s="17"/>
      <c r="G173" s="18"/>
      <c r="H173" s="85"/>
    </row>
    <row r="174" spans="2:8" ht="34.5" customHeight="1" x14ac:dyDescent="0.15">
      <c r="B174" s="17"/>
      <c r="C174" s="17"/>
      <c r="D174" s="84"/>
      <c r="E174" s="19"/>
      <c r="F174" s="17"/>
      <c r="G174" s="18"/>
      <c r="H174" s="85"/>
    </row>
    <row r="175" spans="2:8" ht="34.5" customHeight="1" x14ac:dyDescent="0.15">
      <c r="B175" s="17"/>
      <c r="C175" s="17"/>
      <c r="D175" s="84"/>
      <c r="E175" s="19"/>
      <c r="F175" s="17"/>
      <c r="G175" s="18"/>
      <c r="H175" s="85"/>
    </row>
    <row r="176" spans="2:8" ht="34.5" customHeight="1" x14ac:dyDescent="0.15">
      <c r="B176" s="17"/>
      <c r="C176" s="17"/>
      <c r="D176" s="84"/>
      <c r="E176" s="19"/>
      <c r="F176" s="17"/>
      <c r="G176" s="18"/>
      <c r="H176" s="85"/>
    </row>
    <row r="177" spans="2:8" ht="34.5" customHeight="1" x14ac:dyDescent="0.15">
      <c r="B177" s="17"/>
      <c r="C177" s="17"/>
      <c r="D177" s="84"/>
      <c r="E177" s="19"/>
      <c r="F177" s="17"/>
      <c r="G177" s="18"/>
      <c r="H177" s="85"/>
    </row>
    <row r="178" spans="2:8" ht="34.5" customHeight="1" x14ac:dyDescent="0.15">
      <c r="B178" s="17"/>
      <c r="C178" s="17"/>
      <c r="D178" s="84"/>
      <c r="E178" s="19"/>
      <c r="F178" s="17"/>
      <c r="G178" s="18"/>
      <c r="H178" s="85"/>
    </row>
    <row r="179" spans="2:8" ht="34.5" customHeight="1" x14ac:dyDescent="0.15">
      <c r="B179" s="17"/>
      <c r="C179" s="17"/>
      <c r="D179" s="84"/>
      <c r="E179" s="19"/>
      <c r="F179" s="17"/>
      <c r="G179" s="18"/>
      <c r="H179" s="85"/>
    </row>
    <row r="180" spans="2:8" ht="34.5" customHeight="1" x14ac:dyDescent="0.15">
      <c r="B180" s="17"/>
      <c r="C180" s="17"/>
      <c r="D180" s="84"/>
      <c r="E180" s="19"/>
      <c r="F180" s="17"/>
      <c r="G180" s="18"/>
      <c r="H180" s="85"/>
    </row>
    <row r="181" spans="2:8" ht="34.5" customHeight="1" x14ac:dyDescent="0.15">
      <c r="B181" s="17"/>
      <c r="C181" s="17"/>
      <c r="D181" s="84"/>
      <c r="E181" s="19"/>
      <c r="F181" s="17"/>
      <c r="G181" s="18"/>
      <c r="H181" s="85"/>
    </row>
    <row r="182" spans="2:8" ht="34.5" customHeight="1" x14ac:dyDescent="0.15">
      <c r="B182" s="17"/>
      <c r="C182" s="17"/>
      <c r="D182" s="84"/>
      <c r="E182" s="19"/>
      <c r="F182" s="17"/>
      <c r="G182" s="18"/>
      <c r="H182" s="85"/>
    </row>
    <row r="183" spans="2:8" ht="34.5" customHeight="1" x14ac:dyDescent="0.15">
      <c r="B183" s="17"/>
      <c r="C183" s="17"/>
      <c r="D183" s="84"/>
      <c r="E183" s="19"/>
      <c r="F183" s="17"/>
      <c r="G183" s="18"/>
      <c r="H183" s="85"/>
    </row>
    <row r="184" spans="2:8" ht="34.5" customHeight="1" x14ac:dyDescent="0.15">
      <c r="B184" s="17"/>
      <c r="C184" s="17"/>
      <c r="D184" s="84"/>
      <c r="E184" s="19"/>
      <c r="F184" s="17"/>
      <c r="G184" s="18"/>
      <c r="H184" s="85"/>
    </row>
    <row r="185" spans="2:8" ht="34.5" customHeight="1" x14ac:dyDescent="0.15">
      <c r="B185" s="17"/>
      <c r="C185" s="17"/>
      <c r="D185" s="84"/>
      <c r="E185" s="19"/>
      <c r="F185" s="17"/>
      <c r="G185" s="18"/>
      <c r="H185" s="85"/>
    </row>
    <row r="186" spans="2:8" ht="34.5" customHeight="1" x14ac:dyDescent="0.15">
      <c r="B186" s="17"/>
      <c r="C186" s="17"/>
      <c r="D186" s="84"/>
      <c r="E186" s="19"/>
      <c r="F186" s="17"/>
      <c r="G186" s="18"/>
      <c r="H186" s="85"/>
    </row>
    <row r="187" spans="2:8" ht="34.5" customHeight="1" x14ac:dyDescent="0.15">
      <c r="B187" s="17"/>
      <c r="C187" s="17"/>
      <c r="D187" s="84"/>
      <c r="E187" s="19"/>
      <c r="F187" s="17"/>
      <c r="G187" s="18"/>
      <c r="H187" s="85"/>
    </row>
    <row r="188" spans="2:8" ht="34.5" customHeight="1" x14ac:dyDescent="0.15">
      <c r="B188" s="17"/>
      <c r="C188" s="17"/>
      <c r="D188" s="84"/>
      <c r="E188" s="19"/>
      <c r="F188" s="17"/>
      <c r="G188" s="18"/>
      <c r="H188" s="85"/>
    </row>
    <row r="189" spans="2:8" ht="34.5" customHeight="1" x14ac:dyDescent="0.15">
      <c r="B189" s="17"/>
      <c r="C189" s="17"/>
      <c r="D189" s="84"/>
      <c r="E189" s="19"/>
      <c r="F189" s="17"/>
      <c r="G189" s="18"/>
      <c r="H189" s="85"/>
    </row>
    <row r="190" spans="2:8" ht="34.5" customHeight="1" x14ac:dyDescent="0.15">
      <c r="B190" s="17"/>
      <c r="C190" s="17"/>
      <c r="D190" s="84"/>
      <c r="E190" s="19"/>
      <c r="F190" s="17"/>
      <c r="G190" s="18"/>
      <c r="H190" s="85"/>
    </row>
    <row r="191" spans="2:8" ht="34.5" customHeight="1" x14ac:dyDescent="0.15">
      <c r="B191" s="17"/>
      <c r="C191" s="17"/>
      <c r="D191" s="84"/>
      <c r="E191" s="19"/>
      <c r="F191" s="17"/>
      <c r="G191" s="18"/>
      <c r="H191" s="85"/>
    </row>
    <row r="192" spans="2:8" ht="34.5" customHeight="1" x14ac:dyDescent="0.15">
      <c r="B192" s="17"/>
      <c r="C192" s="17"/>
      <c r="D192" s="84"/>
      <c r="E192" s="19"/>
      <c r="F192" s="17"/>
      <c r="G192" s="18"/>
      <c r="H192" s="85"/>
    </row>
    <row r="193" spans="2:8" ht="34.5" customHeight="1" x14ac:dyDescent="0.15">
      <c r="B193" s="17"/>
      <c r="C193" s="17"/>
      <c r="D193" s="84"/>
      <c r="E193" s="19"/>
      <c r="F193" s="17"/>
      <c r="G193" s="18"/>
      <c r="H193" s="85"/>
    </row>
    <row r="194" spans="2:8" ht="34.5" customHeight="1" x14ac:dyDescent="0.15">
      <c r="B194" s="17"/>
      <c r="C194" s="17"/>
      <c r="D194" s="84"/>
      <c r="E194" s="19"/>
      <c r="F194" s="17"/>
      <c r="G194" s="18"/>
      <c r="H194" s="85"/>
    </row>
    <row r="195" spans="2:8" ht="34.5" customHeight="1" x14ac:dyDescent="0.15">
      <c r="B195" s="17"/>
      <c r="C195" s="17"/>
      <c r="D195" s="84"/>
      <c r="E195" s="19"/>
      <c r="F195" s="17"/>
      <c r="G195" s="18"/>
      <c r="H195" s="85"/>
    </row>
    <row r="196" spans="2:8" ht="34.5" customHeight="1" x14ac:dyDescent="0.15">
      <c r="B196" s="17"/>
      <c r="C196" s="17"/>
      <c r="D196" s="84"/>
      <c r="E196" s="19"/>
      <c r="F196" s="17"/>
      <c r="G196" s="18"/>
      <c r="H196" s="85"/>
    </row>
    <row r="197" spans="2:8" ht="34.5" customHeight="1" x14ac:dyDescent="0.15">
      <c r="B197" s="17"/>
      <c r="C197" s="17"/>
      <c r="D197" s="84"/>
      <c r="E197" s="19"/>
      <c r="F197" s="17"/>
      <c r="G197" s="18"/>
      <c r="H197" s="85"/>
    </row>
    <row r="198" spans="2:8" ht="34.5" customHeight="1" x14ac:dyDescent="0.15">
      <c r="B198" s="17"/>
      <c r="C198" s="17"/>
      <c r="D198" s="84"/>
      <c r="E198" s="19"/>
      <c r="F198" s="17"/>
      <c r="G198" s="18"/>
      <c r="H198" s="85"/>
    </row>
    <row r="199" spans="2:8" ht="34.5" customHeight="1" x14ac:dyDescent="0.15">
      <c r="B199" s="17"/>
      <c r="C199" s="17"/>
      <c r="D199" s="84"/>
      <c r="E199" s="19"/>
      <c r="F199" s="17"/>
      <c r="G199" s="18"/>
      <c r="H199" s="85"/>
    </row>
  </sheetData>
  <sortState xmlns:xlrd2="http://schemas.microsoft.com/office/spreadsheetml/2017/richdata2" ref="C8:H36">
    <sortCondition ref="C8"/>
    <sortCondition ref="E8"/>
  </sortState>
  <mergeCells count="3">
    <mergeCell ref="Q1:Q2"/>
    <mergeCell ref="F1:G1"/>
    <mergeCell ref="G2:H2"/>
  </mergeCells>
  <phoneticPr fontId="2"/>
  <dataValidations count="3">
    <dataValidation type="list" allowBlank="1" showInputMessage="1" showErrorMessage="1" sqref="E2" xr:uid="{00000000-0002-0000-0100-000000000000}">
      <formula1>$R$1:$R$2</formula1>
    </dataValidation>
    <dataValidation imeMode="off" allowBlank="1" showInputMessage="1" showErrorMessage="1" sqref="C5:D5" xr:uid="{00000000-0002-0000-0100-000001000000}"/>
    <dataValidation type="whole" operator="equal" allowBlank="1" showInputMessage="1" showErrorMessage="1" sqref="Q1:R3" xr:uid="{00000000-0002-0000-0100-000002000000}">
      <formula1>99999</formula1>
    </dataValidation>
  </dataValidations>
  <hyperlinks>
    <hyperlink ref="H1" r:id="rId1" xr:uid="{00000000-0004-0000-0100-000000000000}"/>
  </hyperlinks>
  <pageMargins left="0.75" right="0.75" top="1.1299999999999999" bottom="1.1399999999999999" header="0.51200000000000001" footer="0.51200000000000001"/>
  <pageSetup paperSize="9" orientation="portrait" horizontalDpi="4294967293" r:id="rId2"/>
  <headerFooter alignWithMargins="0">
    <oddFooter>&amp;C&amp;P/&amp;N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日機装抽出">
                <anchor moveWithCells="1" sizeWithCells="1">
                  <from>
                    <xdr:col>8</xdr:col>
                    <xdr:colOff>152400</xdr:colOff>
                    <xdr:row>1</xdr:row>
                    <xdr:rowOff>114300</xdr:rowOff>
                  </from>
                  <to>
                    <xdr:col>9</xdr:col>
                    <xdr:colOff>314325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日機装報告書記録処理">
                <anchor moveWithCells="1" sizeWithCells="1">
                  <from>
                    <xdr:col>9</xdr:col>
                    <xdr:colOff>428625</xdr:colOff>
                    <xdr:row>1</xdr:row>
                    <xdr:rowOff>114300</xdr:rowOff>
                  </from>
                  <to>
                    <xdr:col>10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A211"/>
  <sheetViews>
    <sheetView showGridLines="0" workbookViewId="0">
      <pane xSplit="15" ySplit="11" topLeftCell="P12" activePane="bottomRight" state="frozen"/>
      <selection pane="topRight" activeCell="P1" sqref="P1"/>
      <selection pane="bottomLeft" activeCell="A12" sqref="A12"/>
      <selection pane="bottomRight" activeCell="T6" sqref="T6"/>
    </sheetView>
  </sheetViews>
  <sheetFormatPr defaultRowHeight="13.5" x14ac:dyDescent="0.15"/>
  <cols>
    <col min="1" max="1" width="0.875" style="1" customWidth="1"/>
    <col min="2" max="2" width="4.875" style="2" customWidth="1"/>
    <col min="3" max="3" width="3.625" style="14" customWidth="1"/>
    <col min="4" max="4" width="10.375" style="14" customWidth="1"/>
    <col min="5" max="5" width="8.625" style="14" customWidth="1"/>
    <col min="6" max="6" width="22.875" style="14" customWidth="1"/>
    <col min="7" max="7" width="7.25" style="14" customWidth="1"/>
    <col min="8" max="8" width="7.875" style="14" customWidth="1"/>
    <col min="9" max="9" width="6.875" style="14" customWidth="1"/>
    <col min="10" max="10" width="25.125" style="14" customWidth="1"/>
    <col min="11" max="11" width="9.875" style="14" hidden="1" customWidth="1"/>
    <col min="12" max="12" width="2.5" style="14" customWidth="1"/>
    <col min="13" max="13" width="1.875" style="14" hidden="1" customWidth="1"/>
    <col min="14" max="14" width="10.125" style="14" customWidth="1"/>
    <col min="15" max="15" width="8" style="1" customWidth="1"/>
    <col min="16" max="16" width="2.125" style="1" customWidth="1"/>
    <col min="17" max="22" width="9" style="1"/>
    <col min="23" max="23" width="9.375" style="1" customWidth="1"/>
    <col min="24" max="16384" width="9" style="1"/>
  </cols>
  <sheetData>
    <row r="1" spans="2:27" ht="17.25" customHeight="1" x14ac:dyDescent="0.15">
      <c r="B1" s="147" t="s">
        <v>55</v>
      </c>
      <c r="C1" s="147"/>
      <c r="D1" s="57">
        <v>747</v>
      </c>
      <c r="E1" s="69" t="s">
        <v>67</v>
      </c>
      <c r="F1" s="70" t="s">
        <v>51</v>
      </c>
      <c r="G1" s="130" t="s">
        <v>101</v>
      </c>
      <c r="H1" s="75"/>
      <c r="I1" s="75"/>
      <c r="J1" s="75"/>
      <c r="K1" s="75"/>
      <c r="L1" s="75"/>
      <c r="M1" s="75"/>
      <c r="N1" s="76"/>
      <c r="O1" s="41"/>
      <c r="P1" s="2"/>
      <c r="Q1" s="72"/>
      <c r="R1" s="72"/>
      <c r="S1" s="53" t="s">
        <v>64</v>
      </c>
      <c r="T1" s="54">
        <v>44</v>
      </c>
      <c r="U1" s="144" t="s">
        <v>66</v>
      </c>
      <c r="V1" s="55" t="s">
        <v>59</v>
      </c>
      <c r="W1" s="74" t="str">
        <f>YEAR(HizukeO)&amp;RIGHT("00"&amp;MONTH(HizukeO),2)&amp;RIGHT("00"&amp;DAY(HizukeO),2)</f>
        <v>19000100</v>
      </c>
      <c r="X1" s="72"/>
    </row>
    <row r="2" spans="2:27" ht="18" customHeight="1" x14ac:dyDescent="0.15">
      <c r="B2" s="147" t="s">
        <v>55</v>
      </c>
      <c r="C2" s="147"/>
      <c r="D2" s="57">
        <v>226</v>
      </c>
      <c r="E2" s="56" t="s">
        <v>50</v>
      </c>
      <c r="F2" s="70" t="s">
        <v>70</v>
      </c>
      <c r="G2" s="142"/>
      <c r="H2" s="148"/>
      <c r="I2" s="148"/>
      <c r="J2" s="148"/>
      <c r="K2" s="148"/>
      <c r="L2" s="148"/>
      <c r="M2" s="148"/>
      <c r="N2" s="143"/>
      <c r="S2" s="53" t="s">
        <v>65</v>
      </c>
      <c r="T2" s="52">
        <v>67</v>
      </c>
      <c r="U2" s="145"/>
      <c r="V2" s="55" t="s">
        <v>50</v>
      </c>
    </row>
    <row r="3" spans="2:27" ht="5.25" customHeight="1" x14ac:dyDescent="0.15">
      <c r="L3" s="40"/>
      <c r="M3" s="40"/>
    </row>
    <row r="4" spans="2:27" ht="18.75" x14ac:dyDescent="0.15">
      <c r="G4" s="15"/>
      <c r="H4" s="15"/>
      <c r="L4" s="40"/>
      <c r="M4" s="40"/>
    </row>
    <row r="5" spans="2:27" ht="18.75" x14ac:dyDescent="0.15">
      <c r="F5" s="15"/>
      <c r="G5" s="15"/>
      <c r="H5" s="15"/>
      <c r="L5" s="40"/>
      <c r="M5" s="40"/>
    </row>
    <row r="6" spans="2:27" ht="18.75" x14ac:dyDescent="0.15">
      <c r="C6" s="16" t="s">
        <v>32</v>
      </c>
      <c r="F6" s="15"/>
      <c r="G6" s="15"/>
      <c r="H6" s="15"/>
    </row>
    <row r="7" spans="2:27" ht="18.75" x14ac:dyDescent="0.15">
      <c r="C7" s="15"/>
      <c r="F7" s="15"/>
      <c r="G7" s="15"/>
      <c r="H7" s="15"/>
      <c r="J7" s="24" t="s">
        <v>56</v>
      </c>
      <c r="L7" s="24"/>
    </row>
    <row r="8" spans="2:27" ht="12" customHeight="1" x14ac:dyDescent="0.15">
      <c r="F8" s="15"/>
      <c r="G8" s="15"/>
      <c r="H8" s="15"/>
      <c r="J8" s="24" t="s">
        <v>33</v>
      </c>
    </row>
    <row r="9" spans="2:27" ht="18.75" customHeight="1" x14ac:dyDescent="0.15">
      <c r="B9" s="14"/>
      <c r="C9" s="146"/>
      <c r="D9" s="146"/>
      <c r="E9" s="146"/>
      <c r="F9" s="45" t="s">
        <v>81</v>
      </c>
      <c r="G9" s="25"/>
      <c r="H9" s="25"/>
      <c r="J9" s="24" t="s">
        <v>58</v>
      </c>
      <c r="U9" s="2"/>
    </row>
    <row r="10" spans="2:27" x14ac:dyDescent="0.15">
      <c r="P10" s="26"/>
      <c r="T10" s="2"/>
      <c r="U10" s="13"/>
    </row>
    <row r="11" spans="2:27" ht="18" customHeight="1" x14ac:dyDescent="0.15">
      <c r="B11" s="38" t="s">
        <v>49</v>
      </c>
      <c r="C11" s="30" t="s">
        <v>53</v>
      </c>
      <c r="D11" s="30" t="s">
        <v>10</v>
      </c>
      <c r="E11" s="31" t="s">
        <v>8</v>
      </c>
      <c r="F11" s="31" t="s">
        <v>4</v>
      </c>
      <c r="G11" s="31" t="s">
        <v>34</v>
      </c>
      <c r="H11" s="31" t="s">
        <v>35</v>
      </c>
      <c r="I11" s="31" t="s">
        <v>36</v>
      </c>
      <c r="J11" s="31" t="s">
        <v>54</v>
      </c>
      <c r="K11" s="31" t="s">
        <v>18</v>
      </c>
      <c r="L11" s="35"/>
      <c r="M11" s="16"/>
      <c r="X11" s="10"/>
    </row>
    <row r="12" spans="2:27" ht="18.75" x14ac:dyDescent="0.2">
      <c r="B12" s="39"/>
      <c r="C12" s="32"/>
      <c r="D12" s="44"/>
      <c r="E12" s="30"/>
      <c r="F12" s="33"/>
      <c r="G12" s="31"/>
      <c r="H12" s="31"/>
      <c r="I12" s="106"/>
      <c r="J12" s="90"/>
      <c r="K12" s="34"/>
      <c r="L12" s="36"/>
      <c r="M12" s="16"/>
      <c r="N12" s="73" t="s">
        <v>37</v>
      </c>
      <c r="O12" s="73"/>
      <c r="S12" s="86">
        <v>1</v>
      </c>
      <c r="X12" s="3"/>
      <c r="Y12" s="2"/>
      <c r="Z12" s="27"/>
      <c r="AA12" s="2"/>
    </row>
    <row r="13" spans="2:27" ht="18.75" x14ac:dyDescent="0.2">
      <c r="B13" s="39"/>
      <c r="C13" s="32"/>
      <c r="D13" s="44"/>
      <c r="E13" s="30"/>
      <c r="F13" s="33"/>
      <c r="G13" s="31"/>
      <c r="H13" s="31"/>
      <c r="I13" s="106"/>
      <c r="J13" s="34"/>
      <c r="K13" s="34"/>
      <c r="L13" s="37"/>
      <c r="M13" s="16"/>
      <c r="N13" s="46" t="s">
        <v>38</v>
      </c>
      <c r="S13" s="86">
        <v>2</v>
      </c>
      <c r="X13" s="10"/>
      <c r="Y13" s="2"/>
      <c r="Z13" s="27"/>
      <c r="AA13" s="2"/>
    </row>
    <row r="14" spans="2:27" ht="18.75" x14ac:dyDescent="0.2">
      <c r="B14" s="39"/>
      <c r="C14" s="32"/>
      <c r="D14" s="44"/>
      <c r="E14" s="30"/>
      <c r="F14" s="33"/>
      <c r="G14" s="31"/>
      <c r="H14" s="31"/>
      <c r="I14" s="106"/>
      <c r="J14" s="34"/>
      <c r="K14" s="34"/>
      <c r="L14" s="37"/>
      <c r="M14" s="16"/>
      <c r="N14" s="46" t="s">
        <v>39</v>
      </c>
      <c r="S14" s="86">
        <v>3</v>
      </c>
      <c r="X14" s="10"/>
      <c r="Y14" s="2"/>
      <c r="Z14" s="27"/>
      <c r="AA14" s="2"/>
    </row>
    <row r="15" spans="2:27" ht="18.75" x14ac:dyDescent="0.2">
      <c r="B15" s="39"/>
      <c r="C15" s="32"/>
      <c r="D15" s="44"/>
      <c r="E15" s="30"/>
      <c r="F15" s="33"/>
      <c r="G15" s="31"/>
      <c r="H15" s="31"/>
      <c r="I15" s="106"/>
      <c r="J15" s="90"/>
      <c r="K15" s="34"/>
      <c r="L15" s="37"/>
      <c r="M15" s="16"/>
      <c r="N15" s="46" t="s">
        <v>40</v>
      </c>
      <c r="S15" s="86">
        <v>4</v>
      </c>
      <c r="X15" s="10"/>
      <c r="Y15" s="2"/>
      <c r="Z15" s="27"/>
      <c r="AA15" s="2"/>
    </row>
    <row r="16" spans="2:27" ht="18.75" x14ac:dyDescent="0.2">
      <c r="B16" s="39"/>
      <c r="C16" s="32"/>
      <c r="D16" s="44"/>
      <c r="E16" s="30"/>
      <c r="F16" s="33"/>
      <c r="G16" s="31"/>
      <c r="H16" s="31"/>
      <c r="I16" s="106"/>
      <c r="J16" s="90"/>
      <c r="K16" s="34"/>
      <c r="L16" s="37"/>
      <c r="M16" s="16"/>
      <c r="N16" s="46" t="s">
        <v>41</v>
      </c>
      <c r="S16" s="86">
        <v>5</v>
      </c>
      <c r="X16" s="10"/>
      <c r="Y16" s="2"/>
      <c r="Z16" s="27"/>
      <c r="AA16" s="2"/>
    </row>
    <row r="17" spans="2:27" ht="18.75" x14ac:dyDescent="0.2">
      <c r="B17" s="39"/>
      <c r="C17" s="32"/>
      <c r="D17" s="44"/>
      <c r="E17" s="30"/>
      <c r="F17" s="33"/>
      <c r="G17" s="31"/>
      <c r="H17" s="31"/>
      <c r="I17" s="106"/>
      <c r="J17" s="90"/>
      <c r="K17" s="34"/>
      <c r="L17" s="37"/>
      <c r="M17" s="16"/>
      <c r="N17" s="46" t="s">
        <v>42</v>
      </c>
      <c r="S17" s="86">
        <v>6</v>
      </c>
      <c r="X17" s="10"/>
      <c r="Y17" s="2"/>
      <c r="Z17" s="27"/>
      <c r="AA17" s="2"/>
    </row>
    <row r="18" spans="2:27" ht="18.75" x14ac:dyDescent="0.2">
      <c r="B18" s="39"/>
      <c r="C18" s="32"/>
      <c r="D18" s="44"/>
      <c r="E18" s="30"/>
      <c r="F18" s="33"/>
      <c r="G18" s="31"/>
      <c r="H18" s="31"/>
      <c r="I18" s="106"/>
      <c r="J18" s="90"/>
      <c r="K18" s="34"/>
      <c r="L18" s="37"/>
      <c r="M18" s="16"/>
      <c r="N18" s="46" t="s">
        <v>43</v>
      </c>
      <c r="S18" s="86">
        <v>7</v>
      </c>
      <c r="X18" s="10"/>
      <c r="Y18" s="2"/>
      <c r="Z18" s="27"/>
      <c r="AA18" s="2"/>
    </row>
    <row r="19" spans="2:27" ht="18.75" x14ac:dyDescent="0.2">
      <c r="B19" s="39"/>
      <c r="C19" s="32"/>
      <c r="D19" s="44"/>
      <c r="E19" s="30"/>
      <c r="F19" s="33"/>
      <c r="G19" s="31"/>
      <c r="H19" s="31"/>
      <c r="I19" s="106"/>
      <c r="J19" s="90"/>
      <c r="K19" s="34"/>
      <c r="L19" s="37"/>
      <c r="M19" s="16"/>
      <c r="N19" s="46" t="s">
        <v>44</v>
      </c>
      <c r="S19" s="86">
        <v>8</v>
      </c>
      <c r="X19" s="10"/>
      <c r="Y19" s="2"/>
      <c r="Z19" s="27"/>
      <c r="AA19" s="2"/>
    </row>
    <row r="20" spans="2:27" ht="18.75" x14ac:dyDescent="0.2">
      <c r="B20" s="39"/>
      <c r="C20" s="32"/>
      <c r="D20" s="44"/>
      <c r="E20" s="30"/>
      <c r="F20" s="33"/>
      <c r="G20" s="31"/>
      <c r="H20" s="31"/>
      <c r="I20" s="106"/>
      <c r="J20" s="90"/>
      <c r="K20" s="34"/>
      <c r="L20" s="37"/>
      <c r="M20" s="16"/>
      <c r="N20" s="46" t="s">
        <v>45</v>
      </c>
      <c r="S20" s="86">
        <v>9</v>
      </c>
      <c r="X20" s="10"/>
      <c r="Y20" s="2"/>
      <c r="Z20" s="27"/>
      <c r="AA20" s="2"/>
    </row>
    <row r="21" spans="2:27" ht="18.75" x14ac:dyDescent="0.2">
      <c r="B21" s="39"/>
      <c r="C21" s="32"/>
      <c r="D21" s="44"/>
      <c r="E21" s="30"/>
      <c r="F21" s="33"/>
      <c r="G21" s="31"/>
      <c r="H21" s="31"/>
      <c r="I21" s="106"/>
      <c r="J21" s="90"/>
      <c r="K21" s="34"/>
      <c r="L21" s="37"/>
      <c r="M21" s="16"/>
      <c r="N21" s="46" t="s">
        <v>46</v>
      </c>
      <c r="S21" s="86">
        <v>10</v>
      </c>
      <c r="X21" s="10"/>
      <c r="Y21" s="2"/>
      <c r="Z21" s="27"/>
      <c r="AA21" s="2"/>
    </row>
    <row r="22" spans="2:27" ht="18.75" x14ac:dyDescent="0.2">
      <c r="B22" s="39"/>
      <c r="C22" s="32"/>
      <c r="D22" s="44"/>
      <c r="E22" s="30"/>
      <c r="F22" s="33"/>
      <c r="G22" s="31"/>
      <c r="H22" s="31"/>
      <c r="I22" s="106"/>
      <c r="J22" s="90"/>
      <c r="K22" s="34"/>
      <c r="L22" s="37"/>
      <c r="M22" s="16"/>
      <c r="N22" s="46" t="s">
        <v>47</v>
      </c>
      <c r="S22" s="86">
        <v>11</v>
      </c>
      <c r="X22" s="3"/>
      <c r="Y22" s="2"/>
      <c r="Z22" s="27"/>
      <c r="AA22" s="2"/>
    </row>
    <row r="23" spans="2:27" ht="18.75" x14ac:dyDescent="0.2">
      <c r="B23" s="39"/>
      <c r="C23" s="32"/>
      <c r="D23" s="44"/>
      <c r="E23" s="30"/>
      <c r="F23" s="33"/>
      <c r="G23" s="31"/>
      <c r="H23" s="31"/>
      <c r="I23" s="106"/>
      <c r="J23" s="90"/>
      <c r="K23" s="34"/>
      <c r="L23" s="37"/>
      <c r="M23" s="16"/>
      <c r="N23" s="46" t="s">
        <v>48</v>
      </c>
      <c r="S23" s="86">
        <v>12</v>
      </c>
      <c r="X23" s="10"/>
      <c r="Y23" s="2"/>
      <c r="Z23" s="27"/>
      <c r="AA23" s="2"/>
    </row>
    <row r="24" spans="2:27" ht="18.75" x14ac:dyDescent="0.2">
      <c r="B24" s="39"/>
      <c r="C24" s="32"/>
      <c r="D24" s="44"/>
      <c r="E24" s="30"/>
      <c r="F24" s="33"/>
      <c r="G24" s="31"/>
      <c r="H24" s="31"/>
      <c r="I24" s="106"/>
      <c r="J24" s="90"/>
      <c r="K24" s="34"/>
      <c r="L24" s="37"/>
      <c r="M24" s="16"/>
      <c r="N24" s="46"/>
      <c r="S24" s="86">
        <v>13</v>
      </c>
      <c r="Y24" s="2"/>
      <c r="Z24" s="2"/>
      <c r="AA24" s="2"/>
    </row>
    <row r="25" spans="2:27" ht="18.75" x14ac:dyDescent="0.2">
      <c r="B25" s="39"/>
      <c r="C25" s="32"/>
      <c r="D25" s="44"/>
      <c r="E25" s="30"/>
      <c r="F25" s="33"/>
      <c r="G25" s="31"/>
      <c r="H25" s="31"/>
      <c r="I25" s="106"/>
      <c r="J25" s="90"/>
      <c r="K25" s="34"/>
      <c r="L25" s="37"/>
      <c r="M25" s="16"/>
      <c r="N25" s="47"/>
      <c r="S25" s="86">
        <v>14</v>
      </c>
      <c r="Y25" s="2"/>
      <c r="AA25" s="2"/>
    </row>
    <row r="26" spans="2:27" ht="18.75" x14ac:dyDescent="0.2">
      <c r="B26" s="39"/>
      <c r="C26" s="32"/>
      <c r="D26" s="44"/>
      <c r="E26" s="30"/>
      <c r="F26" s="33"/>
      <c r="G26" s="31"/>
      <c r="H26" s="31"/>
      <c r="I26" s="106"/>
      <c r="J26" s="90"/>
      <c r="K26" s="34"/>
      <c r="L26" s="37"/>
      <c r="N26" s="1"/>
      <c r="S26" s="86">
        <v>15</v>
      </c>
      <c r="AA26" s="2"/>
    </row>
    <row r="27" spans="2:27" ht="18.75" x14ac:dyDescent="0.2">
      <c r="B27" s="42"/>
      <c r="C27" s="32"/>
      <c r="D27" s="44"/>
      <c r="E27" s="30"/>
      <c r="F27" s="33"/>
      <c r="G27" s="31"/>
      <c r="H27" s="31"/>
      <c r="I27" s="106"/>
      <c r="J27" s="90"/>
      <c r="K27" s="43"/>
      <c r="L27" s="37"/>
      <c r="S27" s="86">
        <v>16</v>
      </c>
      <c r="AA27" s="2"/>
    </row>
    <row r="28" spans="2:27" ht="18.75" x14ac:dyDescent="0.2">
      <c r="B28" s="39"/>
      <c r="C28" s="32"/>
      <c r="D28" s="44"/>
      <c r="E28" s="30"/>
      <c r="F28" s="33"/>
      <c r="G28" s="31"/>
      <c r="H28" s="31"/>
      <c r="I28" s="106"/>
      <c r="J28" s="34"/>
      <c r="K28" s="34"/>
      <c r="L28" s="37"/>
      <c r="S28" s="86">
        <v>17</v>
      </c>
      <c r="AA28" s="2"/>
    </row>
    <row r="29" spans="2:27" ht="18.75" x14ac:dyDescent="0.2">
      <c r="B29" s="39"/>
      <c r="C29" s="32"/>
      <c r="D29" s="44"/>
      <c r="E29" s="30"/>
      <c r="F29" s="33"/>
      <c r="G29" s="31"/>
      <c r="H29" s="31"/>
      <c r="I29" s="106"/>
      <c r="J29" s="34"/>
      <c r="K29" s="34"/>
      <c r="L29" s="37"/>
      <c r="S29" s="86">
        <v>18</v>
      </c>
      <c r="AA29" s="2"/>
    </row>
    <row r="30" spans="2:27" ht="18.75" x14ac:dyDescent="0.2">
      <c r="B30" s="39"/>
      <c r="C30" s="32"/>
      <c r="D30" s="44"/>
      <c r="E30" s="30"/>
      <c r="F30" s="33"/>
      <c r="G30" s="31"/>
      <c r="H30" s="31"/>
      <c r="I30" s="106"/>
      <c r="J30" s="34"/>
      <c r="K30" s="34"/>
      <c r="L30" s="37"/>
      <c r="S30" s="86">
        <v>19</v>
      </c>
      <c r="AA30" s="2"/>
    </row>
    <row r="31" spans="2:27" ht="18.75" x14ac:dyDescent="0.2">
      <c r="B31" s="39"/>
      <c r="C31" s="32"/>
      <c r="D31" s="44"/>
      <c r="E31" s="30"/>
      <c r="F31" s="33"/>
      <c r="G31" s="31"/>
      <c r="H31" s="31"/>
      <c r="I31" s="106"/>
      <c r="J31" s="90"/>
      <c r="K31" s="34"/>
      <c r="L31" s="37"/>
      <c r="S31" s="86">
        <v>20</v>
      </c>
      <c r="AA31" s="2"/>
    </row>
    <row r="32" spans="2:27" ht="18.75" x14ac:dyDescent="0.2">
      <c r="B32" s="39"/>
      <c r="C32" s="32"/>
      <c r="D32" s="44"/>
      <c r="E32" s="30"/>
      <c r="F32" s="33"/>
      <c r="G32" s="31"/>
      <c r="H32" s="31"/>
      <c r="I32" s="106"/>
      <c r="J32" s="34"/>
      <c r="K32" s="34"/>
      <c r="L32" s="37"/>
      <c r="S32" s="86">
        <v>21</v>
      </c>
      <c r="AA32" s="2"/>
    </row>
    <row r="33" spans="2:27" ht="18.75" x14ac:dyDescent="0.2">
      <c r="B33" s="39"/>
      <c r="C33" s="32"/>
      <c r="D33" s="44"/>
      <c r="E33" s="30"/>
      <c r="F33" s="33"/>
      <c r="G33" s="31"/>
      <c r="H33" s="31"/>
      <c r="I33" s="106"/>
      <c r="J33" s="34"/>
      <c r="K33" s="34"/>
      <c r="L33" s="37"/>
      <c r="S33" s="86">
        <v>22</v>
      </c>
      <c r="AA33" s="2"/>
    </row>
    <row r="34" spans="2:27" ht="18.75" x14ac:dyDescent="0.2">
      <c r="B34" s="39"/>
      <c r="C34" s="32"/>
      <c r="D34" s="44"/>
      <c r="E34" s="30"/>
      <c r="F34" s="33"/>
      <c r="G34" s="31"/>
      <c r="H34" s="31"/>
      <c r="I34" s="106"/>
      <c r="J34" s="34"/>
      <c r="K34" s="34"/>
      <c r="L34" s="37"/>
      <c r="S34" s="86">
        <v>23</v>
      </c>
      <c r="AA34" s="2"/>
    </row>
    <row r="35" spans="2:27" ht="18.75" x14ac:dyDescent="0.2">
      <c r="B35" s="39"/>
      <c r="C35" s="32"/>
      <c r="D35" s="44"/>
      <c r="E35" s="30"/>
      <c r="F35" s="33"/>
      <c r="G35" s="31"/>
      <c r="H35" s="31"/>
      <c r="I35" s="106"/>
      <c r="J35" s="90"/>
      <c r="K35" s="34"/>
      <c r="L35" s="37"/>
      <c r="S35" s="86">
        <v>24</v>
      </c>
      <c r="AA35" s="2"/>
    </row>
    <row r="36" spans="2:27" ht="18.75" x14ac:dyDescent="0.2">
      <c r="B36" s="39"/>
      <c r="C36" s="32"/>
      <c r="D36" s="44"/>
      <c r="E36" s="30"/>
      <c r="F36" s="33"/>
      <c r="G36" s="31"/>
      <c r="H36" s="31"/>
      <c r="I36" s="106"/>
      <c r="J36" s="90"/>
      <c r="K36" s="34"/>
      <c r="L36" s="37"/>
      <c r="S36" s="86">
        <v>25</v>
      </c>
      <c r="AA36" s="2"/>
    </row>
    <row r="37" spans="2:27" ht="18.75" x14ac:dyDescent="0.2">
      <c r="B37" s="39"/>
      <c r="C37" s="32"/>
      <c r="D37" s="44"/>
      <c r="E37" s="30"/>
      <c r="F37" s="33"/>
      <c r="G37" s="31"/>
      <c r="H37" s="31"/>
      <c r="I37" s="106"/>
      <c r="J37" s="90"/>
      <c r="K37" s="34"/>
      <c r="L37" s="37"/>
      <c r="S37" s="86">
        <v>26</v>
      </c>
      <c r="AA37" s="2"/>
    </row>
    <row r="38" spans="2:27" ht="18.75" x14ac:dyDescent="0.2">
      <c r="B38" s="39"/>
      <c r="C38" s="32"/>
      <c r="D38" s="44"/>
      <c r="E38" s="30"/>
      <c r="F38" s="33"/>
      <c r="G38" s="31"/>
      <c r="H38" s="31"/>
      <c r="I38" s="106"/>
      <c r="J38" s="34"/>
      <c r="K38" s="34"/>
      <c r="L38" s="37"/>
      <c r="S38" s="86">
        <v>27</v>
      </c>
      <c r="AA38" s="2"/>
    </row>
    <row r="39" spans="2:27" ht="18.75" x14ac:dyDescent="0.2">
      <c r="B39" s="39"/>
      <c r="C39" s="32"/>
      <c r="D39" s="44"/>
      <c r="E39" s="30"/>
      <c r="F39" s="33"/>
      <c r="G39" s="31"/>
      <c r="H39" s="31"/>
      <c r="I39" s="106"/>
      <c r="J39" s="90"/>
      <c r="K39" s="34"/>
      <c r="L39" s="37"/>
      <c r="S39" s="86">
        <v>28</v>
      </c>
      <c r="AA39" s="2"/>
    </row>
    <row r="40" spans="2:27" ht="18.75" x14ac:dyDescent="0.2">
      <c r="B40" s="39"/>
      <c r="C40" s="32"/>
      <c r="D40" s="44"/>
      <c r="E40" s="30"/>
      <c r="F40" s="33"/>
      <c r="G40" s="31"/>
      <c r="H40" s="31"/>
      <c r="I40" s="106"/>
      <c r="J40" s="34"/>
      <c r="K40" s="34"/>
      <c r="L40" s="37"/>
      <c r="S40" s="86">
        <v>29</v>
      </c>
      <c r="AA40" s="2"/>
    </row>
    <row r="41" spans="2:27" ht="18.75" x14ac:dyDescent="0.2">
      <c r="B41" s="39"/>
      <c r="C41" s="32"/>
      <c r="D41" s="44"/>
      <c r="E41" s="30"/>
      <c r="F41" s="33"/>
      <c r="G41" s="31"/>
      <c r="H41" s="31"/>
      <c r="I41" s="106"/>
      <c r="J41" s="34"/>
      <c r="K41" s="34"/>
      <c r="L41" s="37"/>
      <c r="S41" s="86">
        <v>30</v>
      </c>
      <c r="AA41" s="2"/>
    </row>
    <row r="42" spans="2:27" ht="18.75" x14ac:dyDescent="0.2">
      <c r="B42" s="39"/>
      <c r="C42" s="32"/>
      <c r="D42" s="44"/>
      <c r="E42" s="30"/>
      <c r="F42" s="33"/>
      <c r="G42" s="31"/>
      <c r="H42" s="31"/>
      <c r="I42" s="106"/>
      <c r="J42" s="34"/>
      <c r="K42" s="34"/>
      <c r="L42" s="37"/>
      <c r="S42" s="86">
        <v>31</v>
      </c>
      <c r="AA42" s="2"/>
    </row>
    <row r="43" spans="2:27" ht="18.75" x14ac:dyDescent="0.2">
      <c r="B43" s="39"/>
      <c r="C43" s="32"/>
      <c r="D43" s="44"/>
      <c r="E43" s="30"/>
      <c r="F43" s="33"/>
      <c r="G43" s="31"/>
      <c r="H43" s="31"/>
      <c r="I43" s="106"/>
      <c r="J43" s="90"/>
      <c r="K43" s="34"/>
      <c r="L43" s="37"/>
      <c r="S43" s="86">
        <v>32</v>
      </c>
    </row>
    <row r="44" spans="2:27" ht="18.75" customHeight="1" x14ac:dyDescent="0.2">
      <c r="B44" s="39"/>
      <c r="C44" s="32"/>
      <c r="D44" s="44"/>
      <c r="E44" s="30"/>
      <c r="F44" s="33"/>
      <c r="G44" s="31"/>
      <c r="H44" s="31"/>
      <c r="I44" s="106"/>
      <c r="J44" s="90"/>
      <c r="K44" s="34"/>
      <c r="L44" s="37"/>
      <c r="S44" s="86">
        <v>33</v>
      </c>
    </row>
    <row r="45" spans="2:27" ht="18.75" x14ac:dyDescent="0.2">
      <c r="B45" s="39"/>
      <c r="C45" s="32"/>
      <c r="D45" s="44"/>
      <c r="E45" s="30"/>
      <c r="F45" s="33"/>
      <c r="G45" s="31"/>
      <c r="H45" s="31"/>
      <c r="I45" s="106"/>
      <c r="J45" s="90"/>
      <c r="K45" s="34"/>
      <c r="L45" s="37"/>
      <c r="S45" s="86">
        <v>34</v>
      </c>
    </row>
    <row r="46" spans="2:27" ht="18.75" x14ac:dyDescent="0.2">
      <c r="B46" s="39"/>
      <c r="C46" s="32"/>
      <c r="D46" s="44"/>
      <c r="E46" s="30"/>
      <c r="F46" s="33"/>
      <c r="G46" s="31"/>
      <c r="H46" s="31"/>
      <c r="I46" s="106"/>
      <c r="J46" s="90"/>
      <c r="K46" s="34"/>
      <c r="L46" s="37"/>
      <c r="S46" s="86">
        <v>35</v>
      </c>
    </row>
    <row r="47" spans="2:27" ht="18.75" x14ac:dyDescent="0.2">
      <c r="B47" s="39"/>
      <c r="C47" s="32"/>
      <c r="D47" s="44"/>
      <c r="E47" s="30"/>
      <c r="F47" s="33"/>
      <c r="G47" s="31"/>
      <c r="H47" s="31"/>
      <c r="I47" s="106"/>
      <c r="J47" s="90"/>
      <c r="K47" s="34"/>
      <c r="L47" s="37"/>
      <c r="S47" s="86">
        <v>36</v>
      </c>
    </row>
    <row r="48" spans="2:27" ht="18.75" customHeight="1" x14ac:dyDescent="0.2">
      <c r="B48" s="39"/>
      <c r="C48" s="32"/>
      <c r="D48" s="44"/>
      <c r="E48" s="30"/>
      <c r="F48" s="33"/>
      <c r="G48" s="31"/>
      <c r="H48" s="31"/>
      <c r="I48" s="106"/>
      <c r="J48" s="90"/>
      <c r="K48" s="34"/>
      <c r="L48" s="37"/>
      <c r="S48" s="86">
        <v>37</v>
      </c>
    </row>
    <row r="49" spans="2:19" ht="18.75" x14ac:dyDescent="0.2">
      <c r="B49" s="39"/>
      <c r="C49" s="32"/>
      <c r="D49" s="44"/>
      <c r="E49" s="30"/>
      <c r="F49" s="33"/>
      <c r="G49" s="31"/>
      <c r="H49" s="31"/>
      <c r="I49" s="106"/>
      <c r="J49" s="90"/>
      <c r="K49" s="34"/>
      <c r="L49" s="37"/>
      <c r="S49" s="86">
        <v>38</v>
      </c>
    </row>
    <row r="50" spans="2:19" ht="18.75" x14ac:dyDescent="0.2">
      <c r="B50" s="39"/>
      <c r="C50" s="32"/>
      <c r="D50" s="44"/>
      <c r="E50" s="30"/>
      <c r="F50" s="33"/>
      <c r="G50" s="31"/>
      <c r="H50" s="31"/>
      <c r="I50" s="106"/>
      <c r="J50" s="90"/>
      <c r="K50" s="34"/>
      <c r="L50" s="37"/>
      <c r="S50" s="86">
        <v>39</v>
      </c>
    </row>
    <row r="51" spans="2:19" ht="18.75" x14ac:dyDescent="0.2">
      <c r="B51" s="39"/>
      <c r="C51" s="32"/>
      <c r="D51" s="44"/>
      <c r="E51" s="30"/>
      <c r="F51" s="33"/>
      <c r="G51" s="31"/>
      <c r="H51" s="31"/>
      <c r="I51" s="106"/>
      <c r="J51" s="90"/>
      <c r="K51" s="34"/>
      <c r="L51" s="37"/>
      <c r="S51" s="86">
        <v>40</v>
      </c>
    </row>
    <row r="52" spans="2:19" ht="18.75" x14ac:dyDescent="0.2">
      <c r="B52" s="39"/>
      <c r="C52" s="32"/>
      <c r="D52" s="44"/>
      <c r="E52" s="30"/>
      <c r="F52" s="33"/>
      <c r="G52" s="31"/>
      <c r="H52" s="31"/>
      <c r="I52" s="106"/>
      <c r="J52" s="90"/>
      <c r="K52" s="34"/>
      <c r="L52" s="37"/>
      <c r="S52" s="86">
        <v>41</v>
      </c>
    </row>
    <row r="53" spans="2:19" ht="18.75" x14ac:dyDescent="0.2">
      <c r="B53" s="39"/>
      <c r="C53" s="32"/>
      <c r="D53" s="44"/>
      <c r="E53" s="30"/>
      <c r="F53" s="33"/>
      <c r="G53" s="31"/>
      <c r="H53" s="31"/>
      <c r="I53" s="106"/>
      <c r="J53" s="90"/>
      <c r="K53" s="34"/>
      <c r="L53" s="37"/>
      <c r="S53" s="86">
        <v>42</v>
      </c>
    </row>
    <row r="54" spans="2:19" ht="18.75" x14ac:dyDescent="0.2">
      <c r="B54" s="39"/>
      <c r="C54" s="32"/>
      <c r="D54" s="44"/>
      <c r="E54" s="30"/>
      <c r="F54" s="33"/>
      <c r="G54" s="31"/>
      <c r="H54" s="31"/>
      <c r="I54" s="106"/>
      <c r="J54" s="90"/>
      <c r="K54" s="34"/>
      <c r="L54" s="37"/>
      <c r="S54" s="86">
        <v>43</v>
      </c>
    </row>
    <row r="55" spans="2:19" ht="18.75" x14ac:dyDescent="0.2">
      <c r="B55" s="39"/>
      <c r="C55" s="32"/>
      <c r="D55" s="44"/>
      <c r="E55" s="30"/>
      <c r="F55" s="33"/>
      <c r="G55" s="31"/>
      <c r="H55" s="31"/>
      <c r="I55" s="106"/>
      <c r="J55" s="34"/>
      <c r="K55" s="34"/>
      <c r="L55" s="37"/>
      <c r="S55" s="86">
        <v>44</v>
      </c>
    </row>
    <row r="56" spans="2:19" ht="18.75" x14ac:dyDescent="0.2">
      <c r="B56" s="39"/>
      <c r="C56" s="32"/>
      <c r="D56" s="44"/>
      <c r="E56" s="30"/>
      <c r="F56" s="33"/>
      <c r="G56" s="31"/>
      <c r="H56" s="31"/>
      <c r="I56" s="106"/>
      <c r="J56" s="34"/>
      <c r="K56" s="34"/>
      <c r="L56" s="37"/>
      <c r="S56" s="86">
        <v>45</v>
      </c>
    </row>
    <row r="57" spans="2:19" ht="18.75" x14ac:dyDescent="0.2">
      <c r="B57" s="39"/>
      <c r="C57" s="32"/>
      <c r="D57" s="44"/>
      <c r="E57" s="30"/>
      <c r="F57" s="33"/>
      <c r="G57" s="31"/>
      <c r="H57" s="31"/>
      <c r="I57" s="106"/>
      <c r="J57" s="90"/>
      <c r="K57" s="34"/>
      <c r="L57" s="37"/>
      <c r="S57" s="86">
        <v>46</v>
      </c>
    </row>
    <row r="58" spans="2:19" ht="18.75" x14ac:dyDescent="0.2">
      <c r="B58" s="39"/>
      <c r="C58" s="32"/>
      <c r="D58" s="44"/>
      <c r="E58" s="30"/>
      <c r="F58" s="33"/>
      <c r="G58" s="31"/>
      <c r="H58" s="31"/>
      <c r="I58" s="106"/>
      <c r="J58" s="90"/>
      <c r="K58" s="34"/>
      <c r="L58" s="37"/>
      <c r="S58" s="86">
        <v>47</v>
      </c>
    </row>
    <row r="59" spans="2:19" ht="18.75" x14ac:dyDescent="0.2">
      <c r="B59" s="39"/>
      <c r="C59" s="32"/>
      <c r="D59" s="44"/>
      <c r="E59" s="30"/>
      <c r="F59" s="33"/>
      <c r="G59" s="31"/>
      <c r="H59" s="31"/>
      <c r="I59" s="106"/>
      <c r="J59" s="90"/>
      <c r="K59" s="34"/>
      <c r="L59" s="37"/>
      <c r="S59" s="86">
        <v>48</v>
      </c>
    </row>
    <row r="60" spans="2:19" ht="18.75" x14ac:dyDescent="0.2">
      <c r="B60" s="39"/>
      <c r="C60" s="32"/>
      <c r="D60" s="44"/>
      <c r="E60" s="30"/>
      <c r="F60" s="33"/>
      <c r="G60" s="31"/>
      <c r="H60" s="31"/>
      <c r="I60" s="106"/>
      <c r="J60" s="90"/>
      <c r="K60" s="34"/>
      <c r="L60" s="37"/>
      <c r="S60" s="86">
        <v>49</v>
      </c>
    </row>
    <row r="61" spans="2:19" ht="18.75" x14ac:dyDescent="0.2">
      <c r="B61" s="39"/>
      <c r="C61" s="32"/>
      <c r="D61" s="44"/>
      <c r="E61" s="30"/>
      <c r="F61" s="33"/>
      <c r="G61" s="31"/>
      <c r="H61" s="31"/>
      <c r="I61" s="106"/>
      <c r="J61" s="34"/>
      <c r="K61" s="34"/>
      <c r="L61" s="37"/>
      <c r="S61" s="86">
        <v>50</v>
      </c>
    </row>
    <row r="62" spans="2:19" ht="18.75" x14ac:dyDescent="0.2">
      <c r="B62" s="39"/>
      <c r="C62" s="32"/>
      <c r="D62" s="44"/>
      <c r="E62" s="30"/>
      <c r="F62" s="33"/>
      <c r="G62" s="31"/>
      <c r="H62" s="31"/>
      <c r="I62" s="106"/>
      <c r="J62" s="90"/>
      <c r="K62" s="34"/>
      <c r="L62" s="37"/>
      <c r="S62" s="86">
        <v>51</v>
      </c>
    </row>
    <row r="63" spans="2:19" ht="18.75" x14ac:dyDescent="0.2">
      <c r="B63" s="39"/>
      <c r="C63" s="32"/>
      <c r="D63" s="44"/>
      <c r="E63" s="30"/>
      <c r="F63" s="33"/>
      <c r="G63" s="31"/>
      <c r="H63" s="31"/>
      <c r="I63" s="106"/>
      <c r="J63" s="90"/>
      <c r="K63" s="34"/>
      <c r="L63" s="37"/>
      <c r="S63" s="86">
        <v>52</v>
      </c>
    </row>
    <row r="64" spans="2:19" ht="18.75" x14ac:dyDescent="0.2">
      <c r="B64" s="39"/>
      <c r="C64" s="32"/>
      <c r="D64" s="44"/>
      <c r="E64" s="30"/>
      <c r="F64" s="33"/>
      <c r="G64" s="31"/>
      <c r="H64" s="31"/>
      <c r="I64" s="106"/>
      <c r="J64" s="90"/>
      <c r="K64" s="34"/>
      <c r="L64" s="37"/>
      <c r="S64" s="86">
        <v>53</v>
      </c>
    </row>
    <row r="65" spans="2:19" ht="18.75" x14ac:dyDescent="0.2">
      <c r="B65" s="39"/>
      <c r="C65" s="32"/>
      <c r="D65" s="44"/>
      <c r="E65" s="30"/>
      <c r="F65" s="33"/>
      <c r="G65" s="31"/>
      <c r="H65" s="31"/>
      <c r="I65" s="106"/>
      <c r="J65" s="90"/>
      <c r="K65" s="34"/>
      <c r="L65" s="37"/>
      <c r="S65" s="86">
        <v>54</v>
      </c>
    </row>
    <row r="66" spans="2:19" ht="18.75" x14ac:dyDescent="0.2">
      <c r="B66" s="39"/>
      <c r="C66" s="32"/>
      <c r="D66" s="44"/>
      <c r="E66" s="30"/>
      <c r="F66" s="33"/>
      <c r="G66" s="31"/>
      <c r="H66" s="31"/>
      <c r="I66" s="106"/>
      <c r="J66" s="90"/>
      <c r="K66" s="34"/>
      <c r="L66" s="37"/>
      <c r="S66" s="86">
        <v>55</v>
      </c>
    </row>
    <row r="67" spans="2:19" ht="18.75" x14ac:dyDescent="0.2">
      <c r="B67" s="39"/>
      <c r="C67" s="32"/>
      <c r="D67" s="44"/>
      <c r="E67" s="30"/>
      <c r="F67" s="33"/>
      <c r="G67" s="31"/>
      <c r="H67" s="31"/>
      <c r="I67" s="106"/>
      <c r="J67" s="90"/>
      <c r="K67" s="34"/>
      <c r="L67" s="37"/>
      <c r="S67" s="86">
        <v>56</v>
      </c>
    </row>
    <row r="68" spans="2:19" ht="18.75" x14ac:dyDescent="0.2">
      <c r="B68" s="39"/>
      <c r="C68" s="32"/>
      <c r="D68" s="44"/>
      <c r="E68" s="30"/>
      <c r="F68" s="33"/>
      <c r="G68" s="31"/>
      <c r="H68" s="31"/>
      <c r="I68" s="106"/>
      <c r="J68" s="90"/>
      <c r="K68" s="34"/>
      <c r="L68" s="37"/>
      <c r="S68" s="86">
        <v>57</v>
      </c>
    </row>
    <row r="69" spans="2:19" ht="18.75" x14ac:dyDescent="0.2">
      <c r="B69" s="39"/>
      <c r="C69" s="32"/>
      <c r="D69" s="44"/>
      <c r="E69" s="30"/>
      <c r="F69" s="33"/>
      <c r="G69" s="31"/>
      <c r="H69" s="31"/>
      <c r="I69" s="106"/>
      <c r="J69" s="90"/>
      <c r="K69" s="34"/>
      <c r="L69" s="37"/>
      <c r="S69" s="86">
        <v>58</v>
      </c>
    </row>
    <row r="70" spans="2:19" ht="18.75" x14ac:dyDescent="0.2">
      <c r="B70" s="39"/>
      <c r="C70" s="32"/>
      <c r="D70" s="44"/>
      <c r="E70" s="30"/>
      <c r="F70" s="33"/>
      <c r="G70" s="31"/>
      <c r="H70" s="31"/>
      <c r="I70" s="106"/>
      <c r="J70" s="90"/>
      <c r="K70" s="34"/>
      <c r="L70" s="37"/>
      <c r="S70" s="86">
        <v>59</v>
      </c>
    </row>
    <row r="71" spans="2:19" ht="18.75" x14ac:dyDescent="0.2">
      <c r="B71" s="39"/>
      <c r="C71" s="32"/>
      <c r="D71" s="44"/>
      <c r="E71" s="30"/>
      <c r="F71" s="33"/>
      <c r="G71" s="31"/>
      <c r="H71" s="31"/>
      <c r="I71" s="106"/>
      <c r="J71" s="90"/>
      <c r="K71" s="34"/>
      <c r="L71" s="37"/>
      <c r="S71" s="86">
        <v>60</v>
      </c>
    </row>
    <row r="72" spans="2:19" ht="18.75" x14ac:dyDescent="0.2">
      <c r="B72" s="39"/>
      <c r="C72" s="32"/>
      <c r="D72" s="44"/>
      <c r="E72" s="30"/>
      <c r="F72" s="33"/>
      <c r="G72" s="31"/>
      <c r="H72" s="31"/>
      <c r="I72" s="106"/>
      <c r="J72" s="90"/>
      <c r="K72" s="34"/>
      <c r="L72" s="37"/>
      <c r="S72" s="86">
        <v>61</v>
      </c>
    </row>
    <row r="73" spans="2:19" ht="18.75" x14ac:dyDescent="0.2">
      <c r="B73" s="39"/>
      <c r="C73" s="32"/>
      <c r="D73" s="44"/>
      <c r="E73" s="30"/>
      <c r="F73" s="33"/>
      <c r="G73" s="31"/>
      <c r="H73" s="31"/>
      <c r="I73" s="106"/>
      <c r="J73" s="90"/>
      <c r="K73" s="34"/>
      <c r="L73" s="37"/>
      <c r="S73" s="86">
        <v>62</v>
      </c>
    </row>
    <row r="74" spans="2:19" ht="18.75" x14ac:dyDescent="0.2">
      <c r="B74" s="39"/>
      <c r="C74" s="32"/>
      <c r="D74" s="44"/>
      <c r="E74" s="30"/>
      <c r="F74" s="33"/>
      <c r="G74" s="31"/>
      <c r="H74" s="31"/>
      <c r="I74" s="106"/>
      <c r="J74" s="90"/>
      <c r="K74" s="34"/>
      <c r="L74" s="37"/>
      <c r="S74" s="86">
        <v>63</v>
      </c>
    </row>
    <row r="75" spans="2:19" ht="18.75" x14ac:dyDescent="0.2">
      <c r="B75" s="39"/>
      <c r="C75" s="32"/>
      <c r="D75" s="44"/>
      <c r="E75" s="30"/>
      <c r="F75" s="33"/>
      <c r="G75" s="31"/>
      <c r="H75" s="31"/>
      <c r="I75" s="106"/>
      <c r="J75" s="90"/>
      <c r="K75" s="34"/>
      <c r="L75" s="37"/>
      <c r="S75" s="86">
        <v>64</v>
      </c>
    </row>
    <row r="76" spans="2:19" ht="18.75" x14ac:dyDescent="0.2">
      <c r="B76" s="39"/>
      <c r="C76" s="32"/>
      <c r="D76" s="44"/>
      <c r="E76" s="30"/>
      <c r="F76" s="33"/>
      <c r="G76" s="31"/>
      <c r="H76" s="31"/>
      <c r="I76" s="106"/>
      <c r="J76" s="90"/>
      <c r="K76" s="34"/>
      <c r="L76" s="37"/>
      <c r="S76" s="86">
        <v>65</v>
      </c>
    </row>
    <row r="77" spans="2:19" ht="18.75" x14ac:dyDescent="0.2">
      <c r="B77" s="39"/>
      <c r="C77" s="32"/>
      <c r="D77" s="44"/>
      <c r="E77" s="30"/>
      <c r="F77" s="33"/>
      <c r="G77" s="31"/>
      <c r="H77" s="31"/>
      <c r="I77" s="106"/>
      <c r="J77" s="90"/>
      <c r="K77" s="34"/>
      <c r="L77" s="37"/>
      <c r="S77" s="86">
        <v>66</v>
      </c>
    </row>
    <row r="78" spans="2:19" ht="18.75" x14ac:dyDescent="0.2">
      <c r="B78" s="39"/>
      <c r="C78" s="32"/>
      <c r="D78" s="44"/>
      <c r="E78" s="30"/>
      <c r="F78" s="33"/>
      <c r="G78" s="31"/>
      <c r="H78" s="31"/>
      <c r="I78" s="106"/>
      <c r="J78" s="90"/>
      <c r="K78" s="34"/>
      <c r="L78" s="37"/>
      <c r="S78" s="86">
        <v>67</v>
      </c>
    </row>
    <row r="79" spans="2:19" ht="18.75" x14ac:dyDescent="0.2">
      <c r="B79" s="39"/>
      <c r="C79" s="32"/>
      <c r="D79" s="44"/>
      <c r="E79" s="30"/>
      <c r="F79" s="33"/>
      <c r="G79" s="31"/>
      <c r="H79" s="31"/>
      <c r="I79" s="106"/>
      <c r="J79" s="90"/>
      <c r="K79" s="34"/>
      <c r="L79" s="37"/>
      <c r="S79" s="86">
        <v>68</v>
      </c>
    </row>
    <row r="80" spans="2:19" ht="18.75" x14ac:dyDescent="0.2">
      <c r="B80" s="39"/>
      <c r="C80" s="32"/>
      <c r="D80" s="44"/>
      <c r="E80" s="30"/>
      <c r="F80" s="33"/>
      <c r="G80" s="31"/>
      <c r="H80" s="31"/>
      <c r="I80" s="106"/>
      <c r="J80" s="90"/>
      <c r="K80" s="34"/>
      <c r="L80" s="37"/>
      <c r="S80" s="86">
        <v>69</v>
      </c>
    </row>
    <row r="81" spans="2:19" ht="18.75" x14ac:dyDescent="0.2">
      <c r="B81" s="39"/>
      <c r="C81" s="32"/>
      <c r="D81" s="44"/>
      <c r="E81" s="30"/>
      <c r="F81" s="33"/>
      <c r="G81" s="31"/>
      <c r="H81" s="31"/>
      <c r="I81" s="106"/>
      <c r="J81" s="90"/>
      <c r="K81" s="34"/>
      <c r="L81" s="37"/>
      <c r="S81" s="86">
        <v>70</v>
      </c>
    </row>
    <row r="82" spans="2:19" ht="18.75" x14ac:dyDescent="0.2">
      <c r="B82" s="39"/>
      <c r="C82" s="32"/>
      <c r="D82" s="44"/>
      <c r="E82" s="30"/>
      <c r="F82" s="33"/>
      <c r="G82" s="31"/>
      <c r="H82" s="31"/>
      <c r="I82" s="106"/>
      <c r="J82" s="90"/>
      <c r="K82" s="34"/>
      <c r="L82" s="37"/>
      <c r="S82" s="86">
        <v>71</v>
      </c>
    </row>
    <row r="83" spans="2:19" ht="18.75" x14ac:dyDescent="0.2">
      <c r="B83" s="39"/>
      <c r="C83" s="32"/>
      <c r="D83" s="44"/>
      <c r="E83" s="30"/>
      <c r="F83" s="33"/>
      <c r="G83" s="31"/>
      <c r="H83" s="31"/>
      <c r="I83" s="106"/>
      <c r="J83" s="90"/>
      <c r="K83" s="34"/>
      <c r="L83" s="37"/>
      <c r="S83" s="86">
        <v>72</v>
      </c>
    </row>
    <row r="84" spans="2:19" ht="18.75" x14ac:dyDescent="0.2">
      <c r="B84" s="39"/>
      <c r="C84" s="32"/>
      <c r="D84" s="44"/>
      <c r="E84" s="30"/>
      <c r="F84" s="33"/>
      <c r="G84" s="31"/>
      <c r="H84" s="31"/>
      <c r="I84" s="106"/>
      <c r="J84" s="90"/>
      <c r="K84" s="34"/>
      <c r="L84" s="37"/>
      <c r="S84" s="86">
        <v>73</v>
      </c>
    </row>
    <row r="85" spans="2:19" ht="18.75" x14ac:dyDescent="0.2">
      <c r="B85" s="39"/>
      <c r="C85" s="32"/>
      <c r="D85" s="44"/>
      <c r="E85" s="30"/>
      <c r="F85" s="33"/>
      <c r="G85" s="31"/>
      <c r="H85" s="31"/>
      <c r="I85" s="106"/>
      <c r="J85" s="90"/>
      <c r="K85" s="34"/>
      <c r="L85" s="37"/>
      <c r="S85" s="86">
        <v>74</v>
      </c>
    </row>
    <row r="86" spans="2:19" ht="18.75" x14ac:dyDescent="0.2">
      <c r="B86" s="39"/>
      <c r="C86" s="32"/>
      <c r="D86" s="44"/>
      <c r="E86" s="30"/>
      <c r="F86" s="33"/>
      <c r="G86" s="31"/>
      <c r="H86" s="31"/>
      <c r="I86" s="106"/>
      <c r="J86" s="90"/>
      <c r="K86" s="34"/>
      <c r="L86" s="37"/>
      <c r="S86" s="86">
        <v>75</v>
      </c>
    </row>
    <row r="87" spans="2:19" ht="18.75" x14ac:dyDescent="0.2">
      <c r="B87" s="39"/>
      <c r="C87" s="32"/>
      <c r="D87" s="44"/>
      <c r="E87" s="30"/>
      <c r="F87" s="33"/>
      <c r="G87" s="31"/>
      <c r="H87" s="31"/>
      <c r="I87" s="106"/>
      <c r="J87" s="90"/>
      <c r="K87" s="34"/>
      <c r="L87" s="37"/>
      <c r="S87" s="86">
        <v>76</v>
      </c>
    </row>
    <row r="88" spans="2:19" ht="18.75" x14ac:dyDescent="0.2">
      <c r="B88" s="39"/>
      <c r="C88" s="32"/>
      <c r="D88" s="44"/>
      <c r="E88" s="30"/>
      <c r="F88" s="33"/>
      <c r="G88" s="31"/>
      <c r="H88" s="31"/>
      <c r="I88" s="106"/>
      <c r="J88" s="90"/>
      <c r="K88" s="34"/>
      <c r="L88" s="37"/>
      <c r="S88" s="86">
        <v>77</v>
      </c>
    </row>
    <row r="89" spans="2:19" ht="18.75" x14ac:dyDescent="0.2">
      <c r="B89" s="39"/>
      <c r="C89" s="32"/>
      <c r="D89" s="44"/>
      <c r="E89" s="30"/>
      <c r="F89" s="33"/>
      <c r="G89" s="31"/>
      <c r="H89" s="31"/>
      <c r="I89" s="106"/>
      <c r="J89" s="90"/>
      <c r="K89" s="34"/>
      <c r="L89" s="37"/>
      <c r="S89" s="86">
        <v>78</v>
      </c>
    </row>
    <row r="90" spans="2:19" ht="18.75" x14ac:dyDescent="0.2">
      <c r="B90" s="39"/>
      <c r="C90" s="32"/>
      <c r="D90" s="44"/>
      <c r="E90" s="30"/>
      <c r="F90" s="33"/>
      <c r="G90" s="31"/>
      <c r="H90" s="31"/>
      <c r="I90" s="106"/>
      <c r="J90" s="90"/>
      <c r="K90" s="34"/>
      <c r="L90" s="37"/>
      <c r="S90" s="86">
        <v>79</v>
      </c>
    </row>
    <row r="91" spans="2:19" ht="18.75" x14ac:dyDescent="0.2">
      <c r="B91" s="39"/>
      <c r="C91" s="32"/>
      <c r="D91" s="44"/>
      <c r="E91" s="30"/>
      <c r="F91" s="33"/>
      <c r="G91" s="31"/>
      <c r="H91" s="31"/>
      <c r="I91" s="106"/>
      <c r="J91" s="90"/>
      <c r="K91" s="34"/>
      <c r="L91" s="37"/>
      <c r="S91" s="86">
        <v>80</v>
      </c>
    </row>
    <row r="92" spans="2:19" ht="18.75" x14ac:dyDescent="0.2">
      <c r="B92" s="39"/>
      <c r="C92" s="32"/>
      <c r="D92" s="44"/>
      <c r="E92" s="30"/>
      <c r="F92" s="33"/>
      <c r="G92" s="31"/>
      <c r="H92" s="31"/>
      <c r="I92" s="106"/>
      <c r="J92" s="90"/>
      <c r="K92" s="34"/>
      <c r="L92" s="37"/>
      <c r="S92" s="86">
        <v>81</v>
      </c>
    </row>
    <row r="93" spans="2:19" ht="18.75" x14ac:dyDescent="0.2">
      <c r="B93" s="39"/>
      <c r="C93" s="32"/>
      <c r="D93" s="44"/>
      <c r="E93" s="30"/>
      <c r="F93" s="33"/>
      <c r="G93" s="31"/>
      <c r="H93" s="31"/>
      <c r="I93" s="106"/>
      <c r="J93" s="90"/>
      <c r="K93" s="34"/>
      <c r="L93" s="37"/>
      <c r="S93" s="86">
        <v>82</v>
      </c>
    </row>
    <row r="94" spans="2:19" ht="18.75" x14ac:dyDescent="0.2">
      <c r="B94" s="39"/>
      <c r="C94" s="32"/>
      <c r="D94" s="44"/>
      <c r="E94" s="30"/>
      <c r="F94" s="33"/>
      <c r="G94" s="31"/>
      <c r="H94" s="31"/>
      <c r="I94" s="106"/>
      <c r="J94" s="90"/>
      <c r="K94" s="34"/>
      <c r="L94" s="37"/>
      <c r="S94" s="86">
        <v>83</v>
      </c>
    </row>
    <row r="95" spans="2:19" ht="18.75" x14ac:dyDescent="0.2">
      <c r="B95" s="39"/>
      <c r="C95" s="32"/>
      <c r="D95" s="44"/>
      <c r="E95" s="30"/>
      <c r="F95" s="33"/>
      <c r="G95" s="31"/>
      <c r="H95" s="31"/>
      <c r="I95" s="106"/>
      <c r="J95" s="90"/>
      <c r="K95" s="34"/>
      <c r="L95" s="37"/>
      <c r="S95" s="86">
        <v>84</v>
      </c>
    </row>
    <row r="96" spans="2:19" ht="18.75" x14ac:dyDescent="0.2">
      <c r="B96" s="39"/>
      <c r="C96" s="32"/>
      <c r="D96" s="44"/>
      <c r="E96" s="30"/>
      <c r="F96" s="33"/>
      <c r="G96" s="31"/>
      <c r="H96" s="31"/>
      <c r="I96" s="106"/>
      <c r="J96" s="90"/>
      <c r="K96" s="34"/>
      <c r="L96" s="37"/>
      <c r="S96" s="86">
        <v>85</v>
      </c>
    </row>
    <row r="97" spans="2:19" ht="18.75" x14ac:dyDescent="0.2">
      <c r="B97" s="39"/>
      <c r="C97" s="32"/>
      <c r="D97" s="44"/>
      <c r="E97" s="30"/>
      <c r="F97" s="33"/>
      <c r="G97" s="31"/>
      <c r="H97" s="31"/>
      <c r="I97" s="106"/>
      <c r="J97" s="90"/>
      <c r="K97" s="34"/>
      <c r="L97" s="37"/>
      <c r="S97" s="86">
        <v>86</v>
      </c>
    </row>
    <row r="98" spans="2:19" ht="18.75" x14ac:dyDescent="0.2">
      <c r="B98" s="39"/>
      <c r="C98" s="32"/>
      <c r="D98" s="44"/>
      <c r="E98" s="30"/>
      <c r="F98" s="33"/>
      <c r="G98" s="31"/>
      <c r="H98" s="31"/>
      <c r="I98" s="106"/>
      <c r="J98" s="90"/>
      <c r="K98" s="34"/>
      <c r="L98" s="37"/>
      <c r="S98" s="86">
        <v>87</v>
      </c>
    </row>
    <row r="99" spans="2:19" ht="18.75" x14ac:dyDescent="0.2">
      <c r="B99" s="39"/>
      <c r="C99" s="32"/>
      <c r="D99" s="44"/>
      <c r="E99" s="30"/>
      <c r="F99" s="33"/>
      <c r="G99" s="31"/>
      <c r="H99" s="31"/>
      <c r="I99" s="106"/>
      <c r="J99" s="90"/>
      <c r="K99" s="34"/>
      <c r="L99" s="37"/>
      <c r="S99" s="86">
        <v>88</v>
      </c>
    </row>
    <row r="100" spans="2:19" ht="18.75" x14ac:dyDescent="0.2">
      <c r="B100" s="39"/>
      <c r="C100" s="32"/>
      <c r="D100" s="44"/>
      <c r="E100" s="30"/>
      <c r="F100" s="33"/>
      <c r="G100" s="31"/>
      <c r="H100" s="31"/>
      <c r="I100" s="106"/>
      <c r="J100" s="90"/>
      <c r="K100" s="34"/>
      <c r="L100" s="37"/>
      <c r="S100" s="86">
        <v>89</v>
      </c>
    </row>
    <row r="101" spans="2:19" ht="18.75" x14ac:dyDescent="0.2">
      <c r="B101" s="39"/>
      <c r="C101" s="32"/>
      <c r="D101" s="44"/>
      <c r="E101" s="30"/>
      <c r="F101" s="33"/>
      <c r="G101" s="31"/>
      <c r="H101" s="31"/>
      <c r="I101" s="106"/>
      <c r="J101" s="90"/>
      <c r="K101" s="34"/>
      <c r="L101" s="37"/>
      <c r="S101" s="86">
        <v>90</v>
      </c>
    </row>
    <row r="102" spans="2:19" ht="18.75" x14ac:dyDescent="0.2">
      <c r="B102" s="39"/>
      <c r="C102" s="32"/>
      <c r="D102" s="44"/>
      <c r="E102" s="30"/>
      <c r="F102" s="33"/>
      <c r="G102" s="31"/>
      <c r="H102" s="31"/>
      <c r="I102" s="106"/>
      <c r="J102" s="90"/>
      <c r="K102" s="34"/>
      <c r="L102" s="37"/>
      <c r="S102" s="86">
        <v>91</v>
      </c>
    </row>
    <row r="103" spans="2:19" ht="18.75" x14ac:dyDescent="0.2">
      <c r="B103" s="39"/>
      <c r="C103" s="32"/>
      <c r="D103" s="44"/>
      <c r="E103" s="30"/>
      <c r="F103" s="33"/>
      <c r="G103" s="31"/>
      <c r="H103" s="31"/>
      <c r="I103" s="106"/>
      <c r="J103" s="90"/>
      <c r="K103" s="34"/>
      <c r="L103" s="37"/>
      <c r="S103" s="86">
        <v>92</v>
      </c>
    </row>
    <row r="104" spans="2:19" ht="18.75" x14ac:dyDescent="0.2">
      <c r="B104" s="39"/>
      <c r="C104" s="32"/>
      <c r="D104" s="44"/>
      <c r="E104" s="30"/>
      <c r="F104" s="33"/>
      <c r="G104" s="31"/>
      <c r="H104" s="31"/>
      <c r="I104" s="106"/>
      <c r="J104" s="90"/>
      <c r="K104" s="34"/>
      <c r="L104" s="37"/>
      <c r="S104" s="86">
        <v>93</v>
      </c>
    </row>
    <row r="105" spans="2:19" ht="18.75" x14ac:dyDescent="0.2">
      <c r="B105" s="39"/>
      <c r="C105" s="32"/>
      <c r="D105" s="44"/>
      <c r="E105" s="30"/>
      <c r="F105" s="33"/>
      <c r="G105" s="31"/>
      <c r="H105" s="31"/>
      <c r="I105" s="106"/>
      <c r="J105" s="90"/>
      <c r="K105" s="34"/>
      <c r="L105" s="37"/>
      <c r="S105" s="86">
        <v>94</v>
      </c>
    </row>
    <row r="106" spans="2:19" ht="18.75" x14ac:dyDescent="0.2">
      <c r="B106" s="39"/>
      <c r="C106" s="32"/>
      <c r="D106" s="44"/>
      <c r="E106" s="30"/>
      <c r="F106" s="33"/>
      <c r="G106" s="31"/>
      <c r="H106" s="31"/>
      <c r="I106" s="106"/>
      <c r="J106" s="90"/>
      <c r="K106" s="34"/>
      <c r="L106" s="37"/>
      <c r="S106" s="86">
        <v>95</v>
      </c>
    </row>
    <row r="107" spans="2:19" ht="18.75" x14ac:dyDescent="0.2">
      <c r="B107" s="39"/>
      <c r="C107" s="32"/>
      <c r="D107" s="44"/>
      <c r="E107" s="30"/>
      <c r="F107" s="33"/>
      <c r="G107" s="31"/>
      <c r="H107" s="31"/>
      <c r="I107" s="106"/>
      <c r="J107" s="90"/>
      <c r="K107" s="34"/>
      <c r="L107" s="37"/>
      <c r="S107" s="86">
        <v>96</v>
      </c>
    </row>
    <row r="108" spans="2:19" ht="18.75" x14ac:dyDescent="0.2">
      <c r="B108" s="39"/>
      <c r="C108" s="32"/>
      <c r="D108" s="44"/>
      <c r="E108" s="30"/>
      <c r="F108" s="33"/>
      <c r="G108" s="31"/>
      <c r="H108" s="31"/>
      <c r="I108" s="106"/>
      <c r="J108" s="90"/>
      <c r="K108" s="34"/>
      <c r="L108" s="37"/>
      <c r="S108" s="86">
        <v>97</v>
      </c>
    </row>
    <row r="109" spans="2:19" ht="18.75" x14ac:dyDescent="0.2">
      <c r="B109" s="39"/>
      <c r="C109" s="32"/>
      <c r="D109" s="44"/>
      <c r="E109" s="30"/>
      <c r="F109" s="33"/>
      <c r="G109" s="31"/>
      <c r="H109" s="31"/>
      <c r="I109" s="106"/>
      <c r="J109" s="90"/>
      <c r="K109" s="34"/>
      <c r="L109" s="37"/>
      <c r="S109" s="86">
        <v>98</v>
      </c>
    </row>
    <row r="110" spans="2:19" ht="18.75" x14ac:dyDescent="0.2">
      <c r="B110" s="39"/>
      <c r="C110" s="32"/>
      <c r="D110" s="44"/>
      <c r="E110" s="30"/>
      <c r="F110" s="33"/>
      <c r="G110" s="31"/>
      <c r="H110" s="31"/>
      <c r="I110" s="106"/>
      <c r="J110" s="90"/>
      <c r="K110" s="34"/>
      <c r="L110" s="37"/>
      <c r="S110" s="86">
        <v>99</v>
      </c>
    </row>
    <row r="111" spans="2:19" ht="18.75" x14ac:dyDescent="0.2">
      <c r="B111" s="39"/>
      <c r="C111" s="32"/>
      <c r="D111" s="44"/>
      <c r="E111" s="30"/>
      <c r="F111" s="33"/>
      <c r="G111" s="31"/>
      <c r="H111" s="31"/>
      <c r="I111" s="106"/>
      <c r="J111" s="90"/>
      <c r="K111" s="34"/>
      <c r="L111" s="37"/>
      <c r="S111" s="86">
        <v>100</v>
      </c>
    </row>
    <row r="112" spans="2:19" ht="18.75" x14ac:dyDescent="0.2">
      <c r="B112" s="39"/>
      <c r="C112" s="32"/>
      <c r="D112" s="44"/>
      <c r="E112" s="30"/>
      <c r="F112" s="33"/>
      <c r="G112" s="31"/>
      <c r="H112" s="31"/>
      <c r="I112" s="106"/>
      <c r="J112" s="90"/>
      <c r="K112" s="34"/>
      <c r="L112" s="37"/>
      <c r="S112" s="86">
        <v>101</v>
      </c>
    </row>
    <row r="113" spans="2:19" ht="18.75" x14ac:dyDescent="0.2">
      <c r="B113" s="39"/>
      <c r="C113" s="32"/>
      <c r="D113" s="44"/>
      <c r="E113" s="30"/>
      <c r="F113" s="33"/>
      <c r="G113" s="31"/>
      <c r="H113" s="31"/>
      <c r="I113" s="106"/>
      <c r="J113" s="90"/>
      <c r="K113" s="34"/>
      <c r="L113" s="37"/>
      <c r="S113" s="86">
        <v>102</v>
      </c>
    </row>
    <row r="114" spans="2:19" ht="18.75" x14ac:dyDescent="0.2">
      <c r="B114" s="39"/>
      <c r="C114" s="32"/>
      <c r="D114" s="44"/>
      <c r="E114" s="30"/>
      <c r="F114" s="33"/>
      <c r="G114" s="31"/>
      <c r="H114" s="31"/>
      <c r="I114" s="106"/>
      <c r="J114" s="90"/>
      <c r="K114" s="34"/>
      <c r="L114" s="37"/>
      <c r="S114" s="86">
        <v>103</v>
      </c>
    </row>
    <row r="115" spans="2:19" ht="18.75" x14ac:dyDescent="0.2">
      <c r="B115" s="39"/>
      <c r="C115" s="32"/>
      <c r="D115" s="44"/>
      <c r="E115" s="30"/>
      <c r="F115" s="33"/>
      <c r="G115" s="31"/>
      <c r="H115" s="31"/>
      <c r="I115" s="106"/>
      <c r="J115" s="90"/>
      <c r="K115" s="34"/>
      <c r="L115" s="37"/>
      <c r="S115" s="86">
        <v>104</v>
      </c>
    </row>
    <row r="116" spans="2:19" ht="18.75" x14ac:dyDescent="0.2">
      <c r="B116" s="39"/>
      <c r="C116" s="32"/>
      <c r="D116" s="44"/>
      <c r="E116" s="30"/>
      <c r="F116" s="33"/>
      <c r="G116" s="31"/>
      <c r="H116" s="31"/>
      <c r="I116" s="106"/>
      <c r="J116" s="90"/>
      <c r="K116" s="34"/>
      <c r="L116" s="37"/>
      <c r="S116" s="86">
        <v>105</v>
      </c>
    </row>
    <row r="117" spans="2:19" ht="18.75" x14ac:dyDescent="0.2">
      <c r="B117" s="39"/>
      <c r="C117" s="32"/>
      <c r="D117" s="44"/>
      <c r="E117" s="30"/>
      <c r="F117" s="33"/>
      <c r="G117" s="31"/>
      <c r="H117" s="31"/>
      <c r="I117" s="106"/>
      <c r="J117" s="90"/>
      <c r="K117" s="34"/>
      <c r="L117" s="37"/>
      <c r="S117" s="86">
        <v>106</v>
      </c>
    </row>
    <row r="118" spans="2:19" ht="18.75" x14ac:dyDescent="0.2">
      <c r="B118" s="39"/>
      <c r="C118" s="32"/>
      <c r="D118" s="44"/>
      <c r="E118" s="30"/>
      <c r="F118" s="33"/>
      <c r="G118" s="31"/>
      <c r="H118" s="31"/>
      <c r="I118" s="106"/>
      <c r="J118" s="90"/>
      <c r="K118" s="34"/>
      <c r="L118" s="37"/>
      <c r="S118" s="86">
        <v>107</v>
      </c>
    </row>
    <row r="119" spans="2:19" ht="18.75" x14ac:dyDescent="0.2">
      <c r="B119" s="39"/>
      <c r="C119" s="32"/>
      <c r="D119" s="44"/>
      <c r="E119" s="30"/>
      <c r="F119" s="33"/>
      <c r="G119" s="31"/>
      <c r="H119" s="31"/>
      <c r="I119" s="106"/>
      <c r="J119" s="90"/>
      <c r="K119" s="34"/>
      <c r="L119" s="37"/>
      <c r="S119" s="86">
        <v>108</v>
      </c>
    </row>
    <row r="120" spans="2:19" ht="18.75" x14ac:dyDescent="0.2">
      <c r="B120" s="39"/>
      <c r="C120" s="32"/>
      <c r="D120" s="44"/>
      <c r="E120" s="30"/>
      <c r="F120" s="33"/>
      <c r="G120" s="31"/>
      <c r="H120" s="31"/>
      <c r="I120" s="106"/>
      <c r="J120" s="90"/>
      <c r="K120" s="34"/>
      <c r="L120" s="37"/>
      <c r="S120" s="86">
        <v>109</v>
      </c>
    </row>
    <row r="121" spans="2:19" ht="18.75" x14ac:dyDescent="0.2">
      <c r="B121" s="39"/>
      <c r="C121" s="32"/>
      <c r="D121" s="44"/>
      <c r="E121" s="30"/>
      <c r="F121" s="33"/>
      <c r="G121" s="31"/>
      <c r="H121" s="31"/>
      <c r="I121" s="106"/>
      <c r="J121" s="90"/>
      <c r="K121" s="34"/>
      <c r="L121" s="37"/>
      <c r="S121" s="86">
        <v>110</v>
      </c>
    </row>
    <row r="122" spans="2:19" ht="18.75" x14ac:dyDescent="0.2">
      <c r="B122" s="39"/>
      <c r="C122" s="32"/>
      <c r="D122" s="44"/>
      <c r="E122" s="30"/>
      <c r="F122" s="33"/>
      <c r="G122" s="31"/>
      <c r="H122" s="31"/>
      <c r="I122" s="106"/>
      <c r="J122" s="90"/>
      <c r="K122" s="34"/>
      <c r="L122" s="37"/>
      <c r="S122" s="86">
        <v>111</v>
      </c>
    </row>
    <row r="123" spans="2:19" ht="18.75" x14ac:dyDescent="0.2">
      <c r="B123" s="39"/>
      <c r="C123" s="32"/>
      <c r="D123" s="44"/>
      <c r="E123" s="30"/>
      <c r="F123" s="33"/>
      <c r="G123" s="31"/>
      <c r="H123" s="31"/>
      <c r="I123" s="106"/>
      <c r="J123" s="90"/>
      <c r="K123" s="34"/>
      <c r="L123" s="37"/>
      <c r="S123" s="86">
        <v>112</v>
      </c>
    </row>
    <row r="124" spans="2:19" ht="18.75" x14ac:dyDescent="0.2">
      <c r="B124" s="39"/>
      <c r="C124" s="32"/>
      <c r="D124" s="44"/>
      <c r="E124" s="30"/>
      <c r="F124" s="33"/>
      <c r="G124" s="31"/>
      <c r="H124" s="31"/>
      <c r="I124" s="106"/>
      <c r="J124" s="90"/>
      <c r="K124" s="34"/>
      <c r="L124" s="37"/>
      <c r="S124" s="86">
        <v>113</v>
      </c>
    </row>
    <row r="125" spans="2:19" ht="18.75" x14ac:dyDescent="0.2">
      <c r="B125" s="39"/>
      <c r="C125" s="32"/>
      <c r="D125" s="44"/>
      <c r="E125" s="30"/>
      <c r="F125" s="33"/>
      <c r="G125" s="31"/>
      <c r="H125" s="31"/>
      <c r="I125" s="106"/>
      <c r="J125" s="90"/>
      <c r="K125" s="34"/>
      <c r="L125" s="37"/>
      <c r="S125" s="86">
        <v>114</v>
      </c>
    </row>
    <row r="126" spans="2:19" ht="18.75" x14ac:dyDescent="0.2">
      <c r="B126" s="39"/>
      <c r="C126" s="32"/>
      <c r="D126" s="44"/>
      <c r="E126" s="30"/>
      <c r="F126" s="33"/>
      <c r="G126" s="31"/>
      <c r="H126" s="31"/>
      <c r="I126" s="106"/>
      <c r="J126" s="90"/>
      <c r="K126" s="34"/>
      <c r="L126" s="37"/>
      <c r="S126" s="86">
        <v>115</v>
      </c>
    </row>
    <row r="127" spans="2:19" ht="18.75" x14ac:dyDescent="0.2">
      <c r="B127" s="39"/>
      <c r="C127" s="32"/>
      <c r="D127" s="44"/>
      <c r="E127" s="30"/>
      <c r="F127" s="33"/>
      <c r="G127" s="31"/>
      <c r="H127" s="31"/>
      <c r="I127" s="106"/>
      <c r="J127" s="90"/>
      <c r="K127" s="34"/>
      <c r="L127" s="37"/>
      <c r="S127" s="86">
        <v>116</v>
      </c>
    </row>
    <row r="128" spans="2:19" ht="18.75" x14ac:dyDescent="0.2">
      <c r="B128" s="39"/>
      <c r="C128" s="32"/>
      <c r="D128" s="44"/>
      <c r="E128" s="30"/>
      <c r="F128" s="33"/>
      <c r="G128" s="31"/>
      <c r="H128" s="31"/>
      <c r="I128" s="106"/>
      <c r="J128" s="90"/>
      <c r="K128" s="34"/>
      <c r="L128" s="37"/>
      <c r="S128" s="86">
        <v>117</v>
      </c>
    </row>
    <row r="129" spans="2:19" ht="18.75" x14ac:dyDescent="0.2">
      <c r="B129" s="39"/>
      <c r="C129" s="32"/>
      <c r="D129" s="44"/>
      <c r="E129" s="30"/>
      <c r="F129" s="33"/>
      <c r="G129" s="31"/>
      <c r="H129" s="31"/>
      <c r="I129" s="106"/>
      <c r="J129" s="90"/>
      <c r="K129" s="34"/>
      <c r="L129" s="37"/>
      <c r="S129" s="86">
        <v>118</v>
      </c>
    </row>
    <row r="130" spans="2:19" ht="18.75" x14ac:dyDescent="0.2">
      <c r="B130" s="39"/>
      <c r="C130" s="32"/>
      <c r="D130" s="44"/>
      <c r="E130" s="30"/>
      <c r="F130" s="33"/>
      <c r="G130" s="31"/>
      <c r="H130" s="31"/>
      <c r="I130" s="106"/>
      <c r="J130" s="90"/>
      <c r="K130" s="34"/>
      <c r="L130" s="37"/>
      <c r="S130" s="86">
        <v>119</v>
      </c>
    </row>
    <row r="131" spans="2:19" ht="18.75" x14ac:dyDescent="0.2">
      <c r="B131" s="39"/>
      <c r="C131" s="32"/>
      <c r="D131" s="44"/>
      <c r="E131" s="30"/>
      <c r="F131" s="33"/>
      <c r="G131" s="31"/>
      <c r="H131" s="31"/>
      <c r="I131" s="106"/>
      <c r="J131" s="90"/>
      <c r="K131" s="34"/>
      <c r="L131" s="37"/>
      <c r="S131" s="86">
        <v>120</v>
      </c>
    </row>
    <row r="132" spans="2:19" ht="18.75" x14ac:dyDescent="0.2">
      <c r="B132" s="39"/>
      <c r="C132" s="32"/>
      <c r="D132" s="44"/>
      <c r="E132" s="30"/>
      <c r="F132" s="33"/>
      <c r="G132" s="31"/>
      <c r="H132" s="31"/>
      <c r="I132" s="106"/>
      <c r="J132" s="90"/>
      <c r="K132" s="34"/>
      <c r="L132" s="37"/>
      <c r="S132" s="86">
        <v>121</v>
      </c>
    </row>
    <row r="133" spans="2:19" ht="18.75" x14ac:dyDescent="0.2">
      <c r="B133" s="39"/>
      <c r="C133" s="32"/>
      <c r="D133" s="44"/>
      <c r="E133" s="30"/>
      <c r="F133" s="33"/>
      <c r="G133" s="31"/>
      <c r="H133" s="31"/>
      <c r="I133" s="106"/>
      <c r="J133" s="90"/>
      <c r="K133" s="34"/>
      <c r="L133" s="37"/>
      <c r="S133" s="86">
        <v>122</v>
      </c>
    </row>
    <row r="134" spans="2:19" ht="18.75" x14ac:dyDescent="0.2">
      <c r="B134" s="39"/>
      <c r="C134" s="32"/>
      <c r="D134" s="44"/>
      <c r="E134" s="30"/>
      <c r="F134" s="33"/>
      <c r="G134" s="31"/>
      <c r="H134" s="31"/>
      <c r="I134" s="106"/>
      <c r="J134" s="90"/>
      <c r="K134" s="34"/>
      <c r="L134" s="37"/>
      <c r="S134" s="86">
        <v>123</v>
      </c>
    </row>
    <row r="135" spans="2:19" ht="18.75" x14ac:dyDescent="0.2">
      <c r="B135" s="39"/>
      <c r="C135" s="32"/>
      <c r="D135" s="44"/>
      <c r="E135" s="30"/>
      <c r="F135" s="33"/>
      <c r="G135" s="31"/>
      <c r="H135" s="31"/>
      <c r="I135" s="106"/>
      <c r="J135" s="90"/>
      <c r="K135" s="34"/>
      <c r="L135" s="37"/>
      <c r="S135" s="86">
        <v>124</v>
      </c>
    </row>
    <row r="136" spans="2:19" ht="18.75" x14ac:dyDescent="0.2">
      <c r="B136" s="39"/>
      <c r="C136" s="32"/>
      <c r="D136" s="44"/>
      <c r="E136" s="30"/>
      <c r="F136" s="33"/>
      <c r="G136" s="31"/>
      <c r="H136" s="31"/>
      <c r="I136" s="106"/>
      <c r="J136" s="90"/>
      <c r="K136" s="34"/>
      <c r="L136" s="37"/>
      <c r="S136" s="86">
        <v>125</v>
      </c>
    </row>
    <row r="137" spans="2:19" ht="18.75" x14ac:dyDescent="0.2">
      <c r="B137" s="39"/>
      <c r="C137" s="32"/>
      <c r="D137" s="44"/>
      <c r="E137" s="30"/>
      <c r="F137" s="33"/>
      <c r="G137" s="31"/>
      <c r="H137" s="31"/>
      <c r="I137" s="106"/>
      <c r="J137" s="90"/>
      <c r="K137" s="34"/>
      <c r="L137" s="37"/>
      <c r="S137" s="86">
        <v>126</v>
      </c>
    </row>
    <row r="138" spans="2:19" ht="18.75" x14ac:dyDescent="0.2">
      <c r="B138" s="39"/>
      <c r="C138" s="32"/>
      <c r="D138" s="44"/>
      <c r="E138" s="30"/>
      <c r="F138" s="33"/>
      <c r="G138" s="31"/>
      <c r="H138" s="31"/>
      <c r="I138" s="106"/>
      <c r="J138" s="90"/>
      <c r="K138" s="34"/>
      <c r="L138" s="37"/>
      <c r="S138" s="86">
        <v>127</v>
      </c>
    </row>
    <row r="139" spans="2:19" ht="18.75" x14ac:dyDescent="0.2">
      <c r="B139" s="39"/>
      <c r="C139" s="32"/>
      <c r="D139" s="44"/>
      <c r="E139" s="30"/>
      <c r="F139" s="33"/>
      <c r="G139" s="31"/>
      <c r="H139" s="31"/>
      <c r="I139" s="106"/>
      <c r="J139" s="90"/>
      <c r="K139" s="34"/>
      <c r="L139" s="37"/>
      <c r="S139" s="86">
        <v>128</v>
      </c>
    </row>
    <row r="140" spans="2:19" ht="18.75" x14ac:dyDescent="0.2">
      <c r="B140" s="39"/>
      <c r="C140" s="32"/>
      <c r="D140" s="44"/>
      <c r="E140" s="30"/>
      <c r="F140" s="33"/>
      <c r="G140" s="31"/>
      <c r="H140" s="31"/>
      <c r="I140" s="106"/>
      <c r="J140" s="90"/>
      <c r="K140" s="34"/>
      <c r="L140" s="37"/>
      <c r="S140" s="86">
        <v>129</v>
      </c>
    </row>
    <row r="141" spans="2:19" ht="18.75" x14ac:dyDescent="0.2">
      <c r="B141" s="39"/>
      <c r="C141" s="32"/>
      <c r="D141" s="44"/>
      <c r="E141" s="30"/>
      <c r="F141" s="33"/>
      <c r="G141" s="31"/>
      <c r="H141" s="31"/>
      <c r="I141" s="106"/>
      <c r="J141" s="90"/>
      <c r="K141" s="34"/>
      <c r="L141" s="37"/>
      <c r="S141" s="86">
        <v>130</v>
      </c>
    </row>
    <row r="142" spans="2:19" ht="18.75" x14ac:dyDescent="0.2">
      <c r="B142" s="39"/>
      <c r="C142" s="32"/>
      <c r="D142" s="44"/>
      <c r="E142" s="30"/>
      <c r="F142" s="33"/>
      <c r="G142" s="31"/>
      <c r="H142" s="31"/>
      <c r="I142" s="106"/>
      <c r="J142" s="90"/>
      <c r="K142" s="34"/>
      <c r="L142" s="37"/>
      <c r="S142" s="86">
        <v>131</v>
      </c>
    </row>
    <row r="143" spans="2:19" ht="18.75" x14ac:dyDescent="0.2">
      <c r="B143" s="39"/>
      <c r="C143" s="32"/>
      <c r="D143" s="44"/>
      <c r="E143" s="30"/>
      <c r="F143" s="33"/>
      <c r="G143" s="31"/>
      <c r="H143" s="31"/>
      <c r="I143" s="106"/>
      <c r="J143" s="90"/>
      <c r="K143" s="34"/>
      <c r="L143" s="37"/>
      <c r="S143" s="86">
        <v>132</v>
      </c>
    </row>
    <row r="144" spans="2:19" ht="18.75" x14ac:dyDescent="0.2">
      <c r="B144" s="39"/>
      <c r="C144" s="32"/>
      <c r="D144" s="44"/>
      <c r="E144" s="30"/>
      <c r="F144" s="33"/>
      <c r="G144" s="31"/>
      <c r="H144" s="31"/>
      <c r="I144" s="106"/>
      <c r="J144" s="90"/>
      <c r="K144" s="34"/>
      <c r="L144" s="37"/>
      <c r="S144" s="86">
        <v>133</v>
      </c>
    </row>
    <row r="145" spans="2:19" ht="18.75" x14ac:dyDescent="0.2">
      <c r="B145" s="39"/>
      <c r="C145" s="32"/>
      <c r="D145" s="44"/>
      <c r="E145" s="30"/>
      <c r="F145" s="33"/>
      <c r="G145" s="31"/>
      <c r="H145" s="31"/>
      <c r="I145" s="106"/>
      <c r="J145" s="90"/>
      <c r="K145" s="34"/>
      <c r="L145" s="37"/>
      <c r="S145" s="86">
        <v>134</v>
      </c>
    </row>
    <row r="146" spans="2:19" ht="18.75" x14ac:dyDescent="0.2">
      <c r="B146" s="39"/>
      <c r="C146" s="32"/>
      <c r="D146" s="44"/>
      <c r="E146" s="30"/>
      <c r="F146" s="33"/>
      <c r="G146" s="31"/>
      <c r="H146" s="31"/>
      <c r="I146" s="106"/>
      <c r="J146" s="90"/>
      <c r="K146" s="34"/>
      <c r="L146" s="37"/>
      <c r="S146" s="86">
        <v>135</v>
      </c>
    </row>
    <row r="147" spans="2:19" ht="18.75" x14ac:dyDescent="0.2">
      <c r="B147" s="39"/>
      <c r="C147" s="32"/>
      <c r="D147" s="44"/>
      <c r="E147" s="30"/>
      <c r="F147" s="33"/>
      <c r="G147" s="31"/>
      <c r="H147" s="31"/>
      <c r="I147" s="106"/>
      <c r="J147" s="90"/>
      <c r="K147" s="34"/>
      <c r="L147" s="37"/>
      <c r="S147" s="86">
        <v>136</v>
      </c>
    </row>
    <row r="148" spans="2:19" ht="18.75" x14ac:dyDescent="0.2">
      <c r="B148" s="39"/>
      <c r="C148" s="32"/>
      <c r="D148" s="44"/>
      <c r="E148" s="30"/>
      <c r="F148" s="33"/>
      <c r="G148" s="31"/>
      <c r="H148" s="31"/>
      <c r="I148" s="106"/>
      <c r="J148" s="90"/>
      <c r="K148" s="34"/>
      <c r="L148" s="37"/>
      <c r="S148" s="86">
        <v>137</v>
      </c>
    </row>
    <row r="149" spans="2:19" ht="18.75" x14ac:dyDescent="0.2">
      <c r="B149" s="39"/>
      <c r="C149" s="32"/>
      <c r="D149" s="44"/>
      <c r="E149" s="30"/>
      <c r="F149" s="33"/>
      <c r="G149" s="31"/>
      <c r="H149" s="31"/>
      <c r="I149" s="106"/>
      <c r="J149" s="90"/>
      <c r="K149" s="34"/>
      <c r="L149" s="37"/>
      <c r="S149" s="86">
        <v>138</v>
      </c>
    </row>
    <row r="150" spans="2:19" ht="18.75" x14ac:dyDescent="0.2">
      <c r="B150" s="39"/>
      <c r="C150" s="32"/>
      <c r="D150" s="44"/>
      <c r="E150" s="30"/>
      <c r="F150" s="33"/>
      <c r="G150" s="31"/>
      <c r="H150" s="31"/>
      <c r="I150" s="106"/>
      <c r="J150" s="90"/>
      <c r="K150" s="34"/>
      <c r="L150" s="37"/>
      <c r="S150" s="86">
        <v>139</v>
      </c>
    </row>
    <row r="151" spans="2:19" ht="18.75" x14ac:dyDescent="0.2">
      <c r="B151" s="39"/>
      <c r="C151" s="32"/>
      <c r="D151" s="44"/>
      <c r="E151" s="30"/>
      <c r="F151" s="33"/>
      <c r="G151" s="31"/>
      <c r="H151" s="31"/>
      <c r="I151" s="106"/>
      <c r="J151" s="90"/>
      <c r="K151" s="34"/>
      <c r="L151" s="37"/>
      <c r="S151" s="86">
        <v>140</v>
      </c>
    </row>
    <row r="152" spans="2:19" ht="18.75" x14ac:dyDescent="0.2">
      <c r="B152" s="39"/>
      <c r="C152" s="32"/>
      <c r="D152" s="44"/>
      <c r="E152" s="30"/>
      <c r="F152" s="33"/>
      <c r="G152" s="31"/>
      <c r="H152" s="31"/>
      <c r="I152" s="106"/>
      <c r="J152" s="90"/>
      <c r="K152" s="34"/>
      <c r="L152" s="37"/>
      <c r="S152" s="86">
        <v>141</v>
      </c>
    </row>
    <row r="153" spans="2:19" ht="18.75" x14ac:dyDescent="0.2">
      <c r="B153" s="39"/>
      <c r="C153" s="32"/>
      <c r="D153" s="44"/>
      <c r="E153" s="30"/>
      <c r="F153" s="33"/>
      <c r="G153" s="31"/>
      <c r="H153" s="31"/>
      <c r="I153" s="106"/>
      <c r="J153" s="90"/>
      <c r="K153" s="34"/>
      <c r="L153" s="37"/>
      <c r="S153" s="86">
        <v>142</v>
      </c>
    </row>
    <row r="154" spans="2:19" ht="18.75" x14ac:dyDescent="0.2">
      <c r="B154" s="39"/>
      <c r="C154" s="32"/>
      <c r="D154" s="44"/>
      <c r="E154" s="30"/>
      <c r="F154" s="33"/>
      <c r="G154" s="31"/>
      <c r="H154" s="31"/>
      <c r="I154" s="106"/>
      <c r="J154" s="90"/>
      <c r="K154" s="34"/>
      <c r="L154" s="37"/>
      <c r="S154" s="86">
        <v>143</v>
      </c>
    </row>
    <row r="155" spans="2:19" ht="18.75" x14ac:dyDescent="0.2">
      <c r="B155" s="39"/>
      <c r="C155" s="32"/>
      <c r="D155" s="44"/>
      <c r="E155" s="30"/>
      <c r="F155" s="33"/>
      <c r="G155" s="31"/>
      <c r="H155" s="31"/>
      <c r="I155" s="106"/>
      <c r="J155" s="90"/>
      <c r="K155" s="34"/>
      <c r="L155" s="37"/>
      <c r="S155" s="86">
        <v>144</v>
      </c>
    </row>
    <row r="156" spans="2:19" ht="18.75" x14ac:dyDescent="0.2">
      <c r="B156" s="39"/>
      <c r="C156" s="32"/>
      <c r="D156" s="44"/>
      <c r="E156" s="30"/>
      <c r="F156" s="33"/>
      <c r="G156" s="31"/>
      <c r="H156" s="31"/>
      <c r="I156" s="106"/>
      <c r="J156" s="90"/>
      <c r="K156" s="34"/>
      <c r="L156" s="37"/>
      <c r="S156" s="86">
        <v>145</v>
      </c>
    </row>
    <row r="157" spans="2:19" ht="18.75" x14ac:dyDescent="0.2">
      <c r="B157" s="39"/>
      <c r="C157" s="32"/>
      <c r="D157" s="44"/>
      <c r="E157" s="30"/>
      <c r="F157" s="33"/>
      <c r="G157" s="31"/>
      <c r="H157" s="31"/>
      <c r="I157" s="106"/>
      <c r="J157" s="90"/>
      <c r="K157" s="34"/>
      <c r="L157" s="37"/>
      <c r="S157" s="86">
        <v>146</v>
      </c>
    </row>
    <row r="158" spans="2:19" ht="18.75" x14ac:dyDescent="0.2">
      <c r="B158" s="39"/>
      <c r="C158" s="32"/>
      <c r="D158" s="44"/>
      <c r="E158" s="30"/>
      <c r="F158" s="33"/>
      <c r="G158" s="31"/>
      <c r="H158" s="31"/>
      <c r="I158" s="106"/>
      <c r="J158" s="90"/>
      <c r="K158" s="34"/>
      <c r="L158" s="37"/>
      <c r="S158" s="86">
        <v>147</v>
      </c>
    </row>
    <row r="159" spans="2:19" ht="18.75" x14ac:dyDescent="0.2">
      <c r="B159" s="39"/>
      <c r="C159" s="32"/>
      <c r="D159" s="44"/>
      <c r="E159" s="30"/>
      <c r="F159" s="33"/>
      <c r="G159" s="31"/>
      <c r="H159" s="31"/>
      <c r="I159" s="106"/>
      <c r="J159" s="90"/>
      <c r="K159" s="34"/>
      <c r="L159" s="37"/>
      <c r="S159" s="86">
        <v>148</v>
      </c>
    </row>
    <row r="160" spans="2:19" ht="18.75" x14ac:dyDescent="0.2">
      <c r="B160" s="39"/>
      <c r="C160" s="32"/>
      <c r="D160" s="44"/>
      <c r="E160" s="30"/>
      <c r="F160" s="33"/>
      <c r="G160" s="31"/>
      <c r="H160" s="31"/>
      <c r="I160" s="106"/>
      <c r="J160" s="90"/>
      <c r="K160" s="34"/>
      <c r="L160" s="37"/>
      <c r="S160" s="86">
        <v>149</v>
      </c>
    </row>
    <row r="161" spans="2:19" ht="18.75" x14ac:dyDescent="0.2">
      <c r="B161" s="39"/>
      <c r="C161" s="32"/>
      <c r="D161" s="44"/>
      <c r="E161" s="30"/>
      <c r="F161" s="33"/>
      <c r="G161" s="31"/>
      <c r="H161" s="31"/>
      <c r="I161" s="106"/>
      <c r="J161" s="90"/>
      <c r="K161" s="34"/>
      <c r="L161" s="37"/>
      <c r="S161" s="86">
        <v>150</v>
      </c>
    </row>
    <row r="162" spans="2:19" ht="18.75" x14ac:dyDescent="0.2">
      <c r="B162" s="39"/>
      <c r="C162" s="32"/>
      <c r="D162" s="44"/>
      <c r="E162" s="30"/>
      <c r="F162" s="33"/>
      <c r="G162" s="31"/>
      <c r="H162" s="31"/>
      <c r="I162" s="106"/>
      <c r="J162" s="90"/>
      <c r="K162" s="34"/>
      <c r="L162" s="37"/>
      <c r="S162" s="86">
        <v>151</v>
      </c>
    </row>
    <row r="163" spans="2:19" ht="18.75" x14ac:dyDescent="0.2">
      <c r="B163" s="39"/>
      <c r="C163" s="32"/>
      <c r="D163" s="44"/>
      <c r="E163" s="30"/>
      <c r="F163" s="33"/>
      <c r="G163" s="31"/>
      <c r="H163" s="31"/>
      <c r="I163" s="106"/>
      <c r="J163" s="90"/>
      <c r="K163" s="34"/>
      <c r="L163" s="37"/>
      <c r="S163" s="86">
        <v>152</v>
      </c>
    </row>
    <row r="164" spans="2:19" ht="18.75" x14ac:dyDescent="0.2">
      <c r="B164" s="39"/>
      <c r="C164" s="32"/>
      <c r="D164" s="44"/>
      <c r="E164" s="30"/>
      <c r="F164" s="33"/>
      <c r="G164" s="31"/>
      <c r="H164" s="31"/>
      <c r="I164" s="106"/>
      <c r="J164" s="90"/>
      <c r="K164" s="34"/>
      <c r="L164" s="37"/>
      <c r="S164" s="86">
        <v>153</v>
      </c>
    </row>
    <row r="165" spans="2:19" ht="18.75" x14ac:dyDescent="0.2">
      <c r="B165" s="39"/>
      <c r="C165" s="32"/>
      <c r="D165" s="44"/>
      <c r="E165" s="30"/>
      <c r="F165" s="33"/>
      <c r="G165" s="31"/>
      <c r="H165" s="31"/>
      <c r="I165" s="106"/>
      <c r="J165" s="90"/>
      <c r="K165" s="34"/>
      <c r="L165" s="37"/>
      <c r="S165" s="86">
        <v>154</v>
      </c>
    </row>
    <row r="166" spans="2:19" ht="18.75" x14ac:dyDescent="0.2">
      <c r="B166" s="39"/>
      <c r="C166" s="32"/>
      <c r="D166" s="44"/>
      <c r="E166" s="30"/>
      <c r="F166" s="33"/>
      <c r="G166" s="31"/>
      <c r="H166" s="31"/>
      <c r="I166" s="106"/>
      <c r="J166" s="90"/>
      <c r="K166" s="34"/>
      <c r="L166" s="37"/>
      <c r="S166" s="86">
        <v>155</v>
      </c>
    </row>
    <row r="167" spans="2:19" ht="18.75" x14ac:dyDescent="0.2">
      <c r="B167" s="39"/>
      <c r="C167" s="32"/>
      <c r="D167" s="44"/>
      <c r="E167" s="30"/>
      <c r="F167" s="33"/>
      <c r="G167" s="31"/>
      <c r="H167" s="31"/>
      <c r="I167" s="106"/>
      <c r="J167" s="90"/>
      <c r="K167" s="34"/>
      <c r="L167" s="37"/>
      <c r="S167" s="86">
        <v>156</v>
      </c>
    </row>
    <row r="168" spans="2:19" ht="18.75" x14ac:dyDescent="0.2">
      <c r="B168" s="39"/>
      <c r="C168" s="32"/>
      <c r="D168" s="44"/>
      <c r="E168" s="30"/>
      <c r="F168" s="33"/>
      <c r="G168" s="31"/>
      <c r="H168" s="31"/>
      <c r="I168" s="106"/>
      <c r="J168" s="90"/>
      <c r="K168" s="34"/>
      <c r="L168" s="37"/>
      <c r="S168" s="86">
        <v>157</v>
      </c>
    </row>
    <row r="169" spans="2:19" ht="18.75" x14ac:dyDescent="0.2">
      <c r="B169" s="39"/>
      <c r="C169" s="32"/>
      <c r="D169" s="44"/>
      <c r="E169" s="30"/>
      <c r="F169" s="33"/>
      <c r="G169" s="31"/>
      <c r="H169" s="31"/>
      <c r="I169" s="106"/>
      <c r="J169" s="90"/>
      <c r="K169" s="34"/>
      <c r="L169" s="37"/>
      <c r="S169" s="86">
        <v>158</v>
      </c>
    </row>
    <row r="170" spans="2:19" ht="18.75" x14ac:dyDescent="0.2">
      <c r="B170" s="39"/>
      <c r="C170" s="32"/>
      <c r="D170" s="44"/>
      <c r="E170" s="30"/>
      <c r="F170" s="33"/>
      <c r="G170" s="31"/>
      <c r="H170" s="31"/>
      <c r="I170" s="106"/>
      <c r="J170" s="90"/>
      <c r="K170" s="34"/>
      <c r="L170" s="37"/>
      <c r="S170" s="86">
        <v>159</v>
      </c>
    </row>
    <row r="171" spans="2:19" ht="18.75" x14ac:dyDescent="0.2">
      <c r="B171" s="39"/>
      <c r="C171" s="32"/>
      <c r="D171" s="44"/>
      <c r="E171" s="30"/>
      <c r="F171" s="33"/>
      <c r="G171" s="31"/>
      <c r="H171" s="31"/>
      <c r="I171" s="106"/>
      <c r="J171" s="90"/>
      <c r="K171" s="34"/>
      <c r="L171" s="37"/>
      <c r="S171" s="86">
        <v>160</v>
      </c>
    </row>
    <row r="172" spans="2:19" ht="18.75" x14ac:dyDescent="0.2">
      <c r="B172" s="39"/>
      <c r="C172" s="32"/>
      <c r="D172" s="44"/>
      <c r="E172" s="30"/>
      <c r="F172" s="33"/>
      <c r="G172" s="31"/>
      <c r="H172" s="31"/>
      <c r="I172" s="106"/>
      <c r="J172" s="90"/>
      <c r="K172" s="34"/>
      <c r="L172" s="37"/>
      <c r="S172" s="86">
        <v>161</v>
      </c>
    </row>
    <row r="173" spans="2:19" ht="18.75" x14ac:dyDescent="0.2">
      <c r="B173" s="39"/>
      <c r="C173" s="32"/>
      <c r="D173" s="44"/>
      <c r="E173" s="30"/>
      <c r="F173" s="33"/>
      <c r="G173" s="31"/>
      <c r="H173" s="31"/>
      <c r="I173" s="106"/>
      <c r="J173" s="90"/>
      <c r="K173" s="34"/>
      <c r="L173" s="37"/>
      <c r="S173" s="86">
        <v>162</v>
      </c>
    </row>
    <row r="174" spans="2:19" ht="18.75" x14ac:dyDescent="0.2">
      <c r="B174" s="39"/>
      <c r="C174" s="32"/>
      <c r="D174" s="44"/>
      <c r="E174" s="30"/>
      <c r="F174" s="33"/>
      <c r="G174" s="31"/>
      <c r="H174" s="31"/>
      <c r="I174" s="106"/>
      <c r="J174" s="90"/>
      <c r="K174" s="34"/>
      <c r="L174" s="37"/>
      <c r="S174" s="86">
        <v>163</v>
      </c>
    </row>
    <row r="175" spans="2:19" ht="18.75" x14ac:dyDescent="0.2">
      <c r="B175" s="39"/>
      <c r="C175" s="32"/>
      <c r="D175" s="44"/>
      <c r="E175" s="30"/>
      <c r="F175" s="33"/>
      <c r="G175" s="31"/>
      <c r="H175" s="31"/>
      <c r="I175" s="106"/>
      <c r="J175" s="90"/>
      <c r="K175" s="34"/>
      <c r="L175" s="37"/>
      <c r="S175" s="86">
        <v>164</v>
      </c>
    </row>
    <row r="176" spans="2:19" ht="18.75" x14ac:dyDescent="0.2">
      <c r="B176" s="39"/>
      <c r="C176" s="32"/>
      <c r="D176" s="44"/>
      <c r="E176" s="30"/>
      <c r="F176" s="33"/>
      <c r="G176" s="31"/>
      <c r="H176" s="31"/>
      <c r="I176" s="106"/>
      <c r="J176" s="90"/>
      <c r="K176" s="34"/>
      <c r="L176" s="37"/>
      <c r="S176" s="86">
        <v>165</v>
      </c>
    </row>
    <row r="177" spans="2:19" ht="18.75" x14ac:dyDescent="0.2">
      <c r="B177" s="39"/>
      <c r="C177" s="32"/>
      <c r="D177" s="44"/>
      <c r="E177" s="30"/>
      <c r="F177" s="33"/>
      <c r="G177" s="31"/>
      <c r="H177" s="31"/>
      <c r="I177" s="106"/>
      <c r="J177" s="90"/>
      <c r="K177" s="34"/>
      <c r="L177" s="37"/>
      <c r="S177" s="86">
        <v>166</v>
      </c>
    </row>
    <row r="178" spans="2:19" ht="18.75" x14ac:dyDescent="0.2">
      <c r="B178" s="39"/>
      <c r="C178" s="32"/>
      <c r="D178" s="44"/>
      <c r="E178" s="30"/>
      <c r="F178" s="33"/>
      <c r="G178" s="31"/>
      <c r="H178" s="31"/>
      <c r="I178" s="106"/>
      <c r="J178" s="90"/>
      <c r="K178" s="34"/>
      <c r="L178" s="37"/>
      <c r="S178" s="86">
        <v>167</v>
      </c>
    </row>
    <row r="179" spans="2:19" ht="18.75" x14ac:dyDescent="0.2">
      <c r="B179" s="39"/>
      <c r="C179" s="32"/>
      <c r="D179" s="44"/>
      <c r="E179" s="30"/>
      <c r="F179" s="33"/>
      <c r="G179" s="31"/>
      <c r="H179" s="31"/>
      <c r="I179" s="106"/>
      <c r="J179" s="90"/>
      <c r="K179" s="34"/>
      <c r="L179" s="37"/>
      <c r="S179" s="86">
        <v>168</v>
      </c>
    </row>
    <row r="180" spans="2:19" ht="18.75" x14ac:dyDescent="0.2">
      <c r="B180" s="39"/>
      <c r="C180" s="32"/>
      <c r="D180" s="44"/>
      <c r="E180" s="30"/>
      <c r="F180" s="33"/>
      <c r="G180" s="31"/>
      <c r="H180" s="31"/>
      <c r="I180" s="106"/>
      <c r="J180" s="90"/>
      <c r="K180" s="34"/>
      <c r="L180" s="37"/>
      <c r="S180" s="86">
        <v>169</v>
      </c>
    </row>
    <row r="181" spans="2:19" ht="18.75" x14ac:dyDescent="0.2">
      <c r="B181" s="39"/>
      <c r="C181" s="32"/>
      <c r="D181" s="44"/>
      <c r="E181" s="30"/>
      <c r="F181" s="33"/>
      <c r="G181" s="31"/>
      <c r="H181" s="31"/>
      <c r="I181" s="106"/>
      <c r="J181" s="90"/>
      <c r="K181" s="34"/>
      <c r="L181" s="37"/>
      <c r="S181" s="86">
        <v>170</v>
      </c>
    </row>
    <row r="182" spans="2:19" ht="18.75" x14ac:dyDescent="0.2">
      <c r="B182" s="39"/>
      <c r="C182" s="32"/>
      <c r="D182" s="44"/>
      <c r="E182" s="30"/>
      <c r="F182" s="33"/>
      <c r="G182" s="31"/>
      <c r="H182" s="31"/>
      <c r="I182" s="106"/>
      <c r="J182" s="90"/>
      <c r="K182" s="34"/>
      <c r="L182" s="37"/>
      <c r="S182" s="86">
        <v>171</v>
      </c>
    </row>
    <row r="183" spans="2:19" ht="18.75" x14ac:dyDescent="0.2">
      <c r="B183" s="39"/>
      <c r="C183" s="32"/>
      <c r="D183" s="44"/>
      <c r="E183" s="30"/>
      <c r="F183" s="33"/>
      <c r="G183" s="31"/>
      <c r="H183" s="31"/>
      <c r="I183" s="106"/>
      <c r="J183" s="90"/>
      <c r="K183" s="34"/>
      <c r="L183" s="37"/>
      <c r="S183" s="86">
        <v>172</v>
      </c>
    </row>
    <row r="184" spans="2:19" ht="18.75" x14ac:dyDescent="0.2">
      <c r="B184" s="39"/>
      <c r="C184" s="32"/>
      <c r="D184" s="44"/>
      <c r="E184" s="30"/>
      <c r="F184" s="33"/>
      <c r="G184" s="31"/>
      <c r="H184" s="31"/>
      <c r="I184" s="106"/>
      <c r="J184" s="90"/>
      <c r="K184" s="34"/>
      <c r="L184" s="37"/>
      <c r="S184" s="86">
        <v>173</v>
      </c>
    </row>
    <row r="185" spans="2:19" ht="18.75" x14ac:dyDescent="0.2">
      <c r="B185" s="39"/>
      <c r="C185" s="32"/>
      <c r="D185" s="44"/>
      <c r="E185" s="30"/>
      <c r="F185" s="33"/>
      <c r="G185" s="31"/>
      <c r="H185" s="31"/>
      <c r="I185" s="106"/>
      <c r="J185" s="90"/>
      <c r="K185" s="34"/>
      <c r="L185" s="37"/>
      <c r="S185" s="86">
        <v>174</v>
      </c>
    </row>
    <row r="186" spans="2:19" ht="18.75" x14ac:dyDescent="0.2">
      <c r="B186" s="39"/>
      <c r="C186" s="32"/>
      <c r="D186" s="44"/>
      <c r="E186" s="30"/>
      <c r="F186" s="33"/>
      <c r="G186" s="31"/>
      <c r="H186" s="31"/>
      <c r="I186" s="106"/>
      <c r="J186" s="90"/>
      <c r="K186" s="34"/>
      <c r="L186" s="37"/>
      <c r="S186" s="86">
        <v>175</v>
      </c>
    </row>
    <row r="187" spans="2:19" ht="18.75" x14ac:dyDescent="0.2">
      <c r="B187" s="39"/>
      <c r="C187" s="32"/>
      <c r="D187" s="44"/>
      <c r="E187" s="30"/>
      <c r="F187" s="33"/>
      <c r="G187" s="31"/>
      <c r="H187" s="31"/>
      <c r="I187" s="106"/>
      <c r="J187" s="90"/>
      <c r="K187" s="34"/>
      <c r="L187" s="37"/>
      <c r="S187" s="86">
        <v>176</v>
      </c>
    </row>
    <row r="188" spans="2:19" ht="18.75" x14ac:dyDescent="0.2">
      <c r="B188" s="39"/>
      <c r="C188" s="32"/>
      <c r="D188" s="44"/>
      <c r="E188" s="30"/>
      <c r="F188" s="33"/>
      <c r="G188" s="31"/>
      <c r="H188" s="31"/>
      <c r="I188" s="106"/>
      <c r="J188" s="90"/>
      <c r="K188" s="34"/>
      <c r="L188" s="37"/>
      <c r="S188" s="86">
        <v>177</v>
      </c>
    </row>
    <row r="189" spans="2:19" ht="18.75" x14ac:dyDescent="0.2">
      <c r="B189" s="39"/>
      <c r="C189" s="32"/>
      <c r="D189" s="44"/>
      <c r="E189" s="30"/>
      <c r="F189" s="33"/>
      <c r="G189" s="31"/>
      <c r="H189" s="31"/>
      <c r="I189" s="106"/>
      <c r="J189" s="90"/>
      <c r="K189" s="34"/>
      <c r="L189" s="37"/>
      <c r="S189" s="86">
        <v>178</v>
      </c>
    </row>
    <row r="190" spans="2:19" ht="18.75" x14ac:dyDescent="0.2">
      <c r="B190" s="39"/>
      <c r="C190" s="32"/>
      <c r="D190" s="44"/>
      <c r="E190" s="30"/>
      <c r="F190" s="33"/>
      <c r="G190" s="31"/>
      <c r="H190" s="31"/>
      <c r="I190" s="106"/>
      <c r="J190" s="90"/>
      <c r="K190" s="34"/>
      <c r="L190" s="37"/>
      <c r="S190" s="86">
        <v>179</v>
      </c>
    </row>
    <row r="191" spans="2:19" ht="18.75" x14ac:dyDescent="0.2">
      <c r="B191" s="39"/>
      <c r="C191" s="32"/>
      <c r="D191" s="44"/>
      <c r="E191" s="30"/>
      <c r="F191" s="33"/>
      <c r="G191" s="31"/>
      <c r="H191" s="31"/>
      <c r="I191" s="106"/>
      <c r="J191" s="90"/>
      <c r="K191" s="34"/>
      <c r="L191" s="37"/>
      <c r="S191" s="86">
        <v>180</v>
      </c>
    </row>
    <row r="192" spans="2:19" ht="18.75" x14ac:dyDescent="0.2">
      <c r="B192" s="39"/>
      <c r="C192" s="32"/>
      <c r="D192" s="44"/>
      <c r="E192" s="30"/>
      <c r="F192" s="33"/>
      <c r="G192" s="31"/>
      <c r="H192" s="31"/>
      <c r="I192" s="106"/>
      <c r="J192" s="90"/>
      <c r="K192" s="34"/>
      <c r="L192" s="37"/>
      <c r="S192" s="86">
        <v>181</v>
      </c>
    </row>
    <row r="193" spans="2:19" ht="18.75" x14ac:dyDescent="0.2">
      <c r="B193" s="39"/>
      <c r="C193" s="32"/>
      <c r="D193" s="44"/>
      <c r="E193" s="30"/>
      <c r="F193" s="33"/>
      <c r="G193" s="31"/>
      <c r="H193" s="31"/>
      <c r="I193" s="106"/>
      <c r="J193" s="90"/>
      <c r="K193" s="34"/>
      <c r="L193" s="37"/>
      <c r="S193" s="86">
        <v>182</v>
      </c>
    </row>
    <row r="194" spans="2:19" ht="18.75" x14ac:dyDescent="0.2">
      <c r="B194" s="39"/>
      <c r="C194" s="32"/>
      <c r="D194" s="44"/>
      <c r="E194" s="30"/>
      <c r="F194" s="33"/>
      <c r="G194" s="31"/>
      <c r="H194" s="31"/>
      <c r="I194" s="106"/>
      <c r="J194" s="90"/>
      <c r="K194" s="34"/>
      <c r="L194" s="37"/>
      <c r="S194" s="86">
        <v>183</v>
      </c>
    </row>
    <row r="195" spans="2:19" ht="18.75" x14ac:dyDescent="0.2">
      <c r="B195" s="39"/>
      <c r="C195" s="32"/>
      <c r="D195" s="44"/>
      <c r="E195" s="30"/>
      <c r="F195" s="33"/>
      <c r="G195" s="31"/>
      <c r="H195" s="31"/>
      <c r="I195" s="106"/>
      <c r="J195" s="90"/>
      <c r="K195" s="34"/>
      <c r="L195" s="37"/>
      <c r="S195" s="86">
        <v>184</v>
      </c>
    </row>
    <row r="196" spans="2:19" ht="18.75" x14ac:dyDescent="0.2">
      <c r="B196" s="39"/>
      <c r="C196" s="32"/>
      <c r="D196" s="44"/>
      <c r="E196" s="30"/>
      <c r="F196" s="33"/>
      <c r="G196" s="31"/>
      <c r="H196" s="31"/>
      <c r="I196" s="106"/>
      <c r="J196" s="90"/>
      <c r="K196" s="34"/>
      <c r="L196" s="37"/>
      <c r="S196" s="86">
        <v>185</v>
      </c>
    </row>
    <row r="197" spans="2:19" ht="18.75" x14ac:dyDescent="0.2">
      <c r="B197" s="39"/>
      <c r="C197" s="32"/>
      <c r="D197" s="44"/>
      <c r="E197" s="30"/>
      <c r="F197" s="33"/>
      <c r="G197" s="31"/>
      <c r="H197" s="31"/>
      <c r="I197" s="106"/>
      <c r="J197" s="90"/>
      <c r="K197" s="34"/>
      <c r="L197" s="37"/>
      <c r="S197" s="86">
        <v>186</v>
      </c>
    </row>
    <row r="198" spans="2:19" ht="18.75" x14ac:dyDescent="0.2">
      <c r="B198" s="39"/>
      <c r="C198" s="32"/>
      <c r="D198" s="44"/>
      <c r="E198" s="30"/>
      <c r="F198" s="33"/>
      <c r="G198" s="31"/>
      <c r="H198" s="31"/>
      <c r="I198" s="106"/>
      <c r="J198" s="90"/>
      <c r="K198" s="34"/>
      <c r="L198" s="37"/>
      <c r="S198" s="86">
        <v>187</v>
      </c>
    </row>
    <row r="199" spans="2:19" ht="18.75" x14ac:dyDescent="0.2">
      <c r="B199" s="39"/>
      <c r="C199" s="32"/>
      <c r="D199" s="44"/>
      <c r="E199" s="30"/>
      <c r="F199" s="33"/>
      <c r="G199" s="31"/>
      <c r="H199" s="31"/>
      <c r="I199" s="106"/>
      <c r="J199" s="90"/>
      <c r="K199" s="34"/>
      <c r="L199" s="37"/>
      <c r="S199" s="86">
        <v>188</v>
      </c>
    </row>
    <row r="200" spans="2:19" ht="18.75" x14ac:dyDescent="0.2">
      <c r="B200" s="39"/>
      <c r="C200" s="32"/>
      <c r="D200" s="44"/>
      <c r="E200" s="30"/>
      <c r="F200" s="33"/>
      <c r="G200" s="31"/>
      <c r="H200" s="31"/>
      <c r="I200" s="106"/>
      <c r="J200" s="90"/>
      <c r="K200" s="34"/>
      <c r="L200" s="37"/>
      <c r="S200" s="86">
        <v>189</v>
      </c>
    </row>
    <row r="201" spans="2:19" ht="18.75" x14ac:dyDescent="0.2">
      <c r="B201" s="39"/>
      <c r="C201" s="32"/>
      <c r="D201" s="44"/>
      <c r="E201" s="30"/>
      <c r="F201" s="33"/>
      <c r="G201" s="31"/>
      <c r="H201" s="31"/>
      <c r="I201" s="106"/>
      <c r="J201" s="90"/>
      <c r="K201" s="34"/>
      <c r="L201" s="37"/>
      <c r="S201" s="86">
        <v>190</v>
      </c>
    </row>
    <row r="202" spans="2:19" ht="18.75" x14ac:dyDescent="0.2">
      <c r="B202" s="39"/>
      <c r="C202" s="32"/>
      <c r="D202" s="44"/>
      <c r="E202" s="30"/>
      <c r="F202" s="33"/>
      <c r="G202" s="31"/>
      <c r="H202" s="31"/>
      <c r="I202" s="106"/>
      <c r="J202" s="90"/>
      <c r="K202" s="34"/>
      <c r="L202" s="37"/>
      <c r="S202" s="86">
        <v>191</v>
      </c>
    </row>
    <row r="203" spans="2:19" ht="18.75" x14ac:dyDescent="0.2">
      <c r="B203" s="39"/>
      <c r="C203" s="32"/>
      <c r="D203" s="44"/>
      <c r="E203" s="30"/>
      <c r="F203" s="33"/>
      <c r="G203" s="31"/>
      <c r="H203" s="31"/>
      <c r="I203" s="106"/>
      <c r="J203" s="90"/>
      <c r="K203" s="34"/>
      <c r="L203" s="37"/>
      <c r="S203" s="86">
        <v>192</v>
      </c>
    </row>
    <row r="204" spans="2:19" ht="18.75" x14ac:dyDescent="0.2">
      <c r="B204" s="39"/>
      <c r="C204" s="32"/>
      <c r="D204" s="44"/>
      <c r="E204" s="30"/>
      <c r="F204" s="33"/>
      <c r="G204" s="31"/>
      <c r="H204" s="31"/>
      <c r="I204" s="106"/>
      <c r="J204" s="90"/>
      <c r="K204" s="34"/>
      <c r="L204" s="37"/>
      <c r="S204" s="86">
        <v>193</v>
      </c>
    </row>
    <row r="205" spans="2:19" ht="18.75" x14ac:dyDescent="0.2"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S205" s="86">
        <v>194</v>
      </c>
    </row>
    <row r="206" spans="2:19" ht="18.75" x14ac:dyDescent="0.2">
      <c r="S206" s="86"/>
    </row>
    <row r="207" spans="2:19" ht="18.75" x14ac:dyDescent="0.2">
      <c r="S207" s="86"/>
    </row>
    <row r="208" spans="2:19" ht="18.75" x14ac:dyDescent="0.2">
      <c r="S208" s="86"/>
    </row>
    <row r="209" spans="19:19" ht="18.75" x14ac:dyDescent="0.2">
      <c r="S209" s="86"/>
    </row>
    <row r="210" spans="19:19" ht="18.75" x14ac:dyDescent="0.2">
      <c r="S210" s="86"/>
    </row>
    <row r="211" spans="19:19" ht="18.75" x14ac:dyDescent="0.2">
      <c r="S211" s="86"/>
    </row>
  </sheetData>
  <sortState xmlns:xlrd2="http://schemas.microsoft.com/office/spreadsheetml/2017/richdata2" ref="D44:J67">
    <sortCondition ref="D12"/>
    <sortCondition ref="E12"/>
  </sortState>
  <mergeCells count="5">
    <mergeCell ref="U1:U2"/>
    <mergeCell ref="C9:E9"/>
    <mergeCell ref="B1:C1"/>
    <mergeCell ref="B2:C2"/>
    <mergeCell ref="G2:N2"/>
  </mergeCells>
  <phoneticPr fontId="2"/>
  <dataValidations count="10">
    <dataValidation type="whole" operator="equal" allowBlank="1" showInputMessage="1" showErrorMessage="1" sqref="T1:T2 F1 B1:B2" xr:uid="{00000000-0002-0000-0200-000000000000}">
      <formula1>99999</formula1>
    </dataValidation>
    <dataValidation type="whole" operator="equal" allowBlank="1" showInputMessage="1" showErrorMessage="1" sqref="D1" xr:uid="{00000000-0002-0000-0200-000001000000}">
      <formula1>747</formula1>
    </dataValidation>
    <dataValidation type="whole" operator="equal" allowBlank="1" showInputMessage="1" showErrorMessage="1" sqref="D2" xr:uid="{00000000-0002-0000-0200-000002000000}">
      <formula1>226</formula1>
    </dataValidation>
    <dataValidation type="list" allowBlank="1" showInputMessage="1" showErrorMessage="1" sqref="M12" xr:uid="{00000000-0002-0000-0200-000003000000}">
      <formula1>$V$12:$V$42</formula1>
    </dataValidation>
    <dataValidation imeMode="off" allowBlank="1" showInputMessage="1" showErrorMessage="1" sqref="C9:E9 G9:H9" xr:uid="{00000000-0002-0000-0200-000004000000}"/>
    <dataValidation type="list" allowBlank="1" showInputMessage="1" showErrorMessage="1" sqref="H12:H204" xr:uid="{00000000-0002-0000-0200-000005000000}">
      <formula1>$N$13:$N$26</formula1>
    </dataValidation>
    <dataValidation operator="equal" allowBlank="1" showInputMessage="1" showErrorMessage="1" sqref="E1" xr:uid="{00000000-0002-0000-0200-000006000000}"/>
    <dataValidation type="list" allowBlank="1" showInputMessage="1" showErrorMessage="1" sqref="E2" xr:uid="{00000000-0002-0000-0200-000007000000}">
      <formula1>$V$1:$V$2</formula1>
    </dataValidation>
    <dataValidation type="list" allowBlank="1" showInputMessage="1" showErrorMessage="1" sqref="B12:B43 B68:B204" xr:uid="{00000000-0002-0000-0200-000008000000}">
      <formula1>$B$11</formula1>
    </dataValidation>
    <dataValidation allowBlank="1" showInputMessage="1" showErrorMessage="1" sqref="B44:B67" xr:uid="{00000000-0002-0000-0200-000009000000}"/>
  </dataValidations>
  <hyperlinks>
    <hyperlink ref="G1" r:id="rId1" xr:uid="{00000000-0004-0000-0200-000000000000}"/>
  </hyperlinks>
  <pageMargins left="0.62992125984251968" right="0.31496062992125984" top="0.9055118110236221" bottom="0.86614173228346458" header="0.51181102362204722" footer="0.51181102362204722"/>
  <pageSetup paperSize="9" orientation="portrait" horizontalDpi="4294967293" r:id="rId2"/>
  <headerFooter alignWithMargins="0">
    <oddFooter>&amp;C&amp;P/&amp;N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オリエンタル酵母">
                <anchor moveWithCells="1" sizeWithCells="1">
                  <from>
                    <xdr:col>8</xdr:col>
                    <xdr:colOff>200025</xdr:colOff>
                    <xdr:row>3</xdr:row>
                    <xdr:rowOff>142875</xdr:rowOff>
                  </from>
                  <to>
                    <xdr:col>9</xdr:col>
                    <xdr:colOff>295275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IT抽出">
                <anchor moveWithCells="1" sizeWithCells="1">
                  <from>
                    <xdr:col>9</xdr:col>
                    <xdr:colOff>419100</xdr:colOff>
                    <xdr:row>3</xdr:row>
                    <xdr:rowOff>142875</xdr:rowOff>
                  </from>
                  <to>
                    <xdr:col>9</xdr:col>
                    <xdr:colOff>1028700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オリエンタル報告書記録">
                <anchor moveWithCells="1" sizeWithCells="1">
                  <from>
                    <xdr:col>9</xdr:col>
                    <xdr:colOff>1162050</xdr:colOff>
                    <xdr:row>3</xdr:row>
                    <xdr:rowOff>142875</xdr:rowOff>
                  </from>
                  <to>
                    <xdr:col>9</xdr:col>
                    <xdr:colOff>1771650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AA211"/>
  <sheetViews>
    <sheetView showGridLines="0" workbookViewId="0">
      <selection activeCell="D12" sqref="D12"/>
    </sheetView>
  </sheetViews>
  <sheetFormatPr defaultRowHeight="13.5" x14ac:dyDescent="0.15"/>
  <cols>
    <col min="1" max="1" width="0.875" style="1" customWidth="1"/>
    <col min="2" max="2" width="4.875" style="2" customWidth="1"/>
    <col min="3" max="3" width="3.625" style="14" customWidth="1"/>
    <col min="4" max="4" width="10.375" style="14" customWidth="1"/>
    <col min="5" max="5" width="8.625" style="14" customWidth="1"/>
    <col min="6" max="6" width="22.875" style="14" customWidth="1"/>
    <col min="7" max="7" width="7.25" style="14" customWidth="1"/>
    <col min="8" max="8" width="7.875" style="14" customWidth="1"/>
    <col min="9" max="9" width="6.875" style="14" customWidth="1"/>
    <col min="10" max="10" width="25.125" style="14" customWidth="1"/>
    <col min="11" max="11" width="9.875" style="14" hidden="1" customWidth="1"/>
    <col min="12" max="12" width="2.5" style="14" customWidth="1"/>
    <col min="13" max="13" width="1.875" style="14" hidden="1" customWidth="1"/>
    <col min="14" max="14" width="10.125" style="14" customWidth="1"/>
    <col min="15" max="15" width="8" style="1" customWidth="1"/>
    <col min="16" max="16" width="2.125" style="1" customWidth="1"/>
    <col min="17" max="18" width="9" style="1"/>
    <col min="19" max="22" width="0" style="1" hidden="1" customWidth="1"/>
    <col min="23" max="23" width="9.375" style="1" hidden="1" customWidth="1"/>
    <col min="24" max="16384" width="9" style="1"/>
  </cols>
  <sheetData>
    <row r="1" spans="2:27" ht="17.25" customHeight="1" x14ac:dyDescent="0.15">
      <c r="B1" s="150"/>
      <c r="C1" s="150"/>
      <c r="D1" s="98"/>
      <c r="E1" s="99"/>
      <c r="F1" s="100"/>
      <c r="G1" s="151"/>
      <c r="H1" s="151"/>
      <c r="I1" s="151"/>
      <c r="J1" s="151"/>
      <c r="K1" s="151"/>
      <c r="L1" s="151"/>
      <c r="M1" s="151"/>
      <c r="N1" s="151"/>
      <c r="O1" s="41"/>
      <c r="P1" s="41"/>
      <c r="Q1" s="72"/>
      <c r="R1" s="72"/>
      <c r="S1" s="53"/>
      <c r="T1" s="54"/>
      <c r="U1" s="144"/>
      <c r="V1" s="55"/>
      <c r="W1" s="74"/>
      <c r="X1" s="72"/>
    </row>
    <row r="2" spans="2:27" ht="18" customHeight="1" x14ac:dyDescent="0.15">
      <c r="B2" s="150"/>
      <c r="C2" s="150"/>
      <c r="D2" s="98"/>
      <c r="E2" s="97"/>
      <c r="F2" s="100"/>
      <c r="G2" s="151"/>
      <c r="H2" s="151"/>
      <c r="I2" s="151"/>
      <c r="J2" s="151"/>
      <c r="K2" s="151"/>
      <c r="L2" s="151"/>
      <c r="M2" s="151"/>
      <c r="N2" s="151"/>
      <c r="S2" s="53"/>
      <c r="T2" s="52"/>
      <c r="U2" s="145"/>
      <c r="V2" s="55"/>
    </row>
    <row r="3" spans="2:27" ht="5.25" customHeight="1" x14ac:dyDescent="0.15">
      <c r="L3" s="40"/>
      <c r="M3" s="40"/>
    </row>
    <row r="4" spans="2:27" ht="18.75" x14ac:dyDescent="0.15">
      <c r="B4" s="103"/>
      <c r="G4" s="15"/>
      <c r="H4" s="15"/>
      <c r="L4" s="40"/>
      <c r="M4" s="40"/>
    </row>
    <row r="5" spans="2:27" ht="18.75" x14ac:dyDescent="0.15">
      <c r="B5" s="103"/>
      <c r="F5" s="15"/>
      <c r="G5" s="15"/>
      <c r="H5" s="15"/>
      <c r="L5" s="40"/>
      <c r="M5" s="40"/>
      <c r="N5" s="23"/>
    </row>
    <row r="6" spans="2:27" ht="18.75" x14ac:dyDescent="0.15">
      <c r="B6" s="103"/>
      <c r="C6" s="16" t="s">
        <v>32</v>
      </c>
      <c r="F6" s="15"/>
      <c r="G6" s="15"/>
      <c r="H6" s="15"/>
    </row>
    <row r="7" spans="2:27" ht="18.75" x14ac:dyDescent="0.15">
      <c r="B7" s="103"/>
      <c r="C7" s="15"/>
      <c r="F7" s="15"/>
      <c r="G7" s="15"/>
      <c r="H7" s="15"/>
      <c r="J7" s="24" t="s">
        <v>56</v>
      </c>
      <c r="L7" s="24"/>
    </row>
    <row r="8" spans="2:27" ht="12" customHeight="1" x14ac:dyDescent="0.15">
      <c r="B8" s="103"/>
      <c r="F8" s="15"/>
      <c r="G8" s="15"/>
      <c r="H8" s="15"/>
      <c r="J8" s="24" t="s">
        <v>33</v>
      </c>
    </row>
    <row r="9" spans="2:27" ht="18.75" customHeight="1" x14ac:dyDescent="0.15">
      <c r="B9" s="101"/>
      <c r="C9" s="149"/>
      <c r="D9" s="149"/>
      <c r="E9" s="149"/>
      <c r="F9" s="45" t="s">
        <v>81</v>
      </c>
      <c r="G9" s="25"/>
      <c r="H9" s="25"/>
      <c r="J9" s="24" t="s">
        <v>58</v>
      </c>
      <c r="U9" s="2"/>
    </row>
    <row r="10" spans="2:27" x14ac:dyDescent="0.15">
      <c r="B10" s="103"/>
      <c r="C10" s="14" t="s">
        <v>82</v>
      </c>
      <c r="P10" s="26"/>
      <c r="T10" s="2"/>
      <c r="U10" s="13"/>
    </row>
    <row r="11" spans="2:27" ht="18" customHeight="1" x14ac:dyDescent="0.15">
      <c r="B11" s="104"/>
      <c r="C11" s="30" t="s">
        <v>83</v>
      </c>
      <c r="D11" s="30" t="s">
        <v>10</v>
      </c>
      <c r="E11" s="31" t="s">
        <v>8</v>
      </c>
      <c r="F11" s="31" t="s">
        <v>4</v>
      </c>
      <c r="G11" s="31" t="s">
        <v>34</v>
      </c>
      <c r="H11" s="31" t="s">
        <v>35</v>
      </c>
      <c r="I11" s="31" t="s">
        <v>36</v>
      </c>
      <c r="J11" s="31" t="s">
        <v>54</v>
      </c>
      <c r="K11" s="31" t="s">
        <v>18</v>
      </c>
      <c r="L11" s="35"/>
      <c r="M11" s="16"/>
      <c r="N11" s="101"/>
      <c r="X11" s="10"/>
    </row>
    <row r="12" spans="2:27" ht="18.75" x14ac:dyDescent="0.2">
      <c r="B12" s="103"/>
      <c r="C12" s="32"/>
      <c r="D12" s="44"/>
      <c r="E12" s="30"/>
      <c r="F12" s="33"/>
      <c r="G12" s="31"/>
      <c r="H12" s="31"/>
      <c r="I12" s="32"/>
      <c r="J12" s="90"/>
      <c r="K12" s="34">
        <v>226</v>
      </c>
      <c r="L12" s="36"/>
      <c r="M12" s="16"/>
      <c r="N12" s="73" t="s">
        <v>37</v>
      </c>
      <c r="S12" s="86">
        <v>1</v>
      </c>
      <c r="X12" s="3"/>
      <c r="Y12" s="2"/>
      <c r="Z12" s="27"/>
      <c r="AA12" s="2"/>
    </row>
    <row r="13" spans="2:27" ht="18.75" x14ac:dyDescent="0.2">
      <c r="B13" s="105"/>
      <c r="C13" s="32"/>
      <c r="D13" s="44"/>
      <c r="E13" s="30"/>
      <c r="F13" s="33"/>
      <c r="G13" s="31"/>
      <c r="H13" s="31"/>
      <c r="I13" s="32"/>
      <c r="J13" s="34"/>
      <c r="K13" s="34">
        <v>226</v>
      </c>
      <c r="L13" s="37"/>
      <c r="M13" s="16"/>
      <c r="N13" s="46" t="s">
        <v>85</v>
      </c>
      <c r="S13" s="86">
        <v>2</v>
      </c>
      <c r="X13" s="10"/>
      <c r="Y13" s="2"/>
      <c r="Z13" s="27"/>
      <c r="AA13" s="2"/>
    </row>
    <row r="14" spans="2:27" ht="18.75" x14ac:dyDescent="0.2">
      <c r="B14" s="105"/>
      <c r="C14" s="32"/>
      <c r="D14" s="44"/>
      <c r="E14" s="30"/>
      <c r="F14" s="33"/>
      <c r="G14" s="31"/>
      <c r="H14" s="31"/>
      <c r="I14" s="32"/>
      <c r="J14" s="34"/>
      <c r="K14" s="34">
        <v>226</v>
      </c>
      <c r="L14" s="37"/>
      <c r="M14" s="16"/>
      <c r="N14" s="46" t="s">
        <v>86</v>
      </c>
      <c r="S14" s="86">
        <v>3</v>
      </c>
      <c r="X14" s="10"/>
      <c r="Y14" s="2"/>
      <c r="Z14" s="27"/>
      <c r="AA14" s="2"/>
    </row>
    <row r="15" spans="2:27" ht="18.75" x14ac:dyDescent="0.2">
      <c r="B15" s="105"/>
      <c r="C15" s="32"/>
      <c r="D15" s="44"/>
      <c r="E15" s="30"/>
      <c r="F15" s="33"/>
      <c r="G15" s="31"/>
      <c r="H15" s="31"/>
      <c r="I15" s="32"/>
      <c r="J15" s="90"/>
      <c r="K15" s="34">
        <v>226</v>
      </c>
      <c r="L15" s="37"/>
      <c r="M15" s="16"/>
      <c r="N15" s="46" t="s">
        <v>87</v>
      </c>
      <c r="S15" s="86">
        <v>4</v>
      </c>
      <c r="X15" s="10"/>
      <c r="Y15" s="2"/>
      <c r="Z15" s="27"/>
      <c r="AA15" s="2"/>
    </row>
    <row r="16" spans="2:27" ht="18.75" x14ac:dyDescent="0.2">
      <c r="B16" s="105"/>
      <c r="C16" s="32"/>
      <c r="D16" s="44"/>
      <c r="E16" s="30"/>
      <c r="F16" s="33"/>
      <c r="G16" s="31"/>
      <c r="H16" s="31"/>
      <c r="I16" s="32"/>
      <c r="J16" s="90"/>
      <c r="K16" s="34">
        <v>226</v>
      </c>
      <c r="L16" s="37"/>
      <c r="M16" s="16"/>
      <c r="N16" s="46" t="s">
        <v>88</v>
      </c>
      <c r="S16" s="86">
        <v>5</v>
      </c>
      <c r="X16" s="10"/>
      <c r="Y16" s="2"/>
      <c r="Z16" s="27"/>
      <c r="AA16" s="2"/>
    </row>
    <row r="17" spans="2:27" ht="18.75" x14ac:dyDescent="0.2">
      <c r="B17" s="105"/>
      <c r="C17" s="32"/>
      <c r="D17" s="44"/>
      <c r="E17" s="30"/>
      <c r="F17" s="33"/>
      <c r="G17" s="31"/>
      <c r="H17" s="31"/>
      <c r="I17" s="32"/>
      <c r="J17" s="90"/>
      <c r="K17" s="34">
        <v>226</v>
      </c>
      <c r="L17" s="37"/>
      <c r="M17" s="16"/>
      <c r="N17" s="46" t="s">
        <v>89</v>
      </c>
      <c r="S17" s="86">
        <v>6</v>
      </c>
      <c r="X17" s="10"/>
      <c r="Y17" s="2"/>
      <c r="Z17" s="27"/>
      <c r="AA17" s="2"/>
    </row>
    <row r="18" spans="2:27" ht="18.75" x14ac:dyDescent="0.2">
      <c r="B18" s="105"/>
      <c r="C18" s="32"/>
      <c r="D18" s="44"/>
      <c r="E18" s="30"/>
      <c r="F18" s="33"/>
      <c r="G18" s="31"/>
      <c r="H18" s="31"/>
      <c r="I18" s="32"/>
      <c r="J18" s="90"/>
      <c r="K18" s="34">
        <v>226</v>
      </c>
      <c r="L18" s="37"/>
      <c r="M18" s="16"/>
      <c r="N18" s="46" t="s">
        <v>90</v>
      </c>
      <c r="S18" s="86">
        <v>7</v>
      </c>
      <c r="X18" s="10"/>
      <c r="Y18" s="2"/>
      <c r="Z18" s="27"/>
      <c r="AA18" s="2"/>
    </row>
    <row r="19" spans="2:27" ht="18.75" x14ac:dyDescent="0.2">
      <c r="B19" s="105"/>
      <c r="C19" s="32"/>
      <c r="D19" s="44"/>
      <c r="E19" s="30"/>
      <c r="F19" s="33"/>
      <c r="G19" s="31"/>
      <c r="H19" s="31"/>
      <c r="I19" s="32"/>
      <c r="J19" s="90"/>
      <c r="K19" s="34">
        <v>226</v>
      </c>
      <c r="L19" s="37"/>
      <c r="M19" s="16"/>
      <c r="N19" s="46" t="s">
        <v>91</v>
      </c>
      <c r="S19" s="86">
        <v>8</v>
      </c>
      <c r="X19" s="10"/>
      <c r="Y19" s="2"/>
      <c r="Z19" s="27"/>
      <c r="AA19" s="2"/>
    </row>
    <row r="20" spans="2:27" ht="18.75" x14ac:dyDescent="0.2">
      <c r="B20" s="105"/>
      <c r="C20" s="32"/>
      <c r="D20" s="44"/>
      <c r="E20" s="30"/>
      <c r="F20" s="33"/>
      <c r="G20" s="31"/>
      <c r="H20" s="31"/>
      <c r="I20" s="32"/>
      <c r="J20" s="90"/>
      <c r="K20" s="34">
        <v>226</v>
      </c>
      <c r="L20" s="37"/>
      <c r="M20" s="16"/>
      <c r="N20" s="46" t="s">
        <v>92</v>
      </c>
      <c r="S20" s="86">
        <v>9</v>
      </c>
      <c r="X20" s="10"/>
      <c r="Y20" s="2"/>
      <c r="Z20" s="27"/>
      <c r="AA20" s="2"/>
    </row>
    <row r="21" spans="2:27" ht="18.75" x14ac:dyDescent="0.2">
      <c r="B21" s="105"/>
      <c r="C21" s="32"/>
      <c r="D21" s="44"/>
      <c r="E21" s="30"/>
      <c r="F21" s="33"/>
      <c r="G21" s="31"/>
      <c r="H21" s="31"/>
      <c r="I21" s="32"/>
      <c r="J21" s="90"/>
      <c r="K21" s="34">
        <v>226</v>
      </c>
      <c r="L21" s="37"/>
      <c r="M21" s="16"/>
      <c r="N21" s="46" t="s">
        <v>93</v>
      </c>
      <c r="S21" s="86">
        <v>10</v>
      </c>
      <c r="X21" s="10"/>
      <c r="Y21" s="2"/>
      <c r="Z21" s="27"/>
      <c r="AA21" s="2"/>
    </row>
    <row r="22" spans="2:27" ht="18.75" x14ac:dyDescent="0.2">
      <c r="B22" s="105"/>
      <c r="C22" s="32"/>
      <c r="D22" s="44"/>
      <c r="E22" s="30"/>
      <c r="F22" s="33"/>
      <c r="G22" s="31"/>
      <c r="H22" s="31"/>
      <c r="I22" s="32"/>
      <c r="J22" s="90"/>
      <c r="K22" s="34">
        <v>226</v>
      </c>
      <c r="L22" s="37"/>
      <c r="M22" s="16"/>
      <c r="N22" s="46" t="s">
        <v>94</v>
      </c>
      <c r="S22" s="86">
        <v>11</v>
      </c>
      <c r="X22" s="3"/>
      <c r="Y22" s="2"/>
      <c r="Z22" s="27"/>
      <c r="AA22" s="2"/>
    </row>
    <row r="23" spans="2:27" ht="18.75" x14ac:dyDescent="0.2">
      <c r="B23" s="105"/>
      <c r="C23" s="32"/>
      <c r="D23" s="44"/>
      <c r="E23" s="30"/>
      <c r="F23" s="33"/>
      <c r="G23" s="31"/>
      <c r="H23" s="31"/>
      <c r="I23" s="32"/>
      <c r="J23" s="90"/>
      <c r="K23" s="34">
        <v>226</v>
      </c>
      <c r="L23" s="37"/>
      <c r="M23" s="16"/>
      <c r="N23" s="46" t="s">
        <v>95</v>
      </c>
      <c r="S23" s="86">
        <v>12</v>
      </c>
      <c r="X23" s="10"/>
      <c r="Y23" s="2"/>
      <c r="Z23" s="27"/>
      <c r="AA23" s="2"/>
    </row>
    <row r="24" spans="2:27" ht="18.75" x14ac:dyDescent="0.2">
      <c r="B24" s="105"/>
      <c r="C24" s="32"/>
      <c r="D24" s="44"/>
      <c r="E24" s="30"/>
      <c r="F24" s="33"/>
      <c r="G24" s="31"/>
      <c r="H24" s="31"/>
      <c r="I24" s="32"/>
      <c r="J24" s="90"/>
      <c r="K24" s="34">
        <v>226</v>
      </c>
      <c r="L24" s="37"/>
      <c r="M24" s="16"/>
      <c r="N24" s="46"/>
      <c r="S24" s="86">
        <v>13</v>
      </c>
      <c r="Y24" s="2"/>
      <c r="Z24" s="2"/>
      <c r="AA24" s="2"/>
    </row>
    <row r="25" spans="2:27" ht="18.75" x14ac:dyDescent="0.2">
      <c r="B25" s="105"/>
      <c r="C25" s="32"/>
      <c r="D25" s="44"/>
      <c r="E25" s="30"/>
      <c r="F25" s="33"/>
      <c r="G25" s="31"/>
      <c r="H25" s="31"/>
      <c r="I25" s="32"/>
      <c r="J25" s="90"/>
      <c r="K25" s="34">
        <v>226</v>
      </c>
      <c r="L25" s="37"/>
      <c r="M25" s="16"/>
      <c r="N25" s="46"/>
      <c r="S25" s="86">
        <v>14</v>
      </c>
      <c r="Y25" s="2"/>
      <c r="AA25" s="2"/>
    </row>
    <row r="26" spans="2:27" ht="18.75" x14ac:dyDescent="0.2">
      <c r="B26" s="105"/>
      <c r="C26" s="32"/>
      <c r="D26" s="44"/>
      <c r="E26" s="30"/>
      <c r="F26" s="33"/>
      <c r="G26" s="31"/>
      <c r="H26" s="31"/>
      <c r="I26" s="32"/>
      <c r="J26" s="90"/>
      <c r="K26" s="34">
        <v>226</v>
      </c>
      <c r="L26" s="37"/>
      <c r="N26" s="102"/>
      <c r="S26" s="86">
        <v>15</v>
      </c>
      <c r="AA26" s="2"/>
    </row>
    <row r="27" spans="2:27" ht="18.75" x14ac:dyDescent="0.2">
      <c r="B27" s="105"/>
      <c r="C27" s="32"/>
      <c r="D27" s="44"/>
      <c r="E27" s="30"/>
      <c r="F27" s="33"/>
      <c r="G27" s="31"/>
      <c r="H27" s="31"/>
      <c r="I27" s="32"/>
      <c r="J27" s="90"/>
      <c r="K27" s="43">
        <v>226</v>
      </c>
      <c r="L27" s="37"/>
      <c r="N27" s="101"/>
      <c r="S27" s="86">
        <v>16</v>
      </c>
      <c r="AA27" s="2"/>
    </row>
    <row r="28" spans="2:27" ht="18.75" x14ac:dyDescent="0.2">
      <c r="B28" s="105"/>
      <c r="C28" s="32"/>
      <c r="D28" s="44"/>
      <c r="E28" s="30"/>
      <c r="F28" s="33"/>
      <c r="G28" s="31"/>
      <c r="H28" s="31"/>
      <c r="I28" s="32"/>
      <c r="J28" s="90"/>
      <c r="K28" s="34">
        <v>226</v>
      </c>
      <c r="L28" s="37"/>
      <c r="N28" s="101"/>
      <c r="S28" s="86">
        <v>17</v>
      </c>
      <c r="AA28" s="2"/>
    </row>
    <row r="29" spans="2:27" ht="18.75" x14ac:dyDescent="0.2">
      <c r="B29" s="105"/>
      <c r="C29" s="32"/>
      <c r="D29" s="44"/>
      <c r="E29" s="30"/>
      <c r="F29" s="33"/>
      <c r="G29" s="31"/>
      <c r="H29" s="31"/>
      <c r="I29" s="32"/>
      <c r="J29" s="90"/>
      <c r="K29" s="34">
        <v>226</v>
      </c>
      <c r="L29" s="37"/>
      <c r="N29" s="101"/>
      <c r="S29" s="86">
        <v>18</v>
      </c>
      <c r="AA29" s="2"/>
    </row>
    <row r="30" spans="2:27" ht="18.75" x14ac:dyDescent="0.2">
      <c r="B30" s="105"/>
      <c r="C30" s="32"/>
      <c r="D30" s="44"/>
      <c r="E30" s="30"/>
      <c r="F30" s="33"/>
      <c r="G30" s="31"/>
      <c r="H30" s="31"/>
      <c r="I30" s="32"/>
      <c r="J30" s="90"/>
      <c r="K30" s="34">
        <v>226</v>
      </c>
      <c r="L30" s="37"/>
      <c r="N30" s="101"/>
      <c r="S30" s="86">
        <v>19</v>
      </c>
      <c r="AA30" s="2"/>
    </row>
    <row r="31" spans="2:27" ht="18.75" x14ac:dyDescent="0.2">
      <c r="B31" s="105"/>
      <c r="C31" s="32"/>
      <c r="D31" s="44"/>
      <c r="E31" s="30"/>
      <c r="F31" s="33"/>
      <c r="G31" s="31"/>
      <c r="H31" s="31"/>
      <c r="I31" s="32"/>
      <c r="J31" s="90"/>
      <c r="K31" s="34">
        <v>226</v>
      </c>
      <c r="L31" s="37"/>
      <c r="N31" s="101"/>
      <c r="S31" s="86">
        <v>20</v>
      </c>
      <c r="AA31" s="2"/>
    </row>
    <row r="32" spans="2:27" ht="18.75" x14ac:dyDescent="0.2">
      <c r="B32" s="105"/>
      <c r="C32" s="32"/>
      <c r="D32" s="44"/>
      <c r="E32" s="30"/>
      <c r="F32" s="33"/>
      <c r="G32" s="31"/>
      <c r="H32" s="31"/>
      <c r="I32" s="32"/>
      <c r="J32" s="90"/>
      <c r="K32" s="34">
        <v>226</v>
      </c>
      <c r="L32" s="37"/>
      <c r="N32" s="101"/>
      <c r="S32" s="86">
        <v>21</v>
      </c>
      <c r="AA32" s="2"/>
    </row>
    <row r="33" spans="2:27" ht="18.75" x14ac:dyDescent="0.2">
      <c r="B33" s="105"/>
      <c r="C33" s="32"/>
      <c r="D33" s="44"/>
      <c r="E33" s="30"/>
      <c r="F33" s="33"/>
      <c r="G33" s="31"/>
      <c r="H33" s="31"/>
      <c r="I33" s="32"/>
      <c r="J33" s="90"/>
      <c r="K33" s="34">
        <v>226</v>
      </c>
      <c r="L33" s="37"/>
      <c r="N33" s="101"/>
      <c r="S33" s="86">
        <v>22</v>
      </c>
      <c r="AA33" s="2"/>
    </row>
    <row r="34" spans="2:27" ht="18.75" x14ac:dyDescent="0.2">
      <c r="B34" s="105"/>
      <c r="C34" s="32"/>
      <c r="D34" s="44"/>
      <c r="E34" s="30"/>
      <c r="F34" s="33"/>
      <c r="G34" s="31"/>
      <c r="H34" s="31"/>
      <c r="I34" s="32"/>
      <c r="J34" s="90"/>
      <c r="K34" s="34">
        <v>226</v>
      </c>
      <c r="L34" s="37"/>
      <c r="N34" s="101"/>
      <c r="S34" s="86">
        <v>23</v>
      </c>
      <c r="AA34" s="2"/>
    </row>
    <row r="35" spans="2:27" ht="18.75" x14ac:dyDescent="0.2">
      <c r="B35" s="105"/>
      <c r="C35" s="32"/>
      <c r="D35" s="44"/>
      <c r="E35" s="30"/>
      <c r="F35" s="33"/>
      <c r="G35" s="31"/>
      <c r="H35" s="31"/>
      <c r="I35" s="32"/>
      <c r="J35" s="90"/>
      <c r="K35" s="34">
        <v>226</v>
      </c>
      <c r="L35" s="37"/>
      <c r="N35" s="101"/>
      <c r="S35" s="86">
        <v>24</v>
      </c>
      <c r="AA35" s="2"/>
    </row>
    <row r="36" spans="2:27" ht="18.75" x14ac:dyDescent="0.2">
      <c r="B36" s="105"/>
      <c r="C36" s="32"/>
      <c r="D36" s="44"/>
      <c r="E36" s="30"/>
      <c r="F36" s="33"/>
      <c r="G36" s="31"/>
      <c r="H36" s="31"/>
      <c r="I36" s="32"/>
      <c r="J36" s="90"/>
      <c r="K36" s="34">
        <v>226</v>
      </c>
      <c r="L36" s="37"/>
      <c r="S36" s="86">
        <v>25</v>
      </c>
      <c r="AA36" s="2"/>
    </row>
    <row r="37" spans="2:27" ht="18.75" x14ac:dyDescent="0.2">
      <c r="B37" s="105"/>
      <c r="C37" s="32"/>
      <c r="D37" s="44"/>
      <c r="E37" s="30"/>
      <c r="F37" s="33"/>
      <c r="G37" s="31"/>
      <c r="H37" s="31"/>
      <c r="I37" s="32"/>
      <c r="J37" s="90"/>
      <c r="K37" s="34">
        <v>226</v>
      </c>
      <c r="L37" s="37"/>
      <c r="S37" s="86">
        <v>26</v>
      </c>
      <c r="AA37" s="2"/>
    </row>
    <row r="38" spans="2:27" ht="18.75" x14ac:dyDescent="0.2">
      <c r="B38" s="105"/>
      <c r="C38" s="32"/>
      <c r="D38" s="44"/>
      <c r="E38" s="30"/>
      <c r="F38" s="33"/>
      <c r="G38" s="31"/>
      <c r="H38" s="31"/>
      <c r="I38" s="32"/>
      <c r="J38" s="90"/>
      <c r="K38" s="34">
        <v>226</v>
      </c>
      <c r="L38" s="37"/>
      <c r="S38" s="86">
        <v>27</v>
      </c>
      <c r="AA38" s="2"/>
    </row>
    <row r="39" spans="2:27" ht="18.75" x14ac:dyDescent="0.2">
      <c r="B39" s="105"/>
      <c r="C39" s="32"/>
      <c r="D39" s="44"/>
      <c r="E39" s="30"/>
      <c r="F39" s="33"/>
      <c r="G39" s="31"/>
      <c r="H39" s="31"/>
      <c r="I39" s="32"/>
      <c r="J39" s="90"/>
      <c r="K39" s="34">
        <v>226</v>
      </c>
      <c r="L39" s="37"/>
      <c r="S39" s="86">
        <v>28</v>
      </c>
      <c r="AA39" s="2"/>
    </row>
    <row r="40" spans="2:27" ht="18.75" x14ac:dyDescent="0.2">
      <c r="B40" s="105"/>
      <c r="C40" s="32"/>
      <c r="D40" s="44"/>
      <c r="E40" s="30"/>
      <c r="F40" s="33"/>
      <c r="G40" s="31"/>
      <c r="H40" s="31"/>
      <c r="I40" s="32"/>
      <c r="J40" s="90"/>
      <c r="K40" s="34">
        <v>226</v>
      </c>
      <c r="L40" s="37"/>
      <c r="S40" s="86">
        <v>29</v>
      </c>
      <c r="AA40" s="2"/>
    </row>
    <row r="41" spans="2:27" ht="18.75" x14ac:dyDescent="0.2">
      <c r="B41" s="105"/>
      <c r="C41" s="32"/>
      <c r="D41" s="44"/>
      <c r="E41" s="30"/>
      <c r="F41" s="33"/>
      <c r="G41" s="31"/>
      <c r="H41" s="31"/>
      <c r="I41" s="32"/>
      <c r="J41" s="90"/>
      <c r="K41" s="34">
        <v>226</v>
      </c>
      <c r="L41" s="37"/>
      <c r="S41" s="86">
        <v>30</v>
      </c>
      <c r="AA41" s="2"/>
    </row>
    <row r="42" spans="2:27" ht="18.75" x14ac:dyDescent="0.2">
      <c r="B42" s="105"/>
      <c r="C42" s="32"/>
      <c r="D42" s="44"/>
      <c r="E42" s="30"/>
      <c r="F42" s="33"/>
      <c r="G42" s="31"/>
      <c r="H42" s="31"/>
      <c r="I42" s="32"/>
      <c r="J42" s="90"/>
      <c r="K42" s="34">
        <v>226</v>
      </c>
      <c r="L42" s="37"/>
      <c r="S42" s="86">
        <v>31</v>
      </c>
      <c r="AA42" s="2"/>
    </row>
    <row r="43" spans="2:27" ht="18.75" x14ac:dyDescent="0.2">
      <c r="B43" s="105"/>
      <c r="C43" s="32"/>
      <c r="D43" s="44"/>
      <c r="E43" s="30"/>
      <c r="F43" s="33"/>
      <c r="G43" s="31"/>
      <c r="H43" s="31"/>
      <c r="I43" s="32"/>
      <c r="J43" s="90"/>
      <c r="K43" s="34">
        <v>226</v>
      </c>
      <c r="L43" s="37"/>
      <c r="S43" s="86">
        <v>32</v>
      </c>
    </row>
    <row r="44" spans="2:27" ht="18.75" x14ac:dyDescent="0.2">
      <c r="B44" s="105"/>
      <c r="C44" s="32"/>
      <c r="D44" s="44"/>
      <c r="E44" s="30"/>
      <c r="F44" s="33"/>
      <c r="G44" s="31"/>
      <c r="H44" s="31"/>
      <c r="I44" s="32"/>
      <c r="J44" s="90"/>
      <c r="K44" s="34">
        <v>226</v>
      </c>
      <c r="L44" s="37"/>
      <c r="S44" s="86">
        <v>33</v>
      </c>
    </row>
    <row r="45" spans="2:27" ht="18.75" x14ac:dyDescent="0.2">
      <c r="B45" s="105"/>
      <c r="C45" s="32"/>
      <c r="D45" s="44"/>
      <c r="E45" s="30"/>
      <c r="F45" s="33"/>
      <c r="G45" s="31"/>
      <c r="H45" s="31"/>
      <c r="I45" s="32"/>
      <c r="J45" s="90"/>
      <c r="K45" s="34">
        <v>226</v>
      </c>
      <c r="L45" s="37"/>
      <c r="S45" s="86">
        <v>34</v>
      </c>
    </row>
    <row r="46" spans="2:27" ht="18.75" x14ac:dyDescent="0.2">
      <c r="B46" s="105"/>
      <c r="C46" s="32"/>
      <c r="D46" s="44"/>
      <c r="E46" s="30"/>
      <c r="F46" s="33"/>
      <c r="G46" s="31"/>
      <c r="H46" s="31"/>
      <c r="I46" s="32"/>
      <c r="J46" s="90"/>
      <c r="K46" s="34">
        <v>226</v>
      </c>
      <c r="L46" s="37"/>
      <c r="S46" s="86">
        <v>35</v>
      </c>
    </row>
    <row r="47" spans="2:27" ht="18.75" x14ac:dyDescent="0.2">
      <c r="B47" s="105"/>
      <c r="C47" s="32"/>
      <c r="D47" s="44"/>
      <c r="E47" s="30"/>
      <c r="F47" s="33"/>
      <c r="G47" s="31"/>
      <c r="H47" s="31"/>
      <c r="I47" s="32"/>
      <c r="J47" s="90"/>
      <c r="K47" s="34">
        <v>226</v>
      </c>
      <c r="L47" s="37"/>
      <c r="S47" s="86">
        <v>36</v>
      </c>
    </row>
    <row r="48" spans="2:27" ht="18.75" x14ac:dyDescent="0.2">
      <c r="B48" s="105"/>
      <c r="C48" s="32"/>
      <c r="D48" s="44"/>
      <c r="E48" s="30"/>
      <c r="F48" s="33"/>
      <c r="G48" s="31"/>
      <c r="H48" s="31"/>
      <c r="I48" s="32"/>
      <c r="J48" s="90"/>
      <c r="K48" s="34"/>
      <c r="L48" s="37"/>
      <c r="S48" s="86">
        <v>37</v>
      </c>
    </row>
    <row r="49" spans="2:19" ht="18.75" x14ac:dyDescent="0.2">
      <c r="B49" s="105"/>
      <c r="C49" s="32"/>
      <c r="D49" s="44"/>
      <c r="E49" s="30"/>
      <c r="F49" s="33"/>
      <c r="G49" s="31"/>
      <c r="H49" s="31"/>
      <c r="I49" s="32"/>
      <c r="J49" s="90"/>
      <c r="K49" s="34"/>
      <c r="L49" s="37"/>
      <c r="S49" s="86">
        <v>38</v>
      </c>
    </row>
    <row r="50" spans="2:19" ht="18.75" x14ac:dyDescent="0.2">
      <c r="B50" s="105"/>
      <c r="C50" s="32"/>
      <c r="D50" s="44"/>
      <c r="E50" s="30"/>
      <c r="F50" s="33"/>
      <c r="G50" s="31"/>
      <c r="H50" s="31"/>
      <c r="I50" s="32"/>
      <c r="J50" s="90"/>
      <c r="K50" s="34"/>
      <c r="L50" s="37"/>
      <c r="S50" s="86">
        <v>39</v>
      </c>
    </row>
    <row r="51" spans="2:19" ht="18.75" x14ac:dyDescent="0.2">
      <c r="B51" s="105"/>
      <c r="C51" s="32"/>
      <c r="D51" s="44"/>
      <c r="E51" s="30"/>
      <c r="F51" s="33"/>
      <c r="G51" s="31"/>
      <c r="H51" s="31"/>
      <c r="I51" s="32"/>
      <c r="J51" s="90"/>
      <c r="K51" s="34"/>
      <c r="L51" s="37"/>
      <c r="S51" s="86">
        <v>40</v>
      </c>
    </row>
    <row r="52" spans="2:19" ht="18.75" x14ac:dyDescent="0.2">
      <c r="B52" s="105"/>
      <c r="C52" s="32"/>
      <c r="D52" s="44"/>
      <c r="E52" s="30"/>
      <c r="F52" s="33"/>
      <c r="G52" s="31"/>
      <c r="H52" s="31"/>
      <c r="I52" s="32"/>
      <c r="J52" s="90"/>
      <c r="K52" s="34"/>
      <c r="L52" s="37"/>
      <c r="S52" s="86">
        <v>41</v>
      </c>
    </row>
    <row r="53" spans="2:19" ht="18.75" x14ac:dyDescent="0.2">
      <c r="B53" s="105"/>
      <c r="C53" s="32"/>
      <c r="D53" s="44"/>
      <c r="E53" s="30"/>
      <c r="F53" s="33"/>
      <c r="G53" s="31"/>
      <c r="H53" s="31"/>
      <c r="I53" s="32"/>
      <c r="J53" s="90"/>
      <c r="K53" s="34"/>
      <c r="L53" s="37"/>
      <c r="S53" s="86">
        <v>42</v>
      </c>
    </row>
    <row r="54" spans="2:19" ht="18.75" x14ac:dyDescent="0.2">
      <c r="B54" s="105"/>
      <c r="C54" s="32"/>
      <c r="D54" s="44"/>
      <c r="E54" s="30"/>
      <c r="F54" s="33"/>
      <c r="G54" s="31"/>
      <c r="H54" s="31"/>
      <c r="I54" s="32"/>
      <c r="J54" s="90"/>
      <c r="K54" s="34"/>
      <c r="L54" s="37"/>
      <c r="S54" s="86">
        <v>43</v>
      </c>
    </row>
    <row r="55" spans="2:19" ht="18.75" x14ac:dyDescent="0.2">
      <c r="B55" s="105"/>
      <c r="C55" s="32"/>
      <c r="D55" s="44"/>
      <c r="E55" s="30"/>
      <c r="F55" s="33"/>
      <c r="G55" s="31"/>
      <c r="H55" s="31"/>
      <c r="I55" s="32"/>
      <c r="J55" s="90"/>
      <c r="K55" s="34"/>
      <c r="L55" s="37"/>
      <c r="S55" s="86">
        <v>44</v>
      </c>
    </row>
    <row r="56" spans="2:19" ht="18.75" x14ac:dyDescent="0.2">
      <c r="B56" s="105"/>
      <c r="C56" s="32"/>
      <c r="D56" s="44"/>
      <c r="E56" s="30"/>
      <c r="F56" s="33"/>
      <c r="G56" s="31"/>
      <c r="H56" s="31"/>
      <c r="I56" s="32"/>
      <c r="J56" s="90"/>
      <c r="K56" s="34"/>
      <c r="L56" s="37"/>
      <c r="S56" s="86">
        <v>45</v>
      </c>
    </row>
    <row r="57" spans="2:19" ht="18.75" x14ac:dyDescent="0.2">
      <c r="B57" s="105"/>
      <c r="C57" s="32"/>
      <c r="D57" s="44"/>
      <c r="E57" s="30"/>
      <c r="F57" s="33"/>
      <c r="G57" s="31"/>
      <c r="H57" s="31"/>
      <c r="I57" s="32"/>
      <c r="J57" s="90"/>
      <c r="K57" s="34"/>
      <c r="L57" s="37"/>
      <c r="S57" s="86">
        <v>46</v>
      </c>
    </row>
    <row r="58" spans="2:19" ht="18.75" x14ac:dyDescent="0.2">
      <c r="B58" s="103"/>
      <c r="C58" s="32"/>
      <c r="D58" s="44"/>
      <c r="E58" s="30"/>
      <c r="F58" s="33"/>
      <c r="G58" s="31"/>
      <c r="H58" s="31"/>
      <c r="I58" s="32"/>
      <c r="J58" s="90"/>
      <c r="K58" s="34"/>
      <c r="L58" s="37"/>
      <c r="S58" s="86">
        <v>47</v>
      </c>
    </row>
    <row r="59" spans="2:19" ht="18.75" x14ac:dyDescent="0.2">
      <c r="B59" s="103"/>
      <c r="C59" s="32"/>
      <c r="D59" s="44"/>
      <c r="E59" s="30"/>
      <c r="F59" s="33"/>
      <c r="G59" s="31"/>
      <c r="H59" s="31"/>
      <c r="I59" s="32"/>
      <c r="J59" s="90"/>
      <c r="K59" s="34"/>
      <c r="L59" s="37"/>
      <c r="S59" s="86">
        <v>48</v>
      </c>
    </row>
    <row r="60" spans="2:19" ht="18.75" x14ac:dyDescent="0.2">
      <c r="B60" s="103"/>
      <c r="C60" s="32"/>
      <c r="D60" s="44"/>
      <c r="E60" s="30"/>
      <c r="F60" s="33"/>
      <c r="G60" s="31"/>
      <c r="H60" s="31"/>
      <c r="I60" s="32"/>
      <c r="J60" s="90"/>
      <c r="K60" s="34"/>
      <c r="L60" s="37"/>
      <c r="S60" s="86">
        <v>49</v>
      </c>
    </row>
    <row r="61" spans="2:19" ht="18.75" x14ac:dyDescent="0.2">
      <c r="B61" s="103"/>
      <c r="C61" s="32"/>
      <c r="D61" s="44"/>
      <c r="E61" s="30"/>
      <c r="F61" s="33"/>
      <c r="G61" s="31"/>
      <c r="H61" s="31"/>
      <c r="I61" s="32"/>
      <c r="J61" s="90"/>
      <c r="K61" s="34"/>
      <c r="L61" s="37"/>
      <c r="S61" s="86">
        <v>50</v>
      </c>
    </row>
    <row r="62" spans="2:19" ht="18.75" x14ac:dyDescent="0.2">
      <c r="B62" s="103"/>
      <c r="C62" s="32"/>
      <c r="D62" s="44"/>
      <c r="E62" s="30"/>
      <c r="F62" s="33"/>
      <c r="G62" s="31"/>
      <c r="H62" s="31"/>
      <c r="I62" s="32"/>
      <c r="J62" s="90"/>
      <c r="K62" s="34"/>
      <c r="L62" s="37"/>
      <c r="S62" s="86">
        <v>51</v>
      </c>
    </row>
    <row r="63" spans="2:19" ht="18.75" x14ac:dyDescent="0.2">
      <c r="B63" s="103"/>
      <c r="C63" s="32"/>
      <c r="D63" s="44"/>
      <c r="E63" s="30"/>
      <c r="F63" s="33"/>
      <c r="G63" s="31"/>
      <c r="H63" s="31"/>
      <c r="I63" s="32"/>
      <c r="J63" s="90"/>
      <c r="K63" s="34"/>
      <c r="L63" s="37"/>
      <c r="S63" s="86">
        <v>52</v>
      </c>
    </row>
    <row r="64" spans="2:19" ht="18.75" x14ac:dyDescent="0.2">
      <c r="B64" s="103"/>
      <c r="C64" s="32"/>
      <c r="D64" s="44"/>
      <c r="E64" s="30"/>
      <c r="F64" s="33"/>
      <c r="G64" s="31"/>
      <c r="H64" s="31"/>
      <c r="I64" s="32"/>
      <c r="J64" s="90"/>
      <c r="K64" s="34"/>
      <c r="L64" s="37"/>
      <c r="S64" s="86">
        <v>53</v>
      </c>
    </row>
    <row r="65" spans="2:19" ht="18.75" x14ac:dyDescent="0.2">
      <c r="B65" s="103"/>
      <c r="C65" s="32"/>
      <c r="D65" s="44"/>
      <c r="E65" s="30"/>
      <c r="F65" s="33"/>
      <c r="G65" s="31"/>
      <c r="H65" s="31"/>
      <c r="I65" s="32"/>
      <c r="J65" s="90"/>
      <c r="K65" s="34"/>
      <c r="L65" s="37"/>
      <c r="S65" s="86">
        <v>54</v>
      </c>
    </row>
    <row r="66" spans="2:19" ht="18.75" x14ac:dyDescent="0.2">
      <c r="B66" s="103"/>
      <c r="C66" s="32"/>
      <c r="D66" s="44"/>
      <c r="E66" s="30"/>
      <c r="F66" s="33"/>
      <c r="G66" s="31"/>
      <c r="H66" s="31"/>
      <c r="I66" s="32"/>
      <c r="J66" s="90"/>
      <c r="K66" s="34"/>
      <c r="L66" s="37"/>
      <c r="S66" s="86">
        <v>55</v>
      </c>
    </row>
    <row r="67" spans="2:19" ht="18.75" x14ac:dyDescent="0.2">
      <c r="B67" s="103"/>
      <c r="C67" s="32"/>
      <c r="D67" s="44"/>
      <c r="E67" s="30"/>
      <c r="F67" s="33"/>
      <c r="G67" s="31"/>
      <c r="H67" s="31"/>
      <c r="I67" s="32"/>
      <c r="J67" s="90"/>
      <c r="K67" s="34"/>
      <c r="L67" s="37"/>
      <c r="S67" s="86">
        <v>56</v>
      </c>
    </row>
    <row r="68" spans="2:19" ht="18.75" x14ac:dyDescent="0.2">
      <c r="B68" s="103"/>
      <c r="C68" s="32"/>
      <c r="D68" s="44"/>
      <c r="E68" s="30"/>
      <c r="F68" s="33"/>
      <c r="G68" s="31"/>
      <c r="H68" s="31"/>
      <c r="I68" s="32"/>
      <c r="J68" s="90"/>
      <c r="K68" s="34"/>
      <c r="L68" s="37"/>
      <c r="S68" s="86">
        <v>57</v>
      </c>
    </row>
    <row r="69" spans="2:19" ht="18.75" x14ac:dyDescent="0.2">
      <c r="B69" s="103"/>
      <c r="C69" s="32"/>
      <c r="D69" s="44"/>
      <c r="E69" s="30"/>
      <c r="F69" s="33"/>
      <c r="G69" s="31"/>
      <c r="H69" s="31"/>
      <c r="I69" s="32"/>
      <c r="J69" s="90"/>
      <c r="K69" s="34"/>
      <c r="L69" s="37"/>
      <c r="S69" s="86">
        <v>58</v>
      </c>
    </row>
    <row r="70" spans="2:19" ht="18.75" x14ac:dyDescent="0.2">
      <c r="B70" s="103"/>
      <c r="C70" s="32"/>
      <c r="D70" s="44"/>
      <c r="E70" s="30"/>
      <c r="F70" s="33"/>
      <c r="G70" s="31"/>
      <c r="H70" s="31"/>
      <c r="I70" s="32"/>
      <c r="J70" s="90"/>
      <c r="K70" s="34"/>
      <c r="L70" s="37"/>
      <c r="S70" s="86">
        <v>59</v>
      </c>
    </row>
    <row r="71" spans="2:19" ht="18.75" x14ac:dyDescent="0.2">
      <c r="B71" s="103"/>
      <c r="C71" s="32"/>
      <c r="D71" s="44"/>
      <c r="E71" s="30"/>
      <c r="F71" s="33"/>
      <c r="G71" s="31"/>
      <c r="H71" s="31"/>
      <c r="I71" s="32"/>
      <c r="J71" s="90"/>
      <c r="K71" s="34"/>
      <c r="L71" s="37"/>
      <c r="S71" s="86">
        <v>60</v>
      </c>
    </row>
    <row r="72" spans="2:19" ht="18.75" x14ac:dyDescent="0.2">
      <c r="B72" s="103"/>
      <c r="C72" s="32"/>
      <c r="D72" s="44"/>
      <c r="E72" s="30"/>
      <c r="F72" s="33"/>
      <c r="G72" s="31"/>
      <c r="H72" s="31"/>
      <c r="I72" s="32"/>
      <c r="J72" s="90"/>
      <c r="K72" s="34"/>
      <c r="L72" s="37"/>
      <c r="S72" s="86">
        <v>61</v>
      </c>
    </row>
    <row r="73" spans="2:19" ht="18.75" x14ac:dyDescent="0.2">
      <c r="B73" s="103"/>
      <c r="C73" s="32"/>
      <c r="D73" s="44"/>
      <c r="E73" s="30"/>
      <c r="F73" s="33"/>
      <c r="G73" s="31"/>
      <c r="H73" s="31"/>
      <c r="I73" s="32"/>
      <c r="J73" s="90"/>
      <c r="K73" s="34"/>
      <c r="L73" s="37"/>
      <c r="S73" s="86">
        <v>62</v>
      </c>
    </row>
    <row r="74" spans="2:19" ht="18.75" x14ac:dyDescent="0.2">
      <c r="B74" s="103"/>
      <c r="C74" s="32"/>
      <c r="D74" s="44"/>
      <c r="E74" s="30"/>
      <c r="F74" s="33"/>
      <c r="G74" s="31"/>
      <c r="H74" s="31"/>
      <c r="I74" s="32"/>
      <c r="J74" s="90"/>
      <c r="K74" s="34"/>
      <c r="L74" s="37"/>
      <c r="S74" s="86">
        <v>63</v>
      </c>
    </row>
    <row r="75" spans="2:19" ht="18.75" x14ac:dyDescent="0.2">
      <c r="B75" s="103"/>
      <c r="C75" s="32"/>
      <c r="D75" s="44"/>
      <c r="E75" s="30"/>
      <c r="F75" s="33"/>
      <c r="G75" s="31"/>
      <c r="H75" s="31"/>
      <c r="I75" s="32"/>
      <c r="J75" s="90"/>
      <c r="K75" s="34"/>
      <c r="L75" s="37"/>
      <c r="S75" s="86">
        <v>64</v>
      </c>
    </row>
    <row r="76" spans="2:19" ht="18.75" x14ac:dyDescent="0.2">
      <c r="B76" s="103"/>
      <c r="C76" s="32"/>
      <c r="D76" s="44"/>
      <c r="E76" s="30"/>
      <c r="F76" s="33"/>
      <c r="G76" s="31"/>
      <c r="H76" s="31"/>
      <c r="I76" s="32"/>
      <c r="J76" s="90"/>
      <c r="K76" s="34"/>
      <c r="L76" s="37"/>
      <c r="S76" s="86">
        <v>65</v>
      </c>
    </row>
    <row r="77" spans="2:19" ht="18.75" x14ac:dyDescent="0.2">
      <c r="B77" s="103"/>
      <c r="C77" s="32"/>
      <c r="D77" s="44"/>
      <c r="E77" s="30"/>
      <c r="F77" s="33"/>
      <c r="G77" s="31"/>
      <c r="H77" s="31"/>
      <c r="I77" s="32"/>
      <c r="J77" s="90"/>
      <c r="K77" s="34"/>
      <c r="L77" s="37"/>
      <c r="S77" s="86">
        <v>66</v>
      </c>
    </row>
    <row r="78" spans="2:19" ht="18.75" x14ac:dyDescent="0.2">
      <c r="B78" s="103"/>
      <c r="C78" s="32"/>
      <c r="D78" s="44"/>
      <c r="E78" s="30"/>
      <c r="F78" s="33"/>
      <c r="G78" s="31"/>
      <c r="H78" s="31"/>
      <c r="I78" s="32"/>
      <c r="J78" s="90"/>
      <c r="K78" s="34"/>
      <c r="L78" s="37"/>
      <c r="S78" s="86">
        <v>67</v>
      </c>
    </row>
    <row r="79" spans="2:19" ht="18.75" x14ac:dyDescent="0.2">
      <c r="B79" s="103"/>
      <c r="C79" s="32"/>
      <c r="D79" s="44"/>
      <c r="E79" s="30"/>
      <c r="F79" s="33"/>
      <c r="G79" s="31"/>
      <c r="H79" s="31"/>
      <c r="I79" s="32"/>
      <c r="J79" s="90"/>
      <c r="K79" s="34"/>
      <c r="L79" s="37"/>
      <c r="S79" s="86">
        <v>68</v>
      </c>
    </row>
    <row r="80" spans="2:19" ht="18.75" x14ac:dyDescent="0.2">
      <c r="B80" s="103"/>
      <c r="C80" s="32"/>
      <c r="D80" s="44"/>
      <c r="E80" s="30"/>
      <c r="F80" s="33"/>
      <c r="G80" s="31"/>
      <c r="H80" s="31"/>
      <c r="I80" s="32"/>
      <c r="J80" s="90"/>
      <c r="K80" s="34"/>
      <c r="L80" s="37"/>
      <c r="S80" s="86">
        <v>69</v>
      </c>
    </row>
    <row r="81" spans="2:19" ht="18.75" x14ac:dyDescent="0.2">
      <c r="B81" s="103"/>
      <c r="C81" s="32"/>
      <c r="D81" s="44"/>
      <c r="E81" s="30"/>
      <c r="F81" s="33"/>
      <c r="G81" s="31"/>
      <c r="H81" s="31"/>
      <c r="I81" s="32"/>
      <c r="J81" s="90"/>
      <c r="K81" s="34"/>
      <c r="L81" s="37"/>
      <c r="S81" s="86">
        <v>70</v>
      </c>
    </row>
    <row r="82" spans="2:19" ht="18.75" x14ac:dyDescent="0.2">
      <c r="B82" s="103"/>
      <c r="C82" s="32"/>
      <c r="D82" s="44"/>
      <c r="E82" s="30"/>
      <c r="F82" s="33"/>
      <c r="G82" s="31"/>
      <c r="H82" s="31"/>
      <c r="I82" s="32"/>
      <c r="J82" s="90"/>
      <c r="K82" s="34"/>
      <c r="L82" s="37"/>
      <c r="S82" s="86">
        <v>71</v>
      </c>
    </row>
    <row r="83" spans="2:19" ht="18.75" x14ac:dyDescent="0.2">
      <c r="B83" s="103"/>
      <c r="C83" s="32"/>
      <c r="D83" s="44"/>
      <c r="E83" s="30"/>
      <c r="F83" s="33"/>
      <c r="G83" s="31"/>
      <c r="H83" s="31"/>
      <c r="I83" s="32"/>
      <c r="J83" s="90"/>
      <c r="K83" s="34"/>
      <c r="L83" s="37"/>
      <c r="S83" s="86">
        <v>72</v>
      </c>
    </row>
    <row r="84" spans="2:19" ht="18.75" x14ac:dyDescent="0.2">
      <c r="B84" s="103"/>
      <c r="C84" s="32"/>
      <c r="D84" s="44"/>
      <c r="E84" s="30"/>
      <c r="F84" s="33"/>
      <c r="G84" s="31"/>
      <c r="H84" s="31"/>
      <c r="I84" s="32"/>
      <c r="J84" s="90"/>
      <c r="K84" s="34"/>
      <c r="L84" s="37"/>
      <c r="S84" s="86">
        <v>73</v>
      </c>
    </row>
    <row r="85" spans="2:19" ht="18.75" x14ac:dyDescent="0.2">
      <c r="B85" s="103"/>
      <c r="C85" s="32"/>
      <c r="D85" s="44"/>
      <c r="E85" s="30"/>
      <c r="F85" s="33"/>
      <c r="G85" s="31"/>
      <c r="H85" s="31"/>
      <c r="I85" s="32"/>
      <c r="J85" s="90"/>
      <c r="K85" s="34"/>
      <c r="L85" s="37"/>
      <c r="S85" s="86">
        <v>74</v>
      </c>
    </row>
    <row r="86" spans="2:19" ht="18.75" x14ac:dyDescent="0.2">
      <c r="B86" s="103"/>
      <c r="C86" s="32"/>
      <c r="D86" s="44"/>
      <c r="E86" s="30"/>
      <c r="F86" s="33"/>
      <c r="G86" s="31"/>
      <c r="H86" s="31"/>
      <c r="I86" s="32"/>
      <c r="J86" s="90"/>
      <c r="K86" s="34"/>
      <c r="L86" s="37"/>
      <c r="S86" s="86">
        <v>75</v>
      </c>
    </row>
    <row r="87" spans="2:19" ht="18.75" x14ac:dyDescent="0.2">
      <c r="B87" s="103"/>
      <c r="C87" s="32"/>
      <c r="D87" s="44"/>
      <c r="E87" s="30"/>
      <c r="F87" s="33"/>
      <c r="G87" s="31"/>
      <c r="H87" s="31"/>
      <c r="I87" s="32"/>
      <c r="J87" s="90"/>
      <c r="K87" s="34"/>
      <c r="L87" s="37"/>
      <c r="S87" s="86">
        <v>76</v>
      </c>
    </row>
    <row r="88" spans="2:19" ht="18.75" x14ac:dyDescent="0.2">
      <c r="B88" s="103"/>
      <c r="C88" s="32"/>
      <c r="D88" s="44"/>
      <c r="E88" s="30"/>
      <c r="F88" s="33"/>
      <c r="G88" s="31"/>
      <c r="H88" s="31"/>
      <c r="I88" s="32"/>
      <c r="J88" s="90"/>
      <c r="K88" s="34"/>
      <c r="L88" s="37"/>
      <c r="S88" s="86">
        <v>77</v>
      </c>
    </row>
    <row r="89" spans="2:19" ht="18.75" x14ac:dyDescent="0.2">
      <c r="B89" s="103"/>
      <c r="C89" s="32"/>
      <c r="D89" s="44"/>
      <c r="E89" s="30"/>
      <c r="F89" s="33"/>
      <c r="G89" s="31"/>
      <c r="H89" s="31"/>
      <c r="I89" s="32"/>
      <c r="J89" s="90"/>
      <c r="K89" s="34"/>
      <c r="L89" s="37"/>
      <c r="S89" s="86">
        <v>78</v>
      </c>
    </row>
    <row r="90" spans="2:19" ht="18.75" x14ac:dyDescent="0.2">
      <c r="B90" s="103"/>
      <c r="C90" s="32"/>
      <c r="D90" s="44"/>
      <c r="E90" s="30"/>
      <c r="F90" s="33"/>
      <c r="G90" s="31"/>
      <c r="H90" s="31"/>
      <c r="I90" s="32"/>
      <c r="J90" s="90"/>
      <c r="K90" s="34"/>
      <c r="L90" s="37"/>
      <c r="S90" s="86">
        <v>79</v>
      </c>
    </row>
    <row r="91" spans="2:19" ht="18.75" x14ac:dyDescent="0.2">
      <c r="B91" s="103"/>
      <c r="C91" s="32"/>
      <c r="D91" s="44"/>
      <c r="E91" s="30"/>
      <c r="F91" s="33"/>
      <c r="G91" s="31"/>
      <c r="H91" s="31"/>
      <c r="I91" s="32"/>
      <c r="J91" s="90"/>
      <c r="K91" s="34"/>
      <c r="L91" s="37"/>
      <c r="S91" s="86">
        <v>80</v>
      </c>
    </row>
    <row r="92" spans="2:19" ht="18.75" x14ac:dyDescent="0.2">
      <c r="B92" s="103"/>
      <c r="C92" s="32"/>
      <c r="D92" s="44"/>
      <c r="E92" s="30"/>
      <c r="F92" s="33"/>
      <c r="G92" s="31"/>
      <c r="H92" s="31"/>
      <c r="I92" s="32"/>
      <c r="J92" s="90"/>
      <c r="K92" s="34"/>
      <c r="L92" s="37"/>
      <c r="S92" s="86">
        <v>81</v>
      </c>
    </row>
    <row r="93" spans="2:19" ht="18.75" x14ac:dyDescent="0.2">
      <c r="B93" s="103"/>
      <c r="C93" s="32"/>
      <c r="D93" s="44"/>
      <c r="E93" s="30"/>
      <c r="F93" s="33"/>
      <c r="G93" s="31"/>
      <c r="H93" s="31"/>
      <c r="I93" s="32"/>
      <c r="J93" s="90"/>
      <c r="K93" s="34"/>
      <c r="L93" s="37"/>
      <c r="S93" s="86">
        <v>82</v>
      </c>
    </row>
    <row r="94" spans="2:19" ht="18.75" x14ac:dyDescent="0.2">
      <c r="B94" s="103"/>
      <c r="C94" s="32"/>
      <c r="D94" s="44"/>
      <c r="E94" s="30"/>
      <c r="F94" s="33"/>
      <c r="G94" s="31"/>
      <c r="H94" s="31"/>
      <c r="I94" s="32"/>
      <c r="J94" s="90"/>
      <c r="K94" s="34"/>
      <c r="L94" s="37"/>
      <c r="S94" s="86">
        <v>83</v>
      </c>
    </row>
    <row r="95" spans="2:19" ht="18.75" x14ac:dyDescent="0.2">
      <c r="B95" s="103"/>
      <c r="C95" s="32"/>
      <c r="D95" s="44"/>
      <c r="E95" s="30"/>
      <c r="F95" s="33"/>
      <c r="G95" s="31"/>
      <c r="H95" s="31"/>
      <c r="I95" s="32"/>
      <c r="J95" s="90"/>
      <c r="K95" s="34"/>
      <c r="L95" s="37"/>
      <c r="S95" s="86">
        <v>84</v>
      </c>
    </row>
    <row r="96" spans="2:19" ht="18.75" x14ac:dyDescent="0.2">
      <c r="B96" s="103"/>
      <c r="C96" s="32"/>
      <c r="D96" s="44"/>
      <c r="E96" s="30"/>
      <c r="F96" s="33"/>
      <c r="G96" s="31"/>
      <c r="H96" s="31"/>
      <c r="I96" s="32"/>
      <c r="J96" s="90"/>
      <c r="K96" s="34"/>
      <c r="L96" s="37"/>
      <c r="S96" s="86">
        <v>85</v>
      </c>
    </row>
    <row r="97" spans="2:19" ht="18.75" x14ac:dyDescent="0.2">
      <c r="B97" s="103"/>
      <c r="C97" s="32"/>
      <c r="D97" s="44"/>
      <c r="E97" s="30"/>
      <c r="F97" s="33"/>
      <c r="G97" s="31"/>
      <c r="H97" s="31"/>
      <c r="I97" s="32"/>
      <c r="J97" s="90"/>
      <c r="K97" s="34"/>
      <c r="L97" s="37"/>
      <c r="S97" s="86">
        <v>86</v>
      </c>
    </row>
    <row r="98" spans="2:19" ht="18.75" x14ac:dyDescent="0.2">
      <c r="B98" s="103"/>
      <c r="C98" s="32"/>
      <c r="D98" s="44"/>
      <c r="E98" s="30"/>
      <c r="F98" s="33"/>
      <c r="G98" s="31"/>
      <c r="H98" s="31"/>
      <c r="I98" s="32"/>
      <c r="J98" s="90"/>
      <c r="K98" s="34"/>
      <c r="L98" s="37"/>
      <c r="S98" s="86">
        <v>87</v>
      </c>
    </row>
    <row r="99" spans="2:19" ht="18.75" x14ac:dyDescent="0.2">
      <c r="B99" s="103"/>
      <c r="C99" s="32"/>
      <c r="D99" s="44"/>
      <c r="E99" s="30"/>
      <c r="F99" s="33"/>
      <c r="G99" s="31"/>
      <c r="H99" s="31"/>
      <c r="I99" s="32"/>
      <c r="J99" s="90"/>
      <c r="K99" s="34"/>
      <c r="L99" s="37"/>
      <c r="S99" s="86">
        <v>88</v>
      </c>
    </row>
    <row r="100" spans="2:19" ht="18.75" x14ac:dyDescent="0.2">
      <c r="B100" s="103"/>
      <c r="C100" s="32"/>
      <c r="D100" s="44"/>
      <c r="E100" s="30"/>
      <c r="F100" s="33"/>
      <c r="G100" s="31"/>
      <c r="H100" s="31"/>
      <c r="I100" s="32"/>
      <c r="J100" s="90"/>
      <c r="K100" s="34"/>
      <c r="L100" s="37"/>
      <c r="S100" s="86">
        <v>89</v>
      </c>
    </row>
    <row r="101" spans="2:19" ht="18.75" x14ac:dyDescent="0.2">
      <c r="B101" s="103"/>
      <c r="C101" s="32"/>
      <c r="D101" s="44"/>
      <c r="E101" s="30"/>
      <c r="F101" s="33"/>
      <c r="G101" s="31"/>
      <c r="H101" s="31"/>
      <c r="I101" s="32"/>
      <c r="J101" s="90"/>
      <c r="K101" s="34"/>
      <c r="L101" s="37"/>
      <c r="S101" s="86">
        <v>90</v>
      </c>
    </row>
    <row r="102" spans="2:19" ht="18.75" x14ac:dyDescent="0.2">
      <c r="B102" s="103"/>
      <c r="C102" s="32"/>
      <c r="D102" s="44"/>
      <c r="E102" s="30"/>
      <c r="F102" s="33"/>
      <c r="G102" s="31"/>
      <c r="H102" s="31"/>
      <c r="I102" s="32"/>
      <c r="J102" s="90"/>
      <c r="K102" s="34"/>
      <c r="L102" s="37"/>
      <c r="S102" s="86">
        <v>91</v>
      </c>
    </row>
    <row r="103" spans="2:19" ht="18.75" x14ac:dyDescent="0.2">
      <c r="B103" s="103"/>
      <c r="C103" s="32"/>
      <c r="D103" s="44"/>
      <c r="E103" s="30"/>
      <c r="F103" s="33"/>
      <c r="G103" s="31"/>
      <c r="H103" s="31"/>
      <c r="I103" s="32"/>
      <c r="J103" s="90"/>
      <c r="K103" s="34"/>
      <c r="L103" s="37"/>
      <c r="S103" s="86">
        <v>92</v>
      </c>
    </row>
    <row r="104" spans="2:19" ht="18.75" x14ac:dyDescent="0.2">
      <c r="B104" s="103"/>
      <c r="C104" s="32"/>
      <c r="D104" s="44"/>
      <c r="E104" s="30"/>
      <c r="F104" s="33"/>
      <c r="G104" s="31"/>
      <c r="H104" s="31"/>
      <c r="I104" s="32"/>
      <c r="J104" s="90"/>
      <c r="K104" s="34"/>
      <c r="L104" s="37"/>
      <c r="S104" s="86">
        <v>93</v>
      </c>
    </row>
    <row r="105" spans="2:19" ht="18.75" x14ac:dyDescent="0.2">
      <c r="B105" s="103"/>
      <c r="C105" s="32"/>
      <c r="D105" s="44"/>
      <c r="E105" s="30"/>
      <c r="F105" s="33"/>
      <c r="G105" s="31"/>
      <c r="H105" s="31"/>
      <c r="I105" s="32"/>
      <c r="J105" s="90"/>
      <c r="K105" s="34"/>
      <c r="L105" s="37"/>
      <c r="S105" s="86">
        <v>94</v>
      </c>
    </row>
    <row r="106" spans="2:19" ht="18.75" x14ac:dyDescent="0.2">
      <c r="B106" s="103"/>
      <c r="C106" s="32"/>
      <c r="D106" s="44"/>
      <c r="E106" s="30"/>
      <c r="F106" s="33"/>
      <c r="G106" s="31"/>
      <c r="H106" s="31"/>
      <c r="I106" s="32"/>
      <c r="J106" s="90"/>
      <c r="K106" s="34"/>
      <c r="L106" s="37"/>
      <c r="S106" s="86">
        <v>95</v>
      </c>
    </row>
    <row r="107" spans="2:19" ht="18.75" x14ac:dyDescent="0.2">
      <c r="B107" s="103"/>
      <c r="C107" s="32"/>
      <c r="D107" s="44"/>
      <c r="E107" s="30"/>
      <c r="F107" s="33"/>
      <c r="G107" s="31"/>
      <c r="H107" s="31"/>
      <c r="I107" s="32"/>
      <c r="J107" s="90"/>
      <c r="K107" s="34"/>
      <c r="L107" s="37"/>
      <c r="S107" s="86">
        <v>96</v>
      </c>
    </row>
    <row r="108" spans="2:19" ht="18.75" x14ac:dyDescent="0.2">
      <c r="B108" s="103"/>
      <c r="C108" s="32"/>
      <c r="D108" s="44"/>
      <c r="E108" s="30"/>
      <c r="F108" s="33"/>
      <c r="G108" s="31"/>
      <c r="H108" s="31"/>
      <c r="I108" s="32"/>
      <c r="J108" s="90"/>
      <c r="K108" s="34"/>
      <c r="L108" s="37"/>
      <c r="S108" s="86">
        <v>97</v>
      </c>
    </row>
    <row r="109" spans="2:19" ht="18.75" x14ac:dyDescent="0.2">
      <c r="B109" s="103"/>
      <c r="C109" s="32"/>
      <c r="D109" s="44"/>
      <c r="E109" s="30"/>
      <c r="F109" s="33"/>
      <c r="G109" s="31"/>
      <c r="H109" s="31"/>
      <c r="I109" s="32"/>
      <c r="J109" s="90"/>
      <c r="K109" s="34"/>
      <c r="L109" s="37"/>
      <c r="S109" s="86">
        <v>98</v>
      </c>
    </row>
    <row r="110" spans="2:19" ht="18.75" x14ac:dyDescent="0.2">
      <c r="B110" s="103"/>
      <c r="C110" s="32"/>
      <c r="D110" s="44"/>
      <c r="E110" s="30"/>
      <c r="F110" s="33"/>
      <c r="G110" s="31"/>
      <c r="H110" s="31"/>
      <c r="I110" s="32"/>
      <c r="J110" s="90"/>
      <c r="K110" s="34"/>
      <c r="L110" s="37"/>
      <c r="S110" s="86">
        <v>99</v>
      </c>
    </row>
    <row r="111" spans="2:19" ht="18.75" x14ac:dyDescent="0.2">
      <c r="B111" s="103"/>
      <c r="C111" s="32"/>
      <c r="D111" s="44"/>
      <c r="E111" s="30"/>
      <c r="F111" s="33"/>
      <c r="G111" s="31"/>
      <c r="H111" s="31"/>
      <c r="I111" s="32"/>
      <c r="J111" s="90"/>
      <c r="K111" s="34"/>
      <c r="L111" s="37"/>
      <c r="S111" s="86">
        <v>100</v>
      </c>
    </row>
    <row r="112" spans="2:19" ht="18.75" x14ac:dyDescent="0.2">
      <c r="B112" s="103"/>
      <c r="C112" s="32"/>
      <c r="D112" s="44"/>
      <c r="E112" s="30"/>
      <c r="F112" s="33"/>
      <c r="G112" s="31"/>
      <c r="H112" s="31"/>
      <c r="I112" s="32"/>
      <c r="J112" s="90"/>
      <c r="K112" s="34"/>
      <c r="L112" s="37"/>
      <c r="S112" s="86">
        <v>101</v>
      </c>
    </row>
    <row r="113" spans="2:19" ht="18.75" x14ac:dyDescent="0.2">
      <c r="B113" s="103"/>
      <c r="C113" s="32"/>
      <c r="D113" s="44"/>
      <c r="E113" s="30"/>
      <c r="F113" s="33"/>
      <c r="G113" s="31"/>
      <c r="H113" s="31"/>
      <c r="I113" s="32"/>
      <c r="J113" s="90"/>
      <c r="K113" s="34"/>
      <c r="L113" s="37"/>
      <c r="S113" s="86">
        <v>102</v>
      </c>
    </row>
    <row r="114" spans="2:19" ht="18.75" x14ac:dyDescent="0.2">
      <c r="B114" s="103"/>
      <c r="C114" s="32"/>
      <c r="D114" s="44"/>
      <c r="E114" s="30"/>
      <c r="F114" s="33"/>
      <c r="G114" s="31"/>
      <c r="H114" s="31"/>
      <c r="I114" s="32"/>
      <c r="J114" s="90"/>
      <c r="K114" s="34"/>
      <c r="L114" s="37"/>
      <c r="S114" s="86">
        <v>103</v>
      </c>
    </row>
    <row r="115" spans="2:19" ht="18.75" x14ac:dyDescent="0.2">
      <c r="B115" s="103"/>
      <c r="C115" s="32"/>
      <c r="D115" s="44"/>
      <c r="E115" s="30"/>
      <c r="F115" s="33"/>
      <c r="G115" s="31"/>
      <c r="H115" s="31"/>
      <c r="I115" s="32"/>
      <c r="J115" s="90"/>
      <c r="K115" s="34"/>
      <c r="L115" s="37"/>
      <c r="S115" s="86">
        <v>104</v>
      </c>
    </row>
    <row r="116" spans="2:19" ht="18.75" x14ac:dyDescent="0.2">
      <c r="B116" s="103"/>
      <c r="C116" s="32"/>
      <c r="D116" s="44"/>
      <c r="E116" s="30"/>
      <c r="F116" s="33"/>
      <c r="G116" s="31"/>
      <c r="H116" s="31"/>
      <c r="I116" s="32"/>
      <c r="J116" s="90"/>
      <c r="K116" s="34"/>
      <c r="L116" s="37"/>
      <c r="S116" s="86">
        <v>105</v>
      </c>
    </row>
    <row r="117" spans="2:19" ht="18.75" x14ac:dyDescent="0.2">
      <c r="B117" s="103"/>
      <c r="C117" s="32"/>
      <c r="D117" s="44"/>
      <c r="E117" s="30"/>
      <c r="F117" s="33"/>
      <c r="G117" s="31"/>
      <c r="H117" s="31"/>
      <c r="I117" s="32"/>
      <c r="J117" s="90"/>
      <c r="K117" s="34"/>
      <c r="L117" s="37"/>
      <c r="S117" s="86">
        <v>106</v>
      </c>
    </row>
    <row r="118" spans="2:19" ht="18.75" x14ac:dyDescent="0.2">
      <c r="B118" s="103"/>
      <c r="C118" s="32"/>
      <c r="D118" s="44"/>
      <c r="E118" s="30"/>
      <c r="F118" s="33"/>
      <c r="G118" s="31"/>
      <c r="H118" s="31"/>
      <c r="I118" s="32"/>
      <c r="J118" s="90"/>
      <c r="K118" s="34"/>
      <c r="L118" s="37"/>
      <c r="S118" s="86">
        <v>107</v>
      </c>
    </row>
    <row r="119" spans="2:19" ht="18.75" x14ac:dyDescent="0.2">
      <c r="B119" s="103"/>
      <c r="C119" s="32"/>
      <c r="D119" s="44"/>
      <c r="E119" s="30"/>
      <c r="F119" s="33"/>
      <c r="G119" s="31"/>
      <c r="H119" s="31"/>
      <c r="I119" s="32"/>
      <c r="J119" s="90"/>
      <c r="K119" s="34"/>
      <c r="L119" s="37"/>
      <c r="S119" s="86">
        <v>108</v>
      </c>
    </row>
    <row r="120" spans="2:19" ht="18.75" x14ac:dyDescent="0.2">
      <c r="B120" s="103"/>
      <c r="C120" s="32"/>
      <c r="D120" s="44"/>
      <c r="E120" s="30"/>
      <c r="F120" s="33"/>
      <c r="G120" s="31"/>
      <c r="H120" s="31"/>
      <c r="I120" s="32"/>
      <c r="J120" s="90"/>
      <c r="K120" s="34"/>
      <c r="L120" s="37"/>
      <c r="S120" s="86">
        <v>109</v>
      </c>
    </row>
    <row r="121" spans="2:19" ht="18.75" x14ac:dyDescent="0.2">
      <c r="B121" s="103"/>
      <c r="C121" s="32"/>
      <c r="D121" s="44"/>
      <c r="E121" s="30"/>
      <c r="F121" s="33"/>
      <c r="G121" s="31"/>
      <c r="H121" s="31"/>
      <c r="I121" s="32"/>
      <c r="J121" s="90"/>
      <c r="K121" s="34"/>
      <c r="L121" s="37"/>
      <c r="S121" s="86">
        <v>110</v>
      </c>
    </row>
    <row r="122" spans="2:19" ht="18.75" x14ac:dyDescent="0.2">
      <c r="B122" s="103"/>
      <c r="C122" s="32"/>
      <c r="D122" s="44"/>
      <c r="E122" s="30"/>
      <c r="F122" s="33"/>
      <c r="G122" s="31"/>
      <c r="H122" s="31"/>
      <c r="I122" s="32"/>
      <c r="J122" s="90"/>
      <c r="K122" s="34"/>
      <c r="L122" s="37"/>
      <c r="S122" s="86">
        <v>111</v>
      </c>
    </row>
    <row r="123" spans="2:19" ht="18.75" x14ac:dyDescent="0.2">
      <c r="B123" s="103"/>
      <c r="C123" s="32"/>
      <c r="D123" s="44"/>
      <c r="E123" s="30"/>
      <c r="F123" s="33"/>
      <c r="G123" s="31"/>
      <c r="H123" s="31"/>
      <c r="I123" s="32"/>
      <c r="J123" s="90"/>
      <c r="K123" s="34"/>
      <c r="L123" s="37"/>
      <c r="S123" s="86">
        <v>112</v>
      </c>
    </row>
    <row r="124" spans="2:19" ht="18.75" x14ac:dyDescent="0.2">
      <c r="B124" s="103"/>
      <c r="C124" s="32"/>
      <c r="D124" s="44"/>
      <c r="E124" s="30"/>
      <c r="F124" s="33"/>
      <c r="G124" s="31"/>
      <c r="H124" s="31"/>
      <c r="I124" s="32"/>
      <c r="J124" s="90"/>
      <c r="K124" s="34"/>
      <c r="L124" s="37"/>
      <c r="S124" s="86">
        <v>113</v>
      </c>
    </row>
    <row r="125" spans="2:19" ht="18.75" x14ac:dyDescent="0.2">
      <c r="B125" s="103"/>
      <c r="C125" s="32"/>
      <c r="D125" s="44"/>
      <c r="E125" s="30"/>
      <c r="F125" s="33"/>
      <c r="G125" s="31"/>
      <c r="H125" s="31"/>
      <c r="I125" s="32"/>
      <c r="J125" s="90"/>
      <c r="K125" s="34"/>
      <c r="L125" s="37"/>
      <c r="S125" s="86">
        <v>114</v>
      </c>
    </row>
    <row r="126" spans="2:19" ht="18.75" x14ac:dyDescent="0.2">
      <c r="B126" s="103"/>
      <c r="C126" s="32"/>
      <c r="D126" s="44"/>
      <c r="E126" s="30"/>
      <c r="F126" s="33"/>
      <c r="G126" s="31"/>
      <c r="H126" s="31"/>
      <c r="I126" s="32"/>
      <c r="J126" s="90"/>
      <c r="K126" s="34"/>
      <c r="L126" s="37"/>
      <c r="S126" s="86">
        <v>115</v>
      </c>
    </row>
    <row r="127" spans="2:19" ht="18.75" x14ac:dyDescent="0.2">
      <c r="B127" s="103"/>
      <c r="C127" s="32"/>
      <c r="D127" s="44"/>
      <c r="E127" s="30"/>
      <c r="F127" s="33"/>
      <c r="G127" s="31"/>
      <c r="H127" s="31"/>
      <c r="I127" s="32"/>
      <c r="J127" s="90"/>
      <c r="K127" s="34"/>
      <c r="L127" s="37"/>
      <c r="S127" s="86">
        <v>116</v>
      </c>
    </row>
    <row r="128" spans="2:19" ht="18.75" x14ac:dyDescent="0.2">
      <c r="B128" s="103"/>
      <c r="C128" s="32"/>
      <c r="D128" s="44"/>
      <c r="E128" s="30"/>
      <c r="F128" s="33"/>
      <c r="G128" s="31"/>
      <c r="H128" s="31"/>
      <c r="I128" s="32"/>
      <c r="J128" s="90"/>
      <c r="K128" s="34"/>
      <c r="L128" s="37"/>
      <c r="S128" s="86">
        <v>117</v>
      </c>
    </row>
    <row r="129" spans="2:19" ht="18.75" x14ac:dyDescent="0.2">
      <c r="B129" s="103"/>
      <c r="C129" s="32"/>
      <c r="D129" s="44"/>
      <c r="E129" s="30"/>
      <c r="F129" s="33"/>
      <c r="G129" s="31"/>
      <c r="H129" s="31"/>
      <c r="I129" s="32"/>
      <c r="J129" s="90"/>
      <c r="K129" s="34"/>
      <c r="L129" s="37"/>
      <c r="S129" s="86">
        <v>118</v>
      </c>
    </row>
    <row r="130" spans="2:19" ht="18.75" x14ac:dyDescent="0.2">
      <c r="B130" s="103"/>
      <c r="C130" s="32"/>
      <c r="D130" s="44"/>
      <c r="E130" s="30"/>
      <c r="F130" s="33"/>
      <c r="G130" s="31"/>
      <c r="H130" s="31"/>
      <c r="I130" s="32"/>
      <c r="J130" s="90"/>
      <c r="K130" s="34"/>
      <c r="L130" s="37"/>
      <c r="S130" s="86">
        <v>119</v>
      </c>
    </row>
    <row r="131" spans="2:19" ht="18.75" x14ac:dyDescent="0.2">
      <c r="B131" s="103"/>
      <c r="C131" s="32"/>
      <c r="D131" s="44"/>
      <c r="E131" s="30"/>
      <c r="F131" s="33"/>
      <c r="G131" s="31"/>
      <c r="H131" s="31"/>
      <c r="I131" s="32"/>
      <c r="J131" s="90"/>
      <c r="K131" s="34"/>
      <c r="L131" s="37"/>
      <c r="S131" s="86">
        <v>120</v>
      </c>
    </row>
    <row r="132" spans="2:19" ht="18.75" x14ac:dyDescent="0.2">
      <c r="B132" s="103"/>
      <c r="C132" s="32"/>
      <c r="D132" s="44"/>
      <c r="E132" s="30"/>
      <c r="F132" s="33"/>
      <c r="G132" s="31"/>
      <c r="H132" s="31"/>
      <c r="I132" s="32"/>
      <c r="J132" s="90"/>
      <c r="K132" s="34"/>
      <c r="L132" s="37"/>
      <c r="S132" s="86">
        <v>121</v>
      </c>
    </row>
    <row r="133" spans="2:19" ht="18.75" x14ac:dyDescent="0.2">
      <c r="B133" s="103"/>
      <c r="C133" s="32"/>
      <c r="D133" s="44"/>
      <c r="E133" s="30"/>
      <c r="F133" s="33"/>
      <c r="G133" s="31"/>
      <c r="H133" s="31"/>
      <c r="I133" s="32"/>
      <c r="J133" s="90"/>
      <c r="K133" s="34"/>
      <c r="L133" s="37"/>
      <c r="S133" s="86">
        <v>122</v>
      </c>
    </row>
    <row r="134" spans="2:19" ht="18.75" x14ac:dyDescent="0.2">
      <c r="B134" s="103"/>
      <c r="C134" s="32"/>
      <c r="D134" s="44"/>
      <c r="E134" s="30"/>
      <c r="F134" s="33"/>
      <c r="G134" s="31"/>
      <c r="H134" s="31"/>
      <c r="I134" s="32"/>
      <c r="J134" s="90"/>
      <c r="K134" s="34"/>
      <c r="L134" s="37"/>
      <c r="S134" s="86">
        <v>123</v>
      </c>
    </row>
    <row r="135" spans="2:19" ht="18.75" x14ac:dyDescent="0.2">
      <c r="B135" s="103"/>
      <c r="C135" s="32"/>
      <c r="D135" s="44"/>
      <c r="E135" s="30"/>
      <c r="F135" s="33"/>
      <c r="G135" s="31"/>
      <c r="H135" s="31"/>
      <c r="I135" s="32"/>
      <c r="J135" s="90"/>
      <c r="K135" s="34"/>
      <c r="L135" s="37"/>
      <c r="S135" s="86">
        <v>124</v>
      </c>
    </row>
    <row r="136" spans="2:19" ht="18.75" x14ac:dyDescent="0.2">
      <c r="B136" s="103"/>
      <c r="C136" s="32"/>
      <c r="D136" s="44"/>
      <c r="E136" s="30"/>
      <c r="F136" s="33"/>
      <c r="G136" s="31"/>
      <c r="H136" s="31"/>
      <c r="I136" s="32"/>
      <c r="J136" s="90"/>
      <c r="K136" s="34"/>
      <c r="L136" s="37"/>
      <c r="S136" s="86">
        <v>125</v>
      </c>
    </row>
    <row r="137" spans="2:19" ht="18.75" x14ac:dyDescent="0.2">
      <c r="B137" s="103"/>
      <c r="C137" s="32"/>
      <c r="D137" s="44"/>
      <c r="E137" s="30"/>
      <c r="F137" s="33"/>
      <c r="G137" s="31"/>
      <c r="H137" s="31"/>
      <c r="I137" s="32"/>
      <c r="J137" s="90"/>
      <c r="K137" s="34"/>
      <c r="L137" s="37"/>
      <c r="S137" s="86">
        <v>126</v>
      </c>
    </row>
    <row r="138" spans="2:19" ht="18.75" x14ac:dyDescent="0.2">
      <c r="B138" s="103"/>
      <c r="C138" s="32"/>
      <c r="D138" s="44"/>
      <c r="E138" s="30"/>
      <c r="F138" s="33"/>
      <c r="G138" s="31"/>
      <c r="H138" s="31"/>
      <c r="I138" s="32"/>
      <c r="J138" s="90"/>
      <c r="K138" s="34"/>
      <c r="L138" s="37"/>
      <c r="S138" s="86">
        <v>127</v>
      </c>
    </row>
    <row r="139" spans="2:19" ht="18.75" x14ac:dyDescent="0.2">
      <c r="B139" s="103"/>
      <c r="C139" s="32"/>
      <c r="D139" s="44"/>
      <c r="E139" s="30"/>
      <c r="F139" s="33"/>
      <c r="G139" s="31"/>
      <c r="H139" s="31"/>
      <c r="I139" s="32"/>
      <c r="J139" s="90"/>
      <c r="K139" s="34"/>
      <c r="L139" s="37"/>
      <c r="S139" s="86">
        <v>128</v>
      </c>
    </row>
    <row r="140" spans="2:19" ht="18.75" x14ac:dyDescent="0.2">
      <c r="B140" s="103"/>
      <c r="C140" s="32"/>
      <c r="D140" s="44"/>
      <c r="E140" s="30"/>
      <c r="F140" s="33"/>
      <c r="G140" s="31"/>
      <c r="H140" s="31"/>
      <c r="I140" s="32"/>
      <c r="J140" s="90"/>
      <c r="K140" s="34"/>
      <c r="L140" s="37"/>
      <c r="S140" s="86">
        <v>129</v>
      </c>
    </row>
    <row r="141" spans="2:19" ht="18.75" x14ac:dyDescent="0.2">
      <c r="B141" s="103"/>
      <c r="C141" s="32"/>
      <c r="D141" s="44"/>
      <c r="E141" s="30"/>
      <c r="F141" s="33"/>
      <c r="G141" s="31"/>
      <c r="H141" s="31"/>
      <c r="I141" s="32"/>
      <c r="J141" s="90"/>
      <c r="K141" s="34"/>
      <c r="L141" s="37"/>
      <c r="S141" s="86">
        <v>130</v>
      </c>
    </row>
    <row r="142" spans="2:19" ht="18.75" x14ac:dyDescent="0.2">
      <c r="B142" s="103"/>
      <c r="C142" s="32"/>
      <c r="D142" s="44"/>
      <c r="E142" s="30"/>
      <c r="F142" s="33"/>
      <c r="G142" s="31"/>
      <c r="H142" s="31"/>
      <c r="I142" s="32"/>
      <c r="J142" s="90"/>
      <c r="K142" s="34"/>
      <c r="L142" s="37"/>
      <c r="S142" s="86">
        <v>131</v>
      </c>
    </row>
    <row r="143" spans="2:19" ht="18.75" x14ac:dyDescent="0.2">
      <c r="B143" s="103"/>
      <c r="C143" s="32"/>
      <c r="D143" s="44"/>
      <c r="E143" s="30"/>
      <c r="F143" s="33"/>
      <c r="G143" s="31"/>
      <c r="H143" s="31"/>
      <c r="I143" s="32"/>
      <c r="J143" s="90"/>
      <c r="K143" s="34"/>
      <c r="L143" s="37"/>
      <c r="S143" s="86">
        <v>132</v>
      </c>
    </row>
    <row r="144" spans="2:19" ht="18.75" x14ac:dyDescent="0.2">
      <c r="B144" s="103"/>
      <c r="C144" s="32"/>
      <c r="D144" s="44"/>
      <c r="E144" s="30"/>
      <c r="F144" s="33"/>
      <c r="G144" s="31"/>
      <c r="H144" s="31"/>
      <c r="I144" s="32"/>
      <c r="J144" s="90"/>
      <c r="K144" s="34"/>
      <c r="L144" s="37"/>
      <c r="S144" s="86">
        <v>133</v>
      </c>
    </row>
    <row r="145" spans="2:19" ht="18.75" x14ac:dyDescent="0.2">
      <c r="B145" s="103"/>
      <c r="C145" s="32"/>
      <c r="D145" s="44"/>
      <c r="E145" s="30"/>
      <c r="F145" s="33"/>
      <c r="G145" s="31"/>
      <c r="H145" s="31"/>
      <c r="I145" s="32"/>
      <c r="J145" s="90"/>
      <c r="K145" s="34"/>
      <c r="L145" s="37"/>
      <c r="S145" s="86">
        <v>134</v>
      </c>
    </row>
    <row r="146" spans="2:19" ht="18.75" x14ac:dyDescent="0.2">
      <c r="B146" s="103"/>
      <c r="C146" s="32"/>
      <c r="D146" s="44"/>
      <c r="E146" s="30"/>
      <c r="F146" s="33"/>
      <c r="G146" s="31"/>
      <c r="H146" s="31"/>
      <c r="I146" s="32"/>
      <c r="J146" s="90"/>
      <c r="K146" s="34"/>
      <c r="L146" s="37"/>
      <c r="S146" s="86">
        <v>135</v>
      </c>
    </row>
    <row r="147" spans="2:19" ht="18.75" x14ac:dyDescent="0.2">
      <c r="B147" s="103"/>
      <c r="C147" s="32"/>
      <c r="D147" s="44"/>
      <c r="E147" s="30"/>
      <c r="F147" s="33"/>
      <c r="G147" s="31"/>
      <c r="H147" s="31"/>
      <c r="I147" s="32"/>
      <c r="J147" s="90"/>
      <c r="K147" s="34"/>
      <c r="L147" s="37"/>
      <c r="S147" s="86">
        <v>136</v>
      </c>
    </row>
    <row r="148" spans="2:19" ht="18.75" x14ac:dyDescent="0.2">
      <c r="B148" s="103"/>
      <c r="C148" s="32"/>
      <c r="D148" s="44"/>
      <c r="E148" s="30"/>
      <c r="F148" s="33"/>
      <c r="G148" s="31"/>
      <c r="H148" s="31"/>
      <c r="I148" s="32"/>
      <c r="J148" s="90"/>
      <c r="K148" s="34"/>
      <c r="L148" s="37"/>
      <c r="S148" s="86">
        <v>137</v>
      </c>
    </row>
    <row r="149" spans="2:19" ht="18.75" x14ac:dyDescent="0.2">
      <c r="B149" s="103"/>
      <c r="C149" s="32"/>
      <c r="D149" s="44"/>
      <c r="E149" s="30"/>
      <c r="F149" s="33"/>
      <c r="G149" s="31"/>
      <c r="H149" s="31"/>
      <c r="I149" s="32"/>
      <c r="J149" s="90"/>
      <c r="K149" s="34"/>
      <c r="L149" s="37"/>
      <c r="S149" s="86">
        <v>138</v>
      </c>
    </row>
    <row r="150" spans="2:19" ht="18.75" x14ac:dyDescent="0.2">
      <c r="B150" s="103"/>
      <c r="C150" s="32"/>
      <c r="D150" s="44"/>
      <c r="E150" s="30"/>
      <c r="F150" s="33"/>
      <c r="G150" s="31"/>
      <c r="H150" s="31"/>
      <c r="I150" s="32"/>
      <c r="J150" s="90"/>
      <c r="K150" s="34"/>
      <c r="L150" s="37"/>
      <c r="S150" s="86">
        <v>139</v>
      </c>
    </row>
    <row r="151" spans="2:19" ht="18.75" x14ac:dyDescent="0.2">
      <c r="B151" s="103"/>
      <c r="C151" s="32"/>
      <c r="D151" s="44"/>
      <c r="E151" s="30"/>
      <c r="F151" s="33"/>
      <c r="G151" s="31"/>
      <c r="H151" s="31"/>
      <c r="I151" s="32"/>
      <c r="J151" s="90"/>
      <c r="K151" s="34"/>
      <c r="L151" s="37"/>
      <c r="S151" s="86">
        <v>140</v>
      </c>
    </row>
    <row r="152" spans="2:19" ht="18.75" x14ac:dyDescent="0.2">
      <c r="B152" s="103"/>
      <c r="C152" s="32"/>
      <c r="D152" s="44"/>
      <c r="E152" s="30"/>
      <c r="F152" s="33"/>
      <c r="G152" s="31"/>
      <c r="H152" s="31"/>
      <c r="I152" s="32"/>
      <c r="J152" s="90"/>
      <c r="K152" s="34"/>
      <c r="L152" s="37"/>
      <c r="S152" s="86">
        <v>141</v>
      </c>
    </row>
    <row r="153" spans="2:19" ht="18.75" x14ac:dyDescent="0.2">
      <c r="B153" s="103"/>
      <c r="C153" s="32"/>
      <c r="D153" s="44"/>
      <c r="E153" s="30"/>
      <c r="F153" s="33"/>
      <c r="G153" s="31"/>
      <c r="H153" s="31"/>
      <c r="I153" s="32"/>
      <c r="J153" s="90"/>
      <c r="K153" s="34"/>
      <c r="L153" s="37"/>
      <c r="S153" s="86">
        <v>142</v>
      </c>
    </row>
    <row r="154" spans="2:19" ht="18.75" x14ac:dyDescent="0.2">
      <c r="B154" s="103"/>
      <c r="C154" s="32"/>
      <c r="D154" s="44"/>
      <c r="E154" s="30"/>
      <c r="F154" s="33"/>
      <c r="G154" s="31"/>
      <c r="H154" s="31"/>
      <c r="I154" s="32"/>
      <c r="J154" s="90"/>
      <c r="K154" s="34"/>
      <c r="L154" s="37"/>
      <c r="S154" s="86">
        <v>143</v>
      </c>
    </row>
    <row r="155" spans="2:19" ht="18.75" x14ac:dyDescent="0.2">
      <c r="B155" s="103"/>
      <c r="C155" s="32"/>
      <c r="D155" s="44"/>
      <c r="E155" s="30"/>
      <c r="F155" s="33"/>
      <c r="G155" s="31"/>
      <c r="H155" s="31"/>
      <c r="I155" s="32"/>
      <c r="J155" s="90"/>
      <c r="K155" s="34"/>
      <c r="L155" s="37"/>
      <c r="S155" s="86">
        <v>144</v>
      </c>
    </row>
    <row r="156" spans="2:19" ht="18.75" x14ac:dyDescent="0.2">
      <c r="B156" s="103"/>
      <c r="C156" s="32"/>
      <c r="D156" s="44"/>
      <c r="E156" s="30"/>
      <c r="F156" s="33"/>
      <c r="G156" s="31"/>
      <c r="H156" s="31"/>
      <c r="I156" s="32"/>
      <c r="J156" s="90"/>
      <c r="K156" s="34"/>
      <c r="L156" s="37"/>
      <c r="S156" s="86">
        <v>145</v>
      </c>
    </row>
    <row r="157" spans="2:19" ht="18.75" x14ac:dyDescent="0.2">
      <c r="B157" s="103"/>
      <c r="C157" s="32"/>
      <c r="D157" s="44"/>
      <c r="E157" s="30"/>
      <c r="F157" s="33"/>
      <c r="G157" s="31"/>
      <c r="H157" s="31"/>
      <c r="I157" s="32"/>
      <c r="J157" s="90"/>
      <c r="K157" s="34"/>
      <c r="L157" s="37"/>
      <c r="S157" s="86">
        <v>146</v>
      </c>
    </row>
    <row r="158" spans="2:19" ht="18.75" x14ac:dyDescent="0.2">
      <c r="B158" s="103"/>
      <c r="C158" s="32"/>
      <c r="D158" s="44"/>
      <c r="E158" s="30"/>
      <c r="F158" s="33"/>
      <c r="G158" s="31"/>
      <c r="H158" s="31"/>
      <c r="I158" s="32"/>
      <c r="J158" s="90"/>
      <c r="K158" s="34"/>
      <c r="L158" s="37"/>
      <c r="S158" s="86">
        <v>147</v>
      </c>
    </row>
    <row r="159" spans="2:19" ht="18.75" x14ac:dyDescent="0.2">
      <c r="B159" s="103"/>
      <c r="C159" s="32"/>
      <c r="D159" s="44"/>
      <c r="E159" s="30"/>
      <c r="F159" s="33"/>
      <c r="G159" s="31"/>
      <c r="H159" s="31"/>
      <c r="I159" s="32"/>
      <c r="J159" s="90"/>
      <c r="K159" s="34"/>
      <c r="L159" s="37"/>
      <c r="S159" s="86">
        <v>148</v>
      </c>
    </row>
    <row r="160" spans="2:19" ht="18.75" x14ac:dyDescent="0.2">
      <c r="B160" s="103"/>
      <c r="C160" s="32"/>
      <c r="D160" s="44"/>
      <c r="E160" s="30"/>
      <c r="F160" s="33"/>
      <c r="G160" s="31"/>
      <c r="H160" s="31"/>
      <c r="I160" s="32"/>
      <c r="J160" s="90"/>
      <c r="K160" s="34"/>
      <c r="L160" s="37"/>
      <c r="S160" s="86">
        <v>149</v>
      </c>
    </row>
    <row r="161" spans="2:19" ht="18.75" x14ac:dyDescent="0.2">
      <c r="B161" s="103"/>
      <c r="C161" s="32"/>
      <c r="D161" s="44"/>
      <c r="E161" s="30"/>
      <c r="F161" s="33"/>
      <c r="G161" s="31"/>
      <c r="H161" s="31"/>
      <c r="I161" s="32"/>
      <c r="J161" s="90"/>
      <c r="K161" s="34"/>
      <c r="L161" s="37"/>
      <c r="S161" s="86">
        <v>150</v>
      </c>
    </row>
    <row r="162" spans="2:19" ht="18.75" x14ac:dyDescent="0.2">
      <c r="B162" s="103"/>
      <c r="C162" s="32"/>
      <c r="D162" s="44"/>
      <c r="E162" s="30"/>
      <c r="F162" s="33"/>
      <c r="G162" s="31"/>
      <c r="H162" s="31"/>
      <c r="I162" s="32"/>
      <c r="J162" s="90"/>
      <c r="K162" s="34"/>
      <c r="L162" s="37"/>
      <c r="S162" s="86">
        <v>151</v>
      </c>
    </row>
    <row r="163" spans="2:19" ht="18.75" x14ac:dyDescent="0.2">
      <c r="B163" s="103"/>
      <c r="C163" s="32"/>
      <c r="D163" s="44"/>
      <c r="E163" s="30"/>
      <c r="F163" s="33"/>
      <c r="G163" s="31"/>
      <c r="H163" s="31"/>
      <c r="I163" s="32"/>
      <c r="J163" s="90"/>
      <c r="K163" s="34"/>
      <c r="L163" s="37"/>
      <c r="S163" s="86">
        <v>152</v>
      </c>
    </row>
    <row r="164" spans="2:19" ht="18.75" x14ac:dyDescent="0.2">
      <c r="B164" s="103"/>
      <c r="C164" s="32"/>
      <c r="D164" s="44"/>
      <c r="E164" s="30"/>
      <c r="F164" s="33"/>
      <c r="G164" s="31"/>
      <c r="H164" s="31"/>
      <c r="I164" s="32"/>
      <c r="J164" s="90"/>
      <c r="K164" s="34"/>
      <c r="L164" s="37"/>
      <c r="S164" s="86">
        <v>153</v>
      </c>
    </row>
    <row r="165" spans="2:19" ht="18.75" x14ac:dyDescent="0.2">
      <c r="B165" s="103"/>
      <c r="C165" s="32"/>
      <c r="D165" s="44"/>
      <c r="E165" s="30"/>
      <c r="F165" s="33"/>
      <c r="G165" s="31"/>
      <c r="H165" s="31"/>
      <c r="I165" s="32"/>
      <c r="J165" s="90"/>
      <c r="K165" s="34"/>
      <c r="L165" s="37"/>
      <c r="S165" s="86">
        <v>154</v>
      </c>
    </row>
    <row r="166" spans="2:19" ht="18.75" x14ac:dyDescent="0.2">
      <c r="B166" s="103"/>
      <c r="C166" s="32"/>
      <c r="D166" s="44"/>
      <c r="E166" s="30"/>
      <c r="F166" s="33"/>
      <c r="G166" s="31"/>
      <c r="H166" s="31"/>
      <c r="I166" s="32"/>
      <c r="J166" s="90"/>
      <c r="K166" s="34"/>
      <c r="L166" s="37"/>
      <c r="S166" s="86">
        <v>155</v>
      </c>
    </row>
    <row r="167" spans="2:19" ht="18.75" x14ac:dyDescent="0.2">
      <c r="B167" s="103"/>
      <c r="C167" s="32"/>
      <c r="D167" s="44"/>
      <c r="E167" s="30"/>
      <c r="F167" s="33"/>
      <c r="G167" s="31"/>
      <c r="H167" s="31"/>
      <c r="I167" s="32"/>
      <c r="J167" s="90"/>
      <c r="K167" s="34"/>
      <c r="L167" s="37"/>
      <c r="S167" s="86">
        <v>156</v>
      </c>
    </row>
    <row r="168" spans="2:19" ht="18.75" x14ac:dyDescent="0.2">
      <c r="B168" s="103"/>
      <c r="C168" s="32"/>
      <c r="D168" s="44"/>
      <c r="E168" s="30"/>
      <c r="F168" s="33"/>
      <c r="G168" s="31"/>
      <c r="H168" s="31"/>
      <c r="I168" s="32"/>
      <c r="J168" s="90"/>
      <c r="K168" s="34"/>
      <c r="L168" s="37"/>
      <c r="S168" s="86">
        <v>157</v>
      </c>
    </row>
    <row r="169" spans="2:19" ht="18.75" x14ac:dyDescent="0.2">
      <c r="B169" s="103"/>
      <c r="C169" s="32"/>
      <c r="D169" s="44"/>
      <c r="E169" s="30"/>
      <c r="F169" s="33"/>
      <c r="G169" s="31"/>
      <c r="H169" s="31"/>
      <c r="I169" s="32"/>
      <c r="J169" s="90"/>
      <c r="K169" s="34"/>
      <c r="L169" s="37"/>
      <c r="S169" s="86">
        <v>158</v>
      </c>
    </row>
    <row r="170" spans="2:19" ht="18.75" x14ac:dyDescent="0.2">
      <c r="B170" s="103"/>
      <c r="C170" s="32"/>
      <c r="D170" s="44"/>
      <c r="E170" s="30"/>
      <c r="F170" s="33"/>
      <c r="G170" s="31"/>
      <c r="H170" s="31"/>
      <c r="I170" s="32"/>
      <c r="J170" s="90"/>
      <c r="K170" s="34"/>
      <c r="L170" s="37"/>
      <c r="S170" s="86">
        <v>159</v>
      </c>
    </row>
    <row r="171" spans="2:19" ht="18.75" x14ac:dyDescent="0.2">
      <c r="B171" s="103"/>
      <c r="C171" s="32"/>
      <c r="D171" s="44"/>
      <c r="E171" s="30"/>
      <c r="F171" s="33"/>
      <c r="G171" s="31"/>
      <c r="H171" s="31"/>
      <c r="I171" s="32"/>
      <c r="J171" s="90"/>
      <c r="K171" s="34"/>
      <c r="L171" s="37"/>
      <c r="S171" s="86">
        <v>160</v>
      </c>
    </row>
    <row r="172" spans="2:19" ht="18.75" x14ac:dyDescent="0.2">
      <c r="B172" s="103"/>
      <c r="C172" s="32"/>
      <c r="D172" s="44"/>
      <c r="E172" s="30"/>
      <c r="F172" s="33"/>
      <c r="G172" s="31"/>
      <c r="H172" s="31"/>
      <c r="I172" s="32"/>
      <c r="J172" s="90"/>
      <c r="K172" s="34"/>
      <c r="L172" s="37"/>
      <c r="S172" s="86">
        <v>161</v>
      </c>
    </row>
    <row r="173" spans="2:19" ht="18.75" x14ac:dyDescent="0.2">
      <c r="B173" s="103"/>
      <c r="C173" s="32"/>
      <c r="D173" s="44"/>
      <c r="E173" s="30"/>
      <c r="F173" s="33"/>
      <c r="G173" s="31"/>
      <c r="H173" s="31"/>
      <c r="I173" s="32"/>
      <c r="J173" s="90"/>
      <c r="K173" s="34"/>
      <c r="L173" s="37"/>
      <c r="S173" s="86">
        <v>162</v>
      </c>
    </row>
    <row r="174" spans="2:19" ht="18.75" x14ac:dyDescent="0.2">
      <c r="B174" s="103"/>
      <c r="C174" s="32"/>
      <c r="D174" s="44"/>
      <c r="E174" s="30"/>
      <c r="F174" s="33"/>
      <c r="G174" s="31"/>
      <c r="H174" s="31"/>
      <c r="I174" s="32"/>
      <c r="J174" s="90"/>
      <c r="K174" s="34"/>
      <c r="L174" s="37"/>
      <c r="S174" s="86">
        <v>163</v>
      </c>
    </row>
    <row r="175" spans="2:19" ht="18.75" x14ac:dyDescent="0.2">
      <c r="B175" s="103"/>
      <c r="C175" s="32"/>
      <c r="D175" s="44"/>
      <c r="E175" s="30"/>
      <c r="F175" s="33"/>
      <c r="G175" s="31"/>
      <c r="H175" s="31"/>
      <c r="I175" s="32"/>
      <c r="J175" s="90"/>
      <c r="K175" s="34"/>
      <c r="L175" s="37"/>
      <c r="S175" s="86">
        <v>164</v>
      </c>
    </row>
    <row r="176" spans="2:19" ht="18.75" x14ac:dyDescent="0.2">
      <c r="B176" s="103"/>
      <c r="C176" s="32"/>
      <c r="D176" s="44"/>
      <c r="E176" s="30"/>
      <c r="F176" s="33"/>
      <c r="G176" s="31"/>
      <c r="H176" s="31"/>
      <c r="I176" s="32"/>
      <c r="J176" s="90"/>
      <c r="K176" s="34"/>
      <c r="L176" s="37"/>
      <c r="S176" s="86">
        <v>165</v>
      </c>
    </row>
    <row r="177" spans="2:19" ht="18.75" x14ac:dyDescent="0.2">
      <c r="B177" s="103"/>
      <c r="C177" s="32"/>
      <c r="D177" s="44"/>
      <c r="E177" s="30"/>
      <c r="F177" s="33"/>
      <c r="G177" s="31"/>
      <c r="H177" s="31"/>
      <c r="I177" s="32"/>
      <c r="J177" s="90"/>
      <c r="K177" s="34"/>
      <c r="L177" s="37"/>
      <c r="S177" s="86">
        <v>166</v>
      </c>
    </row>
    <row r="178" spans="2:19" ht="18.75" x14ac:dyDescent="0.2">
      <c r="B178" s="103"/>
      <c r="C178" s="32"/>
      <c r="D178" s="44"/>
      <c r="E178" s="30"/>
      <c r="F178" s="33"/>
      <c r="G178" s="31"/>
      <c r="H178" s="31"/>
      <c r="I178" s="32"/>
      <c r="J178" s="90"/>
      <c r="K178" s="34"/>
      <c r="L178" s="37"/>
      <c r="S178" s="86">
        <v>167</v>
      </c>
    </row>
    <row r="179" spans="2:19" ht="18.75" x14ac:dyDescent="0.2">
      <c r="B179" s="103"/>
      <c r="C179" s="32"/>
      <c r="D179" s="44"/>
      <c r="E179" s="30"/>
      <c r="F179" s="33"/>
      <c r="G179" s="31"/>
      <c r="H179" s="31"/>
      <c r="I179" s="32"/>
      <c r="J179" s="90"/>
      <c r="K179" s="34"/>
      <c r="L179" s="37"/>
      <c r="S179" s="86">
        <v>168</v>
      </c>
    </row>
    <row r="180" spans="2:19" ht="18.75" x14ac:dyDescent="0.2">
      <c r="B180" s="103"/>
      <c r="C180" s="32"/>
      <c r="D180" s="44"/>
      <c r="E180" s="30"/>
      <c r="F180" s="33"/>
      <c r="G180" s="31"/>
      <c r="H180" s="31"/>
      <c r="I180" s="32"/>
      <c r="J180" s="90"/>
      <c r="K180" s="34"/>
      <c r="L180" s="37"/>
      <c r="S180" s="86">
        <v>169</v>
      </c>
    </row>
    <row r="181" spans="2:19" ht="18.75" x14ac:dyDescent="0.2">
      <c r="B181" s="103"/>
      <c r="C181" s="32"/>
      <c r="D181" s="44"/>
      <c r="E181" s="30"/>
      <c r="F181" s="33"/>
      <c r="G181" s="31"/>
      <c r="H181" s="31"/>
      <c r="I181" s="32"/>
      <c r="J181" s="90"/>
      <c r="K181" s="34"/>
      <c r="L181" s="37"/>
      <c r="S181" s="86">
        <v>170</v>
      </c>
    </row>
    <row r="182" spans="2:19" ht="18.75" x14ac:dyDescent="0.2">
      <c r="B182" s="103"/>
      <c r="C182" s="32"/>
      <c r="D182" s="44"/>
      <c r="E182" s="30"/>
      <c r="F182" s="33"/>
      <c r="G182" s="31"/>
      <c r="H182" s="31"/>
      <c r="I182" s="32"/>
      <c r="J182" s="90"/>
      <c r="K182" s="34"/>
      <c r="L182" s="37"/>
      <c r="S182" s="86">
        <v>171</v>
      </c>
    </row>
    <row r="183" spans="2:19" ht="18.75" x14ac:dyDescent="0.2">
      <c r="B183" s="103"/>
      <c r="C183" s="32"/>
      <c r="D183" s="44"/>
      <c r="E183" s="30"/>
      <c r="F183" s="33"/>
      <c r="G183" s="31"/>
      <c r="H183" s="31"/>
      <c r="I183" s="32"/>
      <c r="J183" s="90"/>
      <c r="K183" s="34"/>
      <c r="L183" s="37"/>
      <c r="S183" s="86">
        <v>172</v>
      </c>
    </row>
    <row r="184" spans="2:19" ht="18.75" x14ac:dyDescent="0.2">
      <c r="B184" s="103"/>
      <c r="C184" s="32"/>
      <c r="D184" s="44"/>
      <c r="E184" s="30"/>
      <c r="F184" s="33"/>
      <c r="G184" s="31"/>
      <c r="H184" s="31"/>
      <c r="I184" s="32"/>
      <c r="J184" s="90"/>
      <c r="K184" s="34"/>
      <c r="L184" s="37"/>
      <c r="S184" s="86">
        <v>173</v>
      </c>
    </row>
    <row r="185" spans="2:19" ht="18.75" x14ac:dyDescent="0.2">
      <c r="B185" s="103"/>
      <c r="C185" s="32"/>
      <c r="D185" s="44"/>
      <c r="E185" s="30"/>
      <c r="F185" s="33"/>
      <c r="G185" s="31"/>
      <c r="H185" s="31"/>
      <c r="I185" s="32"/>
      <c r="J185" s="90"/>
      <c r="K185" s="34"/>
      <c r="L185" s="37"/>
      <c r="S185" s="86">
        <v>174</v>
      </c>
    </row>
    <row r="186" spans="2:19" ht="18.75" x14ac:dyDescent="0.2">
      <c r="B186" s="103"/>
      <c r="C186" s="32"/>
      <c r="D186" s="44"/>
      <c r="E186" s="30"/>
      <c r="F186" s="33"/>
      <c r="G186" s="31"/>
      <c r="H186" s="31"/>
      <c r="I186" s="32"/>
      <c r="J186" s="90"/>
      <c r="K186" s="34"/>
      <c r="L186" s="37"/>
      <c r="S186" s="86">
        <v>175</v>
      </c>
    </row>
    <row r="187" spans="2:19" ht="18.75" x14ac:dyDescent="0.2">
      <c r="B187" s="103"/>
      <c r="C187" s="32"/>
      <c r="D187" s="44"/>
      <c r="E187" s="30"/>
      <c r="F187" s="33"/>
      <c r="G187" s="31"/>
      <c r="H187" s="31"/>
      <c r="I187" s="32"/>
      <c r="J187" s="90"/>
      <c r="K187" s="34"/>
      <c r="L187" s="37"/>
      <c r="S187" s="86">
        <v>176</v>
      </c>
    </row>
    <row r="188" spans="2:19" ht="18.75" x14ac:dyDescent="0.2">
      <c r="B188" s="103"/>
      <c r="C188" s="32"/>
      <c r="D188" s="44"/>
      <c r="E188" s="30"/>
      <c r="F188" s="33"/>
      <c r="G188" s="31"/>
      <c r="H188" s="31"/>
      <c r="I188" s="32"/>
      <c r="J188" s="90"/>
      <c r="K188" s="34"/>
      <c r="L188" s="37"/>
      <c r="S188" s="86">
        <v>177</v>
      </c>
    </row>
    <row r="189" spans="2:19" ht="18.75" x14ac:dyDescent="0.2">
      <c r="B189" s="103"/>
      <c r="C189" s="32"/>
      <c r="D189" s="44"/>
      <c r="E189" s="30"/>
      <c r="F189" s="33"/>
      <c r="G189" s="31"/>
      <c r="H189" s="31"/>
      <c r="I189" s="32"/>
      <c r="J189" s="90"/>
      <c r="K189" s="34"/>
      <c r="L189" s="37"/>
      <c r="S189" s="86">
        <v>178</v>
      </c>
    </row>
    <row r="190" spans="2:19" ht="18.75" x14ac:dyDescent="0.2">
      <c r="B190" s="103"/>
      <c r="C190" s="32"/>
      <c r="D190" s="44"/>
      <c r="E190" s="30"/>
      <c r="F190" s="33"/>
      <c r="G190" s="31"/>
      <c r="H190" s="31"/>
      <c r="I190" s="32"/>
      <c r="J190" s="90"/>
      <c r="K190" s="34"/>
      <c r="L190" s="37"/>
      <c r="S190" s="86">
        <v>179</v>
      </c>
    </row>
    <row r="191" spans="2:19" ht="18.75" x14ac:dyDescent="0.2">
      <c r="B191" s="103"/>
      <c r="C191" s="32"/>
      <c r="D191" s="44"/>
      <c r="E191" s="30"/>
      <c r="F191" s="33"/>
      <c r="G191" s="31"/>
      <c r="H191" s="31"/>
      <c r="I191" s="32"/>
      <c r="J191" s="90"/>
      <c r="K191" s="34"/>
      <c r="L191" s="37"/>
      <c r="S191" s="86">
        <v>180</v>
      </c>
    </row>
    <row r="192" spans="2:19" ht="18.75" x14ac:dyDescent="0.2">
      <c r="B192" s="103"/>
      <c r="C192" s="32"/>
      <c r="D192" s="44"/>
      <c r="E192" s="30"/>
      <c r="F192" s="33"/>
      <c r="G192" s="31"/>
      <c r="H192" s="31"/>
      <c r="I192" s="32"/>
      <c r="J192" s="90"/>
      <c r="K192" s="34"/>
      <c r="L192" s="37"/>
      <c r="S192" s="86">
        <v>181</v>
      </c>
    </row>
    <row r="193" spans="2:19" ht="18.75" x14ac:dyDescent="0.2">
      <c r="B193" s="103"/>
      <c r="C193" s="32"/>
      <c r="D193" s="44"/>
      <c r="E193" s="30"/>
      <c r="F193" s="33"/>
      <c r="G193" s="31"/>
      <c r="H193" s="31"/>
      <c r="I193" s="32"/>
      <c r="J193" s="90"/>
      <c r="K193" s="34"/>
      <c r="L193" s="37"/>
      <c r="S193" s="86">
        <v>182</v>
      </c>
    </row>
    <row r="194" spans="2:19" ht="18.75" x14ac:dyDescent="0.2">
      <c r="B194" s="103"/>
      <c r="C194" s="32"/>
      <c r="D194" s="44"/>
      <c r="E194" s="30"/>
      <c r="F194" s="33"/>
      <c r="G194" s="31"/>
      <c r="H194" s="31"/>
      <c r="I194" s="32"/>
      <c r="J194" s="90"/>
      <c r="K194" s="34"/>
      <c r="L194" s="37"/>
      <c r="S194" s="86">
        <v>183</v>
      </c>
    </row>
    <row r="195" spans="2:19" ht="18.75" x14ac:dyDescent="0.2">
      <c r="B195" s="103"/>
      <c r="C195" s="32"/>
      <c r="D195" s="44"/>
      <c r="E195" s="30"/>
      <c r="F195" s="33"/>
      <c r="G195" s="31"/>
      <c r="H195" s="31"/>
      <c r="I195" s="32"/>
      <c r="J195" s="90"/>
      <c r="K195" s="34"/>
      <c r="L195" s="37"/>
      <c r="S195" s="86">
        <v>184</v>
      </c>
    </row>
    <row r="196" spans="2:19" ht="18.75" x14ac:dyDescent="0.2">
      <c r="B196" s="103"/>
      <c r="C196" s="32"/>
      <c r="D196" s="44"/>
      <c r="E196" s="30"/>
      <c r="F196" s="33"/>
      <c r="G196" s="31"/>
      <c r="H196" s="31"/>
      <c r="I196" s="32"/>
      <c r="J196" s="90"/>
      <c r="K196" s="34"/>
      <c r="L196" s="37"/>
      <c r="S196" s="86">
        <v>185</v>
      </c>
    </row>
    <row r="197" spans="2:19" ht="18.75" x14ac:dyDescent="0.2">
      <c r="B197" s="103"/>
      <c r="C197" s="32"/>
      <c r="D197" s="44"/>
      <c r="E197" s="30"/>
      <c r="F197" s="33"/>
      <c r="G197" s="31"/>
      <c r="H197" s="31"/>
      <c r="I197" s="32"/>
      <c r="J197" s="90"/>
      <c r="K197" s="34"/>
      <c r="L197" s="37"/>
      <c r="S197" s="86">
        <v>186</v>
      </c>
    </row>
    <row r="198" spans="2:19" ht="18.75" x14ac:dyDescent="0.2">
      <c r="B198" s="103"/>
      <c r="C198" s="32"/>
      <c r="D198" s="44"/>
      <c r="E198" s="30"/>
      <c r="F198" s="33"/>
      <c r="G198" s="31"/>
      <c r="H198" s="31"/>
      <c r="I198" s="32"/>
      <c r="J198" s="90"/>
      <c r="K198" s="34"/>
      <c r="L198" s="37"/>
      <c r="S198" s="86">
        <v>187</v>
      </c>
    </row>
    <row r="199" spans="2:19" ht="18.75" x14ac:dyDescent="0.2">
      <c r="B199" s="103"/>
      <c r="C199" s="32"/>
      <c r="D199" s="44"/>
      <c r="E199" s="30"/>
      <c r="F199" s="33"/>
      <c r="G199" s="31"/>
      <c r="H199" s="31"/>
      <c r="I199" s="32"/>
      <c r="J199" s="90"/>
      <c r="K199" s="34"/>
      <c r="L199" s="37"/>
      <c r="S199" s="86">
        <v>188</v>
      </c>
    </row>
    <row r="200" spans="2:19" ht="18.75" x14ac:dyDescent="0.2">
      <c r="B200" s="103"/>
      <c r="C200" s="32"/>
      <c r="D200" s="44"/>
      <c r="E200" s="30"/>
      <c r="F200" s="33"/>
      <c r="G200" s="31"/>
      <c r="H200" s="31"/>
      <c r="I200" s="32"/>
      <c r="J200" s="90"/>
      <c r="K200" s="34"/>
      <c r="L200" s="37"/>
      <c r="S200" s="86">
        <v>189</v>
      </c>
    </row>
    <row r="201" spans="2:19" ht="18.75" x14ac:dyDescent="0.2">
      <c r="B201" s="103"/>
      <c r="C201" s="32"/>
      <c r="D201" s="44"/>
      <c r="E201" s="30"/>
      <c r="F201" s="33"/>
      <c r="G201" s="31"/>
      <c r="H201" s="31"/>
      <c r="I201" s="32"/>
      <c r="J201" s="90"/>
      <c r="K201" s="34"/>
      <c r="L201" s="37"/>
      <c r="S201" s="86">
        <v>190</v>
      </c>
    </row>
    <row r="202" spans="2:19" ht="18.75" x14ac:dyDescent="0.2">
      <c r="B202" s="103"/>
      <c r="C202" s="32"/>
      <c r="D202" s="44"/>
      <c r="E202" s="30"/>
      <c r="F202" s="33"/>
      <c r="G202" s="31"/>
      <c r="H202" s="31"/>
      <c r="I202" s="32"/>
      <c r="J202" s="90"/>
      <c r="K202" s="34"/>
      <c r="L202" s="37"/>
      <c r="S202" s="86">
        <v>191</v>
      </c>
    </row>
    <row r="203" spans="2:19" ht="18.75" x14ac:dyDescent="0.2">
      <c r="B203" s="103"/>
      <c r="C203" s="32"/>
      <c r="D203" s="44"/>
      <c r="E203" s="30"/>
      <c r="F203" s="33"/>
      <c r="G203" s="31"/>
      <c r="H203" s="31"/>
      <c r="I203" s="32"/>
      <c r="J203" s="90"/>
      <c r="K203" s="34"/>
      <c r="L203" s="37"/>
      <c r="S203" s="86">
        <v>192</v>
      </c>
    </row>
    <row r="204" spans="2:19" ht="18.75" x14ac:dyDescent="0.2">
      <c r="B204" s="103"/>
      <c r="C204" s="32"/>
      <c r="D204" s="44"/>
      <c r="E204" s="30"/>
      <c r="F204" s="33"/>
      <c r="G204" s="31"/>
      <c r="H204" s="31"/>
      <c r="I204" s="32"/>
      <c r="J204" s="90"/>
      <c r="K204" s="34"/>
      <c r="L204" s="37"/>
      <c r="S204" s="86">
        <v>193</v>
      </c>
    </row>
    <row r="205" spans="2:19" ht="18.75" x14ac:dyDescent="0.2">
      <c r="B205" s="10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S205" s="86">
        <v>194</v>
      </c>
    </row>
    <row r="206" spans="2:19" ht="18.75" x14ac:dyDescent="0.2">
      <c r="B206" s="103"/>
      <c r="S206" s="86"/>
    </row>
    <row r="207" spans="2:19" ht="18.75" x14ac:dyDescent="0.2">
      <c r="B207" s="103"/>
      <c r="S207" s="86"/>
    </row>
    <row r="208" spans="2:19" ht="18.75" x14ac:dyDescent="0.2">
      <c r="B208" s="103"/>
      <c r="S208" s="86"/>
    </row>
    <row r="209" spans="2:19" ht="18.75" x14ac:dyDescent="0.2">
      <c r="B209" s="103"/>
      <c r="S209" s="86"/>
    </row>
    <row r="210" spans="2:19" ht="18.75" x14ac:dyDescent="0.2">
      <c r="B210" s="103"/>
      <c r="S210" s="86"/>
    </row>
    <row r="211" spans="2:19" ht="18.75" x14ac:dyDescent="0.2">
      <c r="B211" s="103"/>
      <c r="S211" s="86"/>
    </row>
  </sheetData>
  <mergeCells count="6">
    <mergeCell ref="C9:E9"/>
    <mergeCell ref="B1:C1"/>
    <mergeCell ref="G1:N1"/>
    <mergeCell ref="U1:U2"/>
    <mergeCell ref="B2:C2"/>
    <mergeCell ref="G2:N2"/>
  </mergeCells>
  <phoneticPr fontId="12"/>
  <conditionalFormatting sqref="C12:K204">
    <cfRule type="expression" dxfId="0" priority="2" stopIfTrue="1">
      <formula>$B12="IT"</formula>
    </cfRule>
  </conditionalFormatting>
  <dataValidations count="9">
    <dataValidation type="list" allowBlank="1" showInputMessage="1" showErrorMessage="1" sqref="B21:B47" xr:uid="{00000000-0002-0000-0300-000000000000}">
      <formula1>$N$5</formula1>
    </dataValidation>
    <dataValidation type="list" allowBlank="1" showInputMessage="1" showErrorMessage="1" sqref="E2" xr:uid="{00000000-0002-0000-0300-000001000000}">
      <formula1>$V$1:$V$2</formula1>
    </dataValidation>
    <dataValidation operator="equal" allowBlank="1" showInputMessage="1" showErrorMessage="1" sqref="E1" xr:uid="{00000000-0002-0000-0300-000002000000}"/>
    <dataValidation type="list" allowBlank="1" showInputMessage="1" showErrorMessage="1" sqref="H12:H204" xr:uid="{00000000-0002-0000-0300-000003000000}">
      <formula1>$N$13:$N$26</formula1>
    </dataValidation>
    <dataValidation imeMode="off" allowBlank="1" showInputMessage="1" showErrorMessage="1" sqref="C9:E9 G9:H9" xr:uid="{00000000-0002-0000-0300-000004000000}"/>
    <dataValidation type="list" allowBlank="1" showInputMessage="1" showErrorMessage="1" sqref="M12" xr:uid="{00000000-0002-0000-0300-000005000000}">
      <formula1>$V$12:$V$42</formula1>
    </dataValidation>
    <dataValidation type="whole" operator="equal" allowBlank="1" showInputMessage="1" showErrorMessage="1" sqref="D2" xr:uid="{00000000-0002-0000-0300-000006000000}">
      <formula1>226</formula1>
    </dataValidation>
    <dataValidation type="whole" operator="equal" allowBlank="1" showInputMessage="1" showErrorMessage="1" sqref="D1" xr:uid="{00000000-0002-0000-0300-000007000000}">
      <formula1>747</formula1>
    </dataValidation>
    <dataValidation type="whole" operator="equal" allowBlank="1" showInputMessage="1" showErrorMessage="1" sqref="T1:T2 F1 B1:B2" xr:uid="{00000000-0002-0000-0300-000008000000}">
      <formula1>99999</formula1>
    </dataValidation>
  </dataValidations>
  <pageMargins left="0.62992125984251968" right="0.31496062992125984" top="0.9055118110236221" bottom="0.86614173228346458" header="0.51181102362204722" footer="0.51181102362204722"/>
  <pageSetup paperSize="9" scale="70" orientation="portrait" r:id="rId1"/>
  <headerFooter alignWithMargins="0">
    <oddFooter>&amp;C&amp;P/&amp;N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AM6687"/>
  <sheetViews>
    <sheetView workbookViewId="0">
      <pane ySplit="5" topLeftCell="A6" activePane="bottomLeft" state="frozen"/>
      <selection pane="bottomLeft" activeCell="M19" sqref="M19"/>
    </sheetView>
  </sheetViews>
  <sheetFormatPr defaultRowHeight="13.5" x14ac:dyDescent="0.15"/>
  <cols>
    <col min="1" max="1" width="3.5" customWidth="1"/>
    <col min="2" max="2" width="5.5" customWidth="1"/>
    <col min="3" max="3" width="18" customWidth="1"/>
    <col min="4" max="4" width="3.375" customWidth="1"/>
    <col min="5" max="6" width="12.125" customWidth="1"/>
    <col min="7" max="7" width="6" customWidth="1"/>
    <col min="9" max="14" width="5.125" customWidth="1"/>
    <col min="15" max="15" width="12" customWidth="1"/>
    <col min="16" max="16" width="8.125" customWidth="1"/>
    <col min="17" max="17" width="6.875" customWidth="1"/>
    <col min="18" max="18" width="6.5" customWidth="1"/>
    <col min="19" max="19" width="2" style="5" customWidth="1"/>
    <col min="20" max="20" width="12.375" customWidth="1"/>
    <col min="21" max="21" width="13.75" customWidth="1"/>
    <col min="22" max="22" width="6.125" customWidth="1"/>
    <col min="23" max="23" width="9.5" customWidth="1"/>
    <col min="24" max="24" width="7.375" customWidth="1"/>
    <col min="26" max="26" width="6.875" customWidth="1"/>
    <col min="27" max="27" width="6" customWidth="1"/>
    <col min="28" max="28" width="7.125" customWidth="1"/>
    <col min="29" max="29" width="11.625" customWidth="1"/>
    <col min="30" max="30" width="11" customWidth="1"/>
    <col min="31" max="31" width="12.375" customWidth="1"/>
    <col min="33" max="33" width="9.375" customWidth="1"/>
    <col min="34" max="34" width="2.25" style="5" customWidth="1"/>
    <col min="35" max="35" width="13.5" style="5" customWidth="1"/>
    <col min="37" max="37" width="2.375" customWidth="1"/>
    <col min="38" max="38" width="12.375" customWidth="1"/>
  </cols>
  <sheetData>
    <row r="1" spans="2:39" x14ac:dyDescent="0.15">
      <c r="B1" t="s">
        <v>6</v>
      </c>
      <c r="E1" t="s">
        <v>7</v>
      </c>
      <c r="T1" t="s">
        <v>17</v>
      </c>
      <c r="AI1" s="152" t="s">
        <v>19</v>
      </c>
      <c r="AJ1" s="152"/>
      <c r="AL1" s="152" t="s">
        <v>20</v>
      </c>
      <c r="AM1" s="152"/>
    </row>
    <row r="2" spans="2:39" x14ac:dyDescent="0.15">
      <c r="E2" t="s">
        <v>0</v>
      </c>
      <c r="F2">
        <f>MIN(E6:E205)</f>
        <v>0</v>
      </c>
      <c r="H2" s="4" t="s">
        <v>9</v>
      </c>
      <c r="I2" s="4"/>
      <c r="T2" t="s">
        <v>76</v>
      </c>
      <c r="U2">
        <f>MIN(T6:T205)</f>
        <v>0</v>
      </c>
      <c r="AB2" t="s">
        <v>2</v>
      </c>
      <c r="AC2">
        <f>IF(F2&lt;U2,F2,U2)</f>
        <v>0</v>
      </c>
      <c r="AI2" s="152"/>
      <c r="AJ2" s="152"/>
      <c r="AL2" s="152"/>
      <c r="AM2" s="152"/>
    </row>
    <row r="3" spans="2:39" x14ac:dyDescent="0.15">
      <c r="E3" t="s">
        <v>1</v>
      </c>
      <c r="F3">
        <f>MAX(E6:E205)</f>
        <v>0</v>
      </c>
      <c r="H3" t="s">
        <v>79</v>
      </c>
      <c r="I3">
        <f>COUNTA(E6:E205)</f>
        <v>0</v>
      </c>
      <c r="T3" t="s">
        <v>1</v>
      </c>
      <c r="U3">
        <f>MAX(T6:T205)</f>
        <v>0</v>
      </c>
      <c r="W3" t="s">
        <v>79</v>
      </c>
      <c r="X3">
        <f>COUNTA(T6:T205)</f>
        <v>0</v>
      </c>
      <c r="AB3" t="s">
        <v>3</v>
      </c>
      <c r="AC3">
        <f>IF(F3&gt;U3,F3,U3)</f>
        <v>0</v>
      </c>
      <c r="AI3" s="152"/>
      <c r="AJ3" s="152"/>
      <c r="AL3" s="152"/>
      <c r="AM3" s="152"/>
    </row>
    <row r="5" spans="2:39" s="9" customFormat="1" ht="32.25" customHeight="1" x14ac:dyDescent="0.15">
      <c r="B5" s="8" t="s">
        <v>5</v>
      </c>
      <c r="C5" s="8" t="s">
        <v>4</v>
      </c>
      <c r="E5" s="8" t="s">
        <v>8</v>
      </c>
      <c r="F5" s="8" t="s">
        <v>9</v>
      </c>
      <c r="G5" s="8" t="s">
        <v>5</v>
      </c>
      <c r="H5" s="8" t="s">
        <v>10</v>
      </c>
      <c r="I5" s="8" t="s">
        <v>11</v>
      </c>
      <c r="J5" s="8" t="s">
        <v>12</v>
      </c>
      <c r="K5" s="8" t="s">
        <v>13</v>
      </c>
      <c r="L5" s="8" t="s">
        <v>14</v>
      </c>
      <c r="M5" s="8" t="s">
        <v>15</v>
      </c>
      <c r="N5" s="8" t="s">
        <v>16</v>
      </c>
      <c r="O5" s="8" t="s">
        <v>78</v>
      </c>
      <c r="P5" s="8" t="s">
        <v>21</v>
      </c>
      <c r="Q5" s="8" t="s">
        <v>23</v>
      </c>
      <c r="R5" s="8" t="s">
        <v>25</v>
      </c>
      <c r="S5" s="10"/>
      <c r="T5" s="8" t="s">
        <v>8</v>
      </c>
      <c r="U5" s="8" t="s">
        <v>9</v>
      </c>
      <c r="V5" s="8" t="s">
        <v>5</v>
      </c>
      <c r="W5" s="8" t="s">
        <v>10</v>
      </c>
      <c r="X5" s="8" t="s">
        <v>11</v>
      </c>
      <c r="Y5" s="8" t="s">
        <v>12</v>
      </c>
      <c r="Z5" s="8" t="s">
        <v>13</v>
      </c>
      <c r="AA5" s="8" t="s">
        <v>14</v>
      </c>
      <c r="AB5" s="8" t="s">
        <v>15</v>
      </c>
      <c r="AC5" s="8" t="s">
        <v>16</v>
      </c>
      <c r="AD5" s="8" t="s">
        <v>78</v>
      </c>
      <c r="AE5" s="8" t="s">
        <v>21</v>
      </c>
      <c r="AF5" s="8" t="s">
        <v>24</v>
      </c>
      <c r="AG5" s="8" t="s">
        <v>25</v>
      </c>
      <c r="AH5" s="10"/>
      <c r="AI5" s="8" t="s">
        <v>8</v>
      </c>
      <c r="AJ5" s="8" t="s">
        <v>22</v>
      </c>
      <c r="AL5" s="8" t="s">
        <v>8</v>
      </c>
      <c r="AM5" s="8" t="s">
        <v>77</v>
      </c>
    </row>
    <row r="6" spans="2:39" s="112" customFormat="1" x14ac:dyDescent="0.15">
      <c r="B6" s="118"/>
      <c r="C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22" t="str">
        <f t="shared" ref="O6:O14" si="0">IF(E6="","",I6-R6)</f>
        <v/>
      </c>
      <c r="P6" s="121" t="str">
        <f t="shared" ref="P6:P37" si="1">IF(G6="","",VLOOKUP(G6,SeihinnTB,2,FALSE))</f>
        <v/>
      </c>
      <c r="Q6" s="121">
        <f t="shared" ref="Q6:Q37" si="2">IF(ISERROR(VLOOKUP(E6,SyukkaZ,2,FALSE)),0,VLOOKUP(E6,SyukkaZ,2,FALSE))</f>
        <v>0</v>
      </c>
      <c r="R6" s="121">
        <f t="shared" ref="R6:R37" si="3">I6-M6+Q6</f>
        <v>0</v>
      </c>
      <c r="S6" s="119"/>
      <c r="T6" s="118"/>
      <c r="U6" s="118"/>
      <c r="V6" s="118"/>
      <c r="W6" s="120"/>
      <c r="X6" s="118"/>
      <c r="Y6" s="118"/>
      <c r="Z6" s="118"/>
      <c r="AA6" s="118"/>
      <c r="AB6" s="118"/>
      <c r="AC6" s="11"/>
      <c r="AD6" s="122">
        <f>X6-AG6</f>
        <v>0</v>
      </c>
      <c r="AE6" s="121" t="str">
        <f t="shared" ref="AE6:AE37" si="4">IF(V6="","",VLOOKUP(V6,SeihinnTB,2,FALSE))</f>
        <v/>
      </c>
      <c r="AF6" s="121">
        <f t="shared" ref="AF6:AF37" si="5">IF(ISERROR(VLOOKUP(T6,SyukkaR,2,FALSE)),0,VLOOKUP(T6,SyukkaR,2,FALSE))</f>
        <v>0</v>
      </c>
      <c r="AG6" s="121">
        <f t="shared" ref="AG6:AG37" si="6">X6-AF6</f>
        <v>0</v>
      </c>
      <c r="AH6" s="119"/>
      <c r="AI6" s="118"/>
      <c r="AJ6" s="118"/>
      <c r="AL6" s="118"/>
      <c r="AM6" s="118"/>
    </row>
    <row r="7" spans="2:39" s="112" customFormat="1" x14ac:dyDescent="0.15">
      <c r="B7" s="118"/>
      <c r="C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22" t="str">
        <f t="shared" si="0"/>
        <v/>
      </c>
      <c r="P7" s="121" t="str">
        <f t="shared" si="1"/>
        <v/>
      </c>
      <c r="Q7" s="121">
        <f t="shared" si="2"/>
        <v>0</v>
      </c>
      <c r="R7" s="121">
        <f t="shared" si="3"/>
        <v>0</v>
      </c>
      <c r="S7" s="119"/>
      <c r="T7" s="118"/>
      <c r="U7" s="118"/>
      <c r="V7" s="118"/>
      <c r="W7" s="120"/>
      <c r="X7" s="118"/>
      <c r="Y7" s="118"/>
      <c r="Z7" s="118"/>
      <c r="AA7" s="118"/>
      <c r="AB7" s="118"/>
      <c r="AC7" s="11"/>
      <c r="AD7" s="122">
        <f t="shared" ref="AD7:AD70" si="7">X7-AG7</f>
        <v>0</v>
      </c>
      <c r="AE7" s="121" t="str">
        <f t="shared" si="4"/>
        <v/>
      </c>
      <c r="AF7" s="121">
        <f t="shared" si="5"/>
        <v>0</v>
      </c>
      <c r="AG7" s="121">
        <f t="shared" si="6"/>
        <v>0</v>
      </c>
      <c r="AH7" s="119"/>
      <c r="AI7" s="118"/>
      <c r="AJ7" s="118"/>
      <c r="AL7" s="118"/>
      <c r="AM7" s="118"/>
    </row>
    <row r="8" spans="2:39" s="112" customFormat="1" x14ac:dyDescent="0.15">
      <c r="B8" s="118"/>
      <c r="C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22" t="str">
        <f t="shared" si="0"/>
        <v/>
      </c>
      <c r="P8" s="121" t="str">
        <f t="shared" si="1"/>
        <v/>
      </c>
      <c r="Q8" s="121">
        <f t="shared" si="2"/>
        <v>0</v>
      </c>
      <c r="R8" s="121">
        <f t="shared" si="3"/>
        <v>0</v>
      </c>
      <c r="S8" s="119"/>
      <c r="T8" s="118"/>
      <c r="U8" s="118"/>
      <c r="V8" s="118"/>
      <c r="W8" s="120"/>
      <c r="X8" s="118"/>
      <c r="Y8" s="118"/>
      <c r="Z8" s="118"/>
      <c r="AA8" s="118"/>
      <c r="AB8" s="118"/>
      <c r="AC8" s="11"/>
      <c r="AD8" s="122">
        <f t="shared" si="7"/>
        <v>0</v>
      </c>
      <c r="AE8" s="121" t="str">
        <f t="shared" si="4"/>
        <v/>
      </c>
      <c r="AF8" s="121">
        <f t="shared" si="5"/>
        <v>0</v>
      </c>
      <c r="AG8" s="121">
        <f t="shared" si="6"/>
        <v>0</v>
      </c>
      <c r="AH8" s="119"/>
      <c r="AI8" s="118"/>
      <c r="AJ8" s="118"/>
      <c r="AL8" s="118"/>
      <c r="AM8" s="118"/>
    </row>
    <row r="9" spans="2:39" x14ac:dyDescent="0.15">
      <c r="B9" s="4"/>
      <c r="C9" s="4"/>
      <c r="E9" s="4"/>
      <c r="F9" s="4"/>
      <c r="G9" s="4"/>
      <c r="H9" s="4"/>
      <c r="I9" s="4"/>
      <c r="J9" s="4"/>
      <c r="K9" s="4"/>
      <c r="L9" s="4"/>
      <c r="M9" s="4"/>
      <c r="N9" s="4"/>
      <c r="O9" s="122" t="str">
        <f t="shared" si="0"/>
        <v/>
      </c>
      <c r="P9" s="122" t="str">
        <f t="shared" si="1"/>
        <v/>
      </c>
      <c r="Q9" s="122">
        <f t="shared" si="2"/>
        <v>0</v>
      </c>
      <c r="R9" s="122">
        <f t="shared" si="3"/>
        <v>0</v>
      </c>
      <c r="T9" s="4"/>
      <c r="U9" s="4"/>
      <c r="V9" s="4"/>
      <c r="W9" s="22"/>
      <c r="X9" s="4"/>
      <c r="Y9" s="4"/>
      <c r="Z9" s="4"/>
      <c r="AA9" s="4"/>
      <c r="AB9" s="4"/>
      <c r="AC9" s="4"/>
      <c r="AD9" s="122">
        <f t="shared" si="7"/>
        <v>0</v>
      </c>
      <c r="AE9" s="122" t="str">
        <f t="shared" si="4"/>
        <v/>
      </c>
      <c r="AF9" s="122">
        <f>IF(ISERROR(VLOOKUP(T9,SyukkaR,2,FALSE)),0,VLOOKUP(T9,SyukkaR,2,FALSE))</f>
        <v>0</v>
      </c>
      <c r="AG9" s="122">
        <f t="shared" si="6"/>
        <v>0</v>
      </c>
      <c r="AI9" s="4"/>
      <c r="AJ9" s="4"/>
      <c r="AL9" s="4"/>
      <c r="AM9" s="4"/>
    </row>
    <row r="10" spans="2:39" x14ac:dyDescent="0.15">
      <c r="B10" s="4"/>
      <c r="C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122" t="str">
        <f t="shared" si="0"/>
        <v/>
      </c>
      <c r="P10" s="122" t="str">
        <f t="shared" si="1"/>
        <v/>
      </c>
      <c r="Q10" s="122">
        <f t="shared" si="2"/>
        <v>0</v>
      </c>
      <c r="R10" s="122">
        <f t="shared" si="3"/>
        <v>0</v>
      </c>
      <c r="T10" s="4"/>
      <c r="U10" s="4"/>
      <c r="V10" s="4"/>
      <c r="W10" s="22"/>
      <c r="X10" s="4"/>
      <c r="Y10" s="4"/>
      <c r="Z10" s="4"/>
      <c r="AA10" s="4"/>
      <c r="AB10" s="4"/>
      <c r="AC10" s="4"/>
      <c r="AD10" s="122">
        <f t="shared" si="7"/>
        <v>0</v>
      </c>
      <c r="AE10" s="122" t="str">
        <f t="shared" si="4"/>
        <v/>
      </c>
      <c r="AF10" s="122">
        <f t="shared" si="5"/>
        <v>0</v>
      </c>
      <c r="AG10" s="122">
        <f t="shared" si="6"/>
        <v>0</v>
      </c>
      <c r="AI10" s="4"/>
      <c r="AJ10" s="4"/>
      <c r="AL10" s="4"/>
      <c r="AM10" s="4"/>
    </row>
    <row r="11" spans="2:39" x14ac:dyDescent="0.15">
      <c r="B11" s="4"/>
      <c r="C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122" t="str">
        <f t="shared" si="0"/>
        <v/>
      </c>
      <c r="P11" s="122" t="str">
        <f t="shared" si="1"/>
        <v/>
      </c>
      <c r="Q11" s="122">
        <f t="shared" si="2"/>
        <v>0</v>
      </c>
      <c r="R11" s="122">
        <f t="shared" si="3"/>
        <v>0</v>
      </c>
      <c r="T11" s="4"/>
      <c r="U11" s="4"/>
      <c r="V11" s="4"/>
      <c r="W11" s="22"/>
      <c r="X11" s="4"/>
      <c r="Y11" s="4"/>
      <c r="Z11" s="4"/>
      <c r="AA11" s="4"/>
      <c r="AB11" s="4"/>
      <c r="AC11" s="11"/>
      <c r="AD11" s="122">
        <f t="shared" si="7"/>
        <v>0</v>
      </c>
      <c r="AE11" s="122" t="str">
        <f t="shared" si="4"/>
        <v/>
      </c>
      <c r="AF11" s="122">
        <f t="shared" si="5"/>
        <v>0</v>
      </c>
      <c r="AG11" s="122">
        <f t="shared" si="6"/>
        <v>0</v>
      </c>
      <c r="AI11" s="4"/>
      <c r="AJ11" s="4"/>
      <c r="AL11" s="4"/>
      <c r="AM11" s="4"/>
    </row>
    <row r="12" spans="2:39" x14ac:dyDescent="0.15">
      <c r="B12" s="4"/>
      <c r="C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22" t="str">
        <f t="shared" si="0"/>
        <v/>
      </c>
      <c r="P12" s="122" t="str">
        <f t="shared" si="1"/>
        <v/>
      </c>
      <c r="Q12" s="122">
        <f t="shared" si="2"/>
        <v>0</v>
      </c>
      <c r="R12" s="122">
        <f t="shared" si="3"/>
        <v>0</v>
      </c>
      <c r="T12" s="4"/>
      <c r="U12" s="4"/>
      <c r="V12" s="4"/>
      <c r="W12" s="22"/>
      <c r="X12" s="4"/>
      <c r="Y12" s="4"/>
      <c r="Z12" s="4"/>
      <c r="AA12" s="4"/>
      <c r="AB12" s="4"/>
      <c r="AC12" s="4"/>
      <c r="AD12" s="122">
        <f t="shared" si="7"/>
        <v>0</v>
      </c>
      <c r="AE12" s="122" t="str">
        <f t="shared" si="4"/>
        <v/>
      </c>
      <c r="AF12" s="122">
        <f t="shared" si="5"/>
        <v>0</v>
      </c>
      <c r="AG12" s="122">
        <f t="shared" si="6"/>
        <v>0</v>
      </c>
      <c r="AI12" s="4"/>
      <c r="AJ12" s="4"/>
      <c r="AL12" s="4"/>
      <c r="AM12" s="4"/>
    </row>
    <row r="13" spans="2:39" x14ac:dyDescent="0.15">
      <c r="B13" s="4"/>
      <c r="C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22" t="str">
        <f t="shared" si="0"/>
        <v/>
      </c>
      <c r="P13" s="122" t="str">
        <f t="shared" si="1"/>
        <v/>
      </c>
      <c r="Q13" s="122">
        <f t="shared" si="2"/>
        <v>0</v>
      </c>
      <c r="R13" s="122">
        <f t="shared" si="3"/>
        <v>0</v>
      </c>
      <c r="T13" s="4"/>
      <c r="U13" s="4"/>
      <c r="V13" s="4"/>
      <c r="W13" s="22"/>
      <c r="X13" s="4"/>
      <c r="Y13" s="4"/>
      <c r="Z13" s="4"/>
      <c r="AA13" s="4"/>
      <c r="AB13" s="4"/>
      <c r="AC13" s="4"/>
      <c r="AD13" s="122">
        <f t="shared" si="7"/>
        <v>0</v>
      </c>
      <c r="AE13" s="122" t="str">
        <f t="shared" si="4"/>
        <v/>
      </c>
      <c r="AF13" s="122">
        <f t="shared" si="5"/>
        <v>0</v>
      </c>
      <c r="AG13" s="122">
        <f t="shared" si="6"/>
        <v>0</v>
      </c>
      <c r="AI13" s="4"/>
      <c r="AJ13" s="4"/>
      <c r="AL13" s="4"/>
      <c r="AM13" s="4"/>
    </row>
    <row r="14" spans="2:39" x14ac:dyDescent="0.15">
      <c r="B14" s="4"/>
      <c r="C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122" t="str">
        <f t="shared" si="0"/>
        <v/>
      </c>
      <c r="P14" s="122" t="str">
        <f t="shared" si="1"/>
        <v/>
      </c>
      <c r="Q14" s="122">
        <f t="shared" si="2"/>
        <v>0</v>
      </c>
      <c r="R14" s="122">
        <f t="shared" si="3"/>
        <v>0</v>
      </c>
      <c r="T14" s="4"/>
      <c r="U14" s="4"/>
      <c r="V14" s="4"/>
      <c r="W14" s="22"/>
      <c r="X14" s="4"/>
      <c r="Y14" s="4"/>
      <c r="Z14" s="4"/>
      <c r="AA14" s="4"/>
      <c r="AB14" s="4"/>
      <c r="AC14" s="11"/>
      <c r="AD14" s="122">
        <f t="shared" si="7"/>
        <v>0</v>
      </c>
      <c r="AE14" s="122" t="str">
        <f t="shared" si="4"/>
        <v/>
      </c>
      <c r="AF14" s="122">
        <f t="shared" si="5"/>
        <v>0</v>
      </c>
      <c r="AG14" s="122">
        <f t="shared" si="6"/>
        <v>0</v>
      </c>
      <c r="AI14" s="4"/>
      <c r="AJ14" s="4"/>
      <c r="AL14" s="4"/>
      <c r="AM14" s="4"/>
    </row>
    <row r="15" spans="2:39" x14ac:dyDescent="0.15">
      <c r="B15" s="4"/>
      <c r="C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122" t="str">
        <f t="shared" ref="O15:O70" si="8">IF(E15="","",I15-R15)</f>
        <v/>
      </c>
      <c r="P15" s="122" t="str">
        <f t="shared" si="1"/>
        <v/>
      </c>
      <c r="Q15" s="122">
        <f t="shared" si="2"/>
        <v>0</v>
      </c>
      <c r="R15" s="122">
        <f t="shared" si="3"/>
        <v>0</v>
      </c>
      <c r="T15" s="4"/>
      <c r="U15" s="4"/>
      <c r="V15" s="4"/>
      <c r="W15" s="22"/>
      <c r="X15" s="4"/>
      <c r="Y15" s="4"/>
      <c r="Z15" s="4"/>
      <c r="AA15" s="4"/>
      <c r="AB15" s="4"/>
      <c r="AC15" s="11"/>
      <c r="AD15" s="122">
        <f t="shared" si="7"/>
        <v>0</v>
      </c>
      <c r="AE15" s="122" t="str">
        <f t="shared" si="4"/>
        <v/>
      </c>
      <c r="AF15" s="122">
        <f t="shared" si="5"/>
        <v>0</v>
      </c>
      <c r="AG15" s="122">
        <f t="shared" si="6"/>
        <v>0</v>
      </c>
      <c r="AI15" s="4"/>
      <c r="AJ15" s="4"/>
      <c r="AL15" s="4"/>
      <c r="AM15" s="4"/>
    </row>
    <row r="16" spans="2:39" x14ac:dyDescent="0.15">
      <c r="B16" s="4"/>
      <c r="C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122" t="str">
        <f t="shared" si="8"/>
        <v/>
      </c>
      <c r="P16" s="122" t="str">
        <f t="shared" si="1"/>
        <v/>
      </c>
      <c r="Q16" s="122">
        <f t="shared" si="2"/>
        <v>0</v>
      </c>
      <c r="R16" s="122">
        <f t="shared" si="3"/>
        <v>0</v>
      </c>
      <c r="T16" s="4"/>
      <c r="U16" s="4"/>
      <c r="V16" s="4"/>
      <c r="W16" s="22"/>
      <c r="X16" s="4"/>
      <c r="Y16" s="4"/>
      <c r="Z16" s="4"/>
      <c r="AA16" s="4"/>
      <c r="AB16" s="4"/>
      <c r="AC16" s="4"/>
      <c r="AD16" s="122">
        <f t="shared" si="7"/>
        <v>0</v>
      </c>
      <c r="AE16" s="122" t="str">
        <f t="shared" si="4"/>
        <v/>
      </c>
      <c r="AF16" s="122">
        <f t="shared" si="5"/>
        <v>0</v>
      </c>
      <c r="AG16" s="122">
        <f t="shared" si="6"/>
        <v>0</v>
      </c>
      <c r="AI16" s="4"/>
      <c r="AJ16" s="4"/>
      <c r="AL16" s="4"/>
      <c r="AM16" s="4"/>
    </row>
    <row r="17" spans="2:39" x14ac:dyDescent="0.15">
      <c r="B17" s="4"/>
      <c r="C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122" t="str">
        <f t="shared" si="8"/>
        <v/>
      </c>
      <c r="P17" s="122" t="str">
        <f t="shared" si="1"/>
        <v/>
      </c>
      <c r="Q17" s="122">
        <f t="shared" si="2"/>
        <v>0</v>
      </c>
      <c r="R17" s="122">
        <f t="shared" si="3"/>
        <v>0</v>
      </c>
      <c r="T17" s="4"/>
      <c r="U17" s="4"/>
      <c r="V17" s="4"/>
      <c r="W17" s="22"/>
      <c r="X17" s="4"/>
      <c r="Y17" s="4"/>
      <c r="Z17" s="4"/>
      <c r="AA17" s="4"/>
      <c r="AB17" s="4"/>
      <c r="AC17" s="4"/>
      <c r="AD17" s="122">
        <f t="shared" si="7"/>
        <v>0</v>
      </c>
      <c r="AE17" s="122" t="str">
        <f t="shared" si="4"/>
        <v/>
      </c>
      <c r="AF17" s="122">
        <f t="shared" si="5"/>
        <v>0</v>
      </c>
      <c r="AG17" s="122">
        <f t="shared" si="6"/>
        <v>0</v>
      </c>
      <c r="AI17" s="4"/>
      <c r="AJ17" s="4"/>
      <c r="AL17" s="4"/>
      <c r="AM17" s="4"/>
    </row>
    <row r="18" spans="2:39" x14ac:dyDescent="0.15">
      <c r="B18" s="4"/>
      <c r="C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122" t="str">
        <f t="shared" si="8"/>
        <v/>
      </c>
      <c r="P18" s="122" t="str">
        <f t="shared" si="1"/>
        <v/>
      </c>
      <c r="Q18" s="122">
        <f t="shared" si="2"/>
        <v>0</v>
      </c>
      <c r="R18" s="122">
        <f t="shared" si="3"/>
        <v>0</v>
      </c>
      <c r="T18" s="4"/>
      <c r="U18" s="4"/>
      <c r="V18" s="4"/>
      <c r="W18" s="22"/>
      <c r="X18" s="4"/>
      <c r="Y18" s="4"/>
      <c r="Z18" s="4"/>
      <c r="AA18" s="4"/>
      <c r="AB18" s="4"/>
      <c r="AC18" s="4"/>
      <c r="AD18" s="122">
        <f t="shared" si="7"/>
        <v>0</v>
      </c>
      <c r="AE18" s="122" t="str">
        <f t="shared" si="4"/>
        <v/>
      </c>
      <c r="AF18" s="122">
        <f t="shared" si="5"/>
        <v>0</v>
      </c>
      <c r="AG18" s="122">
        <f t="shared" si="6"/>
        <v>0</v>
      </c>
      <c r="AI18" s="4"/>
      <c r="AJ18" s="4"/>
      <c r="AL18" s="4"/>
      <c r="AM18" s="4"/>
    </row>
    <row r="19" spans="2:39" x14ac:dyDescent="0.15">
      <c r="B19" s="4"/>
      <c r="C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122" t="str">
        <f t="shared" si="8"/>
        <v/>
      </c>
      <c r="P19" s="122" t="str">
        <f t="shared" si="1"/>
        <v/>
      </c>
      <c r="Q19" s="122">
        <f t="shared" si="2"/>
        <v>0</v>
      </c>
      <c r="R19" s="122">
        <f t="shared" si="3"/>
        <v>0</v>
      </c>
      <c r="T19" s="4"/>
      <c r="U19" s="4"/>
      <c r="V19" s="4"/>
      <c r="W19" s="22"/>
      <c r="X19" s="4"/>
      <c r="Y19" s="4"/>
      <c r="Z19" s="4"/>
      <c r="AA19" s="4"/>
      <c r="AB19" s="4"/>
      <c r="AC19" s="4"/>
      <c r="AD19" s="122">
        <f t="shared" si="7"/>
        <v>0</v>
      </c>
      <c r="AE19" s="122" t="str">
        <f t="shared" si="4"/>
        <v/>
      </c>
      <c r="AF19" s="122">
        <f t="shared" si="5"/>
        <v>0</v>
      </c>
      <c r="AG19" s="122">
        <f t="shared" si="6"/>
        <v>0</v>
      </c>
      <c r="AI19" s="4"/>
      <c r="AJ19" s="4"/>
      <c r="AL19" s="4"/>
      <c r="AM19" s="4"/>
    </row>
    <row r="20" spans="2:39" x14ac:dyDescent="0.15">
      <c r="B20" s="4"/>
      <c r="C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122" t="str">
        <f t="shared" si="8"/>
        <v/>
      </c>
      <c r="P20" s="122" t="str">
        <f t="shared" si="1"/>
        <v/>
      </c>
      <c r="Q20" s="122">
        <f t="shared" si="2"/>
        <v>0</v>
      </c>
      <c r="R20" s="122">
        <f t="shared" si="3"/>
        <v>0</v>
      </c>
      <c r="T20" s="4"/>
      <c r="U20" s="4"/>
      <c r="V20" s="4"/>
      <c r="W20" s="22"/>
      <c r="X20" s="4"/>
      <c r="Y20" s="4"/>
      <c r="Z20" s="4"/>
      <c r="AA20" s="4"/>
      <c r="AB20" s="4"/>
      <c r="AC20" s="4"/>
      <c r="AD20" s="122">
        <f t="shared" si="7"/>
        <v>0</v>
      </c>
      <c r="AE20" s="122" t="str">
        <f t="shared" si="4"/>
        <v/>
      </c>
      <c r="AF20" s="122">
        <f t="shared" si="5"/>
        <v>0</v>
      </c>
      <c r="AG20" s="122">
        <f t="shared" si="6"/>
        <v>0</v>
      </c>
      <c r="AI20" s="4"/>
      <c r="AJ20" s="4"/>
      <c r="AL20" s="4"/>
      <c r="AM20" s="4"/>
    </row>
    <row r="21" spans="2:39" x14ac:dyDescent="0.15">
      <c r="B21" s="4"/>
      <c r="C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122" t="str">
        <f t="shared" si="8"/>
        <v/>
      </c>
      <c r="P21" s="122" t="str">
        <f t="shared" si="1"/>
        <v/>
      </c>
      <c r="Q21" s="122">
        <f t="shared" si="2"/>
        <v>0</v>
      </c>
      <c r="R21" s="122">
        <f t="shared" si="3"/>
        <v>0</v>
      </c>
      <c r="T21" s="4"/>
      <c r="U21" s="4"/>
      <c r="V21" s="4"/>
      <c r="W21" s="22"/>
      <c r="X21" s="4"/>
      <c r="Y21" s="4"/>
      <c r="Z21" s="4"/>
      <c r="AA21" s="4"/>
      <c r="AB21" s="4"/>
      <c r="AC21" s="4"/>
      <c r="AD21" s="122">
        <f t="shared" si="7"/>
        <v>0</v>
      </c>
      <c r="AE21" s="122" t="str">
        <f t="shared" si="4"/>
        <v/>
      </c>
      <c r="AF21" s="122">
        <f t="shared" si="5"/>
        <v>0</v>
      </c>
      <c r="AG21" s="122">
        <f t="shared" si="6"/>
        <v>0</v>
      </c>
      <c r="AI21" s="4"/>
      <c r="AJ21" s="4"/>
      <c r="AL21" s="4"/>
      <c r="AM21" s="4"/>
    </row>
    <row r="22" spans="2:39" x14ac:dyDescent="0.15">
      <c r="B22" s="4"/>
      <c r="C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122" t="str">
        <f t="shared" si="8"/>
        <v/>
      </c>
      <c r="P22" s="122" t="str">
        <f t="shared" si="1"/>
        <v/>
      </c>
      <c r="Q22" s="122">
        <f t="shared" si="2"/>
        <v>0</v>
      </c>
      <c r="R22" s="122">
        <f t="shared" si="3"/>
        <v>0</v>
      </c>
      <c r="T22" s="4"/>
      <c r="U22" s="4"/>
      <c r="V22" s="4"/>
      <c r="W22" s="22"/>
      <c r="X22" s="4"/>
      <c r="Y22" s="4"/>
      <c r="Z22" s="4"/>
      <c r="AA22" s="4"/>
      <c r="AB22" s="4"/>
      <c r="AC22" s="11"/>
      <c r="AD22" s="122">
        <f t="shared" si="7"/>
        <v>0</v>
      </c>
      <c r="AE22" s="122" t="str">
        <f t="shared" si="4"/>
        <v/>
      </c>
      <c r="AF22" s="122">
        <f t="shared" si="5"/>
        <v>0</v>
      </c>
      <c r="AG22" s="122">
        <f t="shared" si="6"/>
        <v>0</v>
      </c>
      <c r="AI22" s="4"/>
      <c r="AJ22" s="4"/>
      <c r="AL22" s="4"/>
      <c r="AM22" s="4"/>
    </row>
    <row r="23" spans="2:39" x14ac:dyDescent="0.15">
      <c r="B23" s="4"/>
      <c r="C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122" t="str">
        <f t="shared" si="8"/>
        <v/>
      </c>
      <c r="P23" s="122" t="str">
        <f t="shared" si="1"/>
        <v/>
      </c>
      <c r="Q23" s="122">
        <f t="shared" si="2"/>
        <v>0</v>
      </c>
      <c r="R23" s="122">
        <f t="shared" si="3"/>
        <v>0</v>
      </c>
      <c r="T23" s="4"/>
      <c r="U23" s="4"/>
      <c r="V23" s="4"/>
      <c r="W23" s="22"/>
      <c r="X23" s="4"/>
      <c r="Y23" s="4"/>
      <c r="Z23" s="4"/>
      <c r="AA23" s="4"/>
      <c r="AB23" s="4"/>
      <c r="AC23" s="4"/>
      <c r="AD23" s="122">
        <f t="shared" si="7"/>
        <v>0</v>
      </c>
      <c r="AE23" s="122" t="str">
        <f t="shared" si="4"/>
        <v/>
      </c>
      <c r="AF23" s="122">
        <f t="shared" si="5"/>
        <v>0</v>
      </c>
      <c r="AG23" s="122">
        <f t="shared" si="6"/>
        <v>0</v>
      </c>
      <c r="AI23" s="4"/>
      <c r="AJ23" s="4"/>
      <c r="AL23" s="4"/>
      <c r="AM23" s="4"/>
    </row>
    <row r="24" spans="2:39" x14ac:dyDescent="0.15">
      <c r="B24" s="4"/>
      <c r="C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122" t="str">
        <f t="shared" si="8"/>
        <v/>
      </c>
      <c r="P24" s="122" t="str">
        <f t="shared" si="1"/>
        <v/>
      </c>
      <c r="Q24" s="122">
        <f t="shared" si="2"/>
        <v>0</v>
      </c>
      <c r="R24" s="122">
        <f t="shared" si="3"/>
        <v>0</v>
      </c>
      <c r="T24" s="4"/>
      <c r="U24" s="4"/>
      <c r="V24" s="4"/>
      <c r="W24" s="22"/>
      <c r="X24" s="4"/>
      <c r="Y24" s="4"/>
      <c r="Z24" s="4"/>
      <c r="AA24" s="4"/>
      <c r="AB24" s="4"/>
      <c r="AC24" s="4"/>
      <c r="AD24" s="122">
        <f t="shared" si="7"/>
        <v>0</v>
      </c>
      <c r="AE24" s="122" t="str">
        <f t="shared" si="4"/>
        <v/>
      </c>
      <c r="AF24" s="122">
        <f t="shared" si="5"/>
        <v>0</v>
      </c>
      <c r="AG24" s="122">
        <f t="shared" si="6"/>
        <v>0</v>
      </c>
      <c r="AI24" s="4"/>
      <c r="AJ24" s="4"/>
      <c r="AL24" s="4"/>
      <c r="AM24" s="4"/>
    </row>
    <row r="25" spans="2:39" x14ac:dyDescent="0.15">
      <c r="B25" s="4"/>
      <c r="C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122" t="str">
        <f t="shared" si="8"/>
        <v/>
      </c>
      <c r="P25" s="122" t="str">
        <f t="shared" si="1"/>
        <v/>
      </c>
      <c r="Q25" s="122">
        <f t="shared" si="2"/>
        <v>0</v>
      </c>
      <c r="R25" s="122">
        <f t="shared" si="3"/>
        <v>0</v>
      </c>
      <c r="T25" s="4"/>
      <c r="U25" s="4"/>
      <c r="V25" s="4"/>
      <c r="W25" s="22"/>
      <c r="X25" s="4"/>
      <c r="Y25" s="4"/>
      <c r="Z25" s="4"/>
      <c r="AA25" s="4"/>
      <c r="AB25" s="4"/>
      <c r="AC25" s="4"/>
      <c r="AD25" s="122">
        <f t="shared" si="7"/>
        <v>0</v>
      </c>
      <c r="AE25" s="122" t="str">
        <f t="shared" si="4"/>
        <v/>
      </c>
      <c r="AF25" s="122">
        <f t="shared" si="5"/>
        <v>0</v>
      </c>
      <c r="AG25" s="122">
        <f t="shared" si="6"/>
        <v>0</v>
      </c>
      <c r="AI25" s="4"/>
      <c r="AJ25" s="4"/>
      <c r="AL25" s="4"/>
      <c r="AM25" s="4"/>
    </row>
    <row r="26" spans="2:39" x14ac:dyDescent="0.15">
      <c r="B26" s="4"/>
      <c r="C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122" t="str">
        <f t="shared" si="8"/>
        <v/>
      </c>
      <c r="P26" s="122" t="str">
        <f t="shared" si="1"/>
        <v/>
      </c>
      <c r="Q26" s="122">
        <f t="shared" si="2"/>
        <v>0</v>
      </c>
      <c r="R26" s="122">
        <f t="shared" si="3"/>
        <v>0</v>
      </c>
      <c r="T26" s="4"/>
      <c r="U26" s="4"/>
      <c r="V26" s="4"/>
      <c r="W26" s="22"/>
      <c r="X26" s="4"/>
      <c r="Y26" s="4"/>
      <c r="Z26" s="4"/>
      <c r="AA26" s="4"/>
      <c r="AB26" s="4"/>
      <c r="AC26" s="4"/>
      <c r="AD26" s="122">
        <f t="shared" si="7"/>
        <v>0</v>
      </c>
      <c r="AE26" s="122" t="str">
        <f t="shared" si="4"/>
        <v/>
      </c>
      <c r="AF26" s="122">
        <f t="shared" si="5"/>
        <v>0</v>
      </c>
      <c r="AG26" s="122">
        <f t="shared" si="6"/>
        <v>0</v>
      </c>
      <c r="AI26" s="4"/>
      <c r="AJ26" s="4"/>
      <c r="AL26" s="4"/>
      <c r="AM26" s="4"/>
    </row>
    <row r="27" spans="2:39" x14ac:dyDescent="0.15">
      <c r="B27" s="4"/>
      <c r="C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22" t="str">
        <f t="shared" si="8"/>
        <v/>
      </c>
      <c r="P27" s="122" t="str">
        <f t="shared" si="1"/>
        <v/>
      </c>
      <c r="Q27" s="122">
        <f t="shared" si="2"/>
        <v>0</v>
      </c>
      <c r="R27" s="122">
        <f t="shared" si="3"/>
        <v>0</v>
      </c>
      <c r="T27" s="4"/>
      <c r="U27" s="4"/>
      <c r="V27" s="4"/>
      <c r="W27" s="22"/>
      <c r="X27" s="4"/>
      <c r="Y27" s="4"/>
      <c r="Z27" s="4"/>
      <c r="AA27" s="4"/>
      <c r="AB27" s="4"/>
      <c r="AC27" s="4"/>
      <c r="AD27" s="122">
        <f t="shared" si="7"/>
        <v>0</v>
      </c>
      <c r="AE27" s="122" t="str">
        <f t="shared" si="4"/>
        <v/>
      </c>
      <c r="AF27" s="122">
        <f t="shared" si="5"/>
        <v>0</v>
      </c>
      <c r="AG27" s="122">
        <f t="shared" si="6"/>
        <v>0</v>
      </c>
      <c r="AI27" s="4"/>
      <c r="AJ27" s="4"/>
      <c r="AL27" s="4"/>
      <c r="AM27" s="4"/>
    </row>
    <row r="28" spans="2:39" x14ac:dyDescent="0.15">
      <c r="B28" s="4"/>
      <c r="C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122" t="str">
        <f t="shared" si="8"/>
        <v/>
      </c>
      <c r="P28" s="122" t="str">
        <f t="shared" si="1"/>
        <v/>
      </c>
      <c r="Q28" s="122">
        <f t="shared" si="2"/>
        <v>0</v>
      </c>
      <c r="R28" s="122">
        <f t="shared" si="3"/>
        <v>0</v>
      </c>
      <c r="T28" s="4"/>
      <c r="U28" s="4"/>
      <c r="V28" s="4"/>
      <c r="W28" s="22"/>
      <c r="X28" s="4"/>
      <c r="Y28" s="4"/>
      <c r="Z28" s="4"/>
      <c r="AA28" s="4"/>
      <c r="AB28" s="4"/>
      <c r="AC28" s="4"/>
      <c r="AD28" s="122">
        <f t="shared" si="7"/>
        <v>0</v>
      </c>
      <c r="AE28" s="122" t="str">
        <f t="shared" si="4"/>
        <v/>
      </c>
      <c r="AF28" s="122">
        <f t="shared" si="5"/>
        <v>0</v>
      </c>
      <c r="AG28" s="122">
        <f t="shared" si="6"/>
        <v>0</v>
      </c>
      <c r="AI28" s="4"/>
      <c r="AJ28" s="4"/>
      <c r="AL28" s="4"/>
      <c r="AM28" s="4"/>
    </row>
    <row r="29" spans="2:39" x14ac:dyDescent="0.15">
      <c r="B29" s="4"/>
      <c r="C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122" t="str">
        <f t="shared" si="8"/>
        <v/>
      </c>
      <c r="P29" s="122" t="str">
        <f t="shared" si="1"/>
        <v/>
      </c>
      <c r="Q29" s="122">
        <f t="shared" si="2"/>
        <v>0</v>
      </c>
      <c r="R29" s="122">
        <f t="shared" si="3"/>
        <v>0</v>
      </c>
      <c r="T29" s="4"/>
      <c r="U29" s="4"/>
      <c r="V29" s="4"/>
      <c r="W29" s="22"/>
      <c r="X29" s="4"/>
      <c r="Y29" s="4"/>
      <c r="Z29" s="4"/>
      <c r="AA29" s="4"/>
      <c r="AB29" s="4"/>
      <c r="AC29" s="4"/>
      <c r="AD29" s="122">
        <f t="shared" si="7"/>
        <v>0</v>
      </c>
      <c r="AE29" s="122" t="str">
        <f t="shared" si="4"/>
        <v/>
      </c>
      <c r="AF29" s="122">
        <f t="shared" si="5"/>
        <v>0</v>
      </c>
      <c r="AG29" s="122">
        <f t="shared" si="6"/>
        <v>0</v>
      </c>
      <c r="AI29" s="4"/>
      <c r="AJ29" s="4"/>
      <c r="AL29" s="4"/>
      <c r="AM29" s="4"/>
    </row>
    <row r="30" spans="2:39" x14ac:dyDescent="0.15">
      <c r="B30" s="4"/>
      <c r="C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122" t="str">
        <f t="shared" si="8"/>
        <v/>
      </c>
      <c r="P30" s="122" t="str">
        <f t="shared" si="1"/>
        <v/>
      </c>
      <c r="Q30" s="122">
        <f t="shared" si="2"/>
        <v>0</v>
      </c>
      <c r="R30" s="122">
        <f t="shared" si="3"/>
        <v>0</v>
      </c>
      <c r="T30" s="4"/>
      <c r="U30" s="4"/>
      <c r="V30" s="4"/>
      <c r="W30" s="22"/>
      <c r="X30" s="4"/>
      <c r="Y30" s="4"/>
      <c r="Z30" s="4"/>
      <c r="AA30" s="4"/>
      <c r="AB30" s="4"/>
      <c r="AC30" s="4"/>
      <c r="AD30" s="122">
        <f t="shared" si="7"/>
        <v>0</v>
      </c>
      <c r="AE30" s="122" t="str">
        <f t="shared" si="4"/>
        <v/>
      </c>
      <c r="AF30" s="122">
        <f t="shared" si="5"/>
        <v>0</v>
      </c>
      <c r="AG30" s="122">
        <f t="shared" si="6"/>
        <v>0</v>
      </c>
      <c r="AI30" s="4"/>
      <c r="AJ30" s="4"/>
      <c r="AL30" s="4"/>
      <c r="AM30" s="4"/>
    </row>
    <row r="31" spans="2:39" x14ac:dyDescent="0.15">
      <c r="B31" s="4"/>
      <c r="C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122" t="str">
        <f t="shared" si="8"/>
        <v/>
      </c>
      <c r="P31" s="122" t="str">
        <f t="shared" si="1"/>
        <v/>
      </c>
      <c r="Q31" s="122">
        <f t="shared" si="2"/>
        <v>0</v>
      </c>
      <c r="R31" s="122">
        <f t="shared" si="3"/>
        <v>0</v>
      </c>
      <c r="T31" s="4"/>
      <c r="U31" s="4"/>
      <c r="V31" s="4"/>
      <c r="W31" s="22"/>
      <c r="X31" s="4"/>
      <c r="Y31" s="4"/>
      <c r="Z31" s="4"/>
      <c r="AA31" s="4"/>
      <c r="AB31" s="4"/>
      <c r="AC31" s="4"/>
      <c r="AD31" s="122">
        <f t="shared" si="7"/>
        <v>0</v>
      </c>
      <c r="AE31" s="122" t="str">
        <f t="shared" si="4"/>
        <v/>
      </c>
      <c r="AF31" s="122">
        <f t="shared" si="5"/>
        <v>0</v>
      </c>
      <c r="AG31" s="122">
        <f t="shared" si="6"/>
        <v>0</v>
      </c>
      <c r="AI31" s="4"/>
      <c r="AJ31" s="4"/>
      <c r="AL31" s="4"/>
      <c r="AM31" s="4"/>
    </row>
    <row r="32" spans="2:39" x14ac:dyDescent="0.15">
      <c r="B32" s="4"/>
      <c r="C32" s="4"/>
      <c r="E32" s="4"/>
      <c r="F32" s="4"/>
      <c r="G32" s="4"/>
      <c r="H32" s="4"/>
      <c r="I32" s="4"/>
      <c r="J32" s="4"/>
      <c r="K32" s="4"/>
      <c r="L32" s="4"/>
      <c r="M32" s="4"/>
      <c r="N32" s="11"/>
      <c r="O32" s="122" t="str">
        <f t="shared" si="8"/>
        <v/>
      </c>
      <c r="P32" s="122" t="str">
        <f t="shared" si="1"/>
        <v/>
      </c>
      <c r="Q32" s="122">
        <f t="shared" si="2"/>
        <v>0</v>
      </c>
      <c r="R32" s="122">
        <f t="shared" si="3"/>
        <v>0</v>
      </c>
      <c r="T32" s="4"/>
      <c r="U32" s="4"/>
      <c r="V32" s="4"/>
      <c r="W32" s="22"/>
      <c r="X32" s="4"/>
      <c r="Y32" s="4"/>
      <c r="Z32" s="4"/>
      <c r="AA32" s="4"/>
      <c r="AB32" s="4"/>
      <c r="AC32" s="4"/>
      <c r="AD32" s="122">
        <f t="shared" si="7"/>
        <v>0</v>
      </c>
      <c r="AE32" s="122" t="str">
        <f t="shared" si="4"/>
        <v/>
      </c>
      <c r="AF32" s="122">
        <f t="shared" si="5"/>
        <v>0</v>
      </c>
      <c r="AG32" s="122">
        <f t="shared" si="6"/>
        <v>0</v>
      </c>
      <c r="AI32" s="4"/>
      <c r="AJ32" s="4"/>
      <c r="AL32" s="4"/>
      <c r="AM32" s="4"/>
    </row>
    <row r="33" spans="2:39" x14ac:dyDescent="0.15">
      <c r="B33" s="4"/>
      <c r="C33" s="4"/>
      <c r="E33" s="4"/>
      <c r="F33" s="4"/>
      <c r="G33" s="4"/>
      <c r="H33" s="4"/>
      <c r="I33" s="4"/>
      <c r="J33" s="4"/>
      <c r="K33" s="4"/>
      <c r="L33" s="4"/>
      <c r="M33" s="4"/>
      <c r="N33" s="11"/>
      <c r="O33" s="122" t="str">
        <f t="shared" si="8"/>
        <v/>
      </c>
      <c r="P33" s="122" t="str">
        <f t="shared" si="1"/>
        <v/>
      </c>
      <c r="Q33" s="122">
        <f t="shared" si="2"/>
        <v>0</v>
      </c>
      <c r="R33" s="122">
        <f t="shared" si="3"/>
        <v>0</v>
      </c>
      <c r="T33" s="4"/>
      <c r="U33" s="4"/>
      <c r="V33" s="4"/>
      <c r="W33" s="22"/>
      <c r="X33" s="4"/>
      <c r="Y33" s="4"/>
      <c r="Z33" s="4"/>
      <c r="AA33" s="4"/>
      <c r="AB33" s="4"/>
      <c r="AC33" s="4"/>
      <c r="AD33" s="122">
        <f t="shared" si="7"/>
        <v>0</v>
      </c>
      <c r="AE33" s="122" t="str">
        <f t="shared" si="4"/>
        <v/>
      </c>
      <c r="AF33" s="122">
        <f t="shared" si="5"/>
        <v>0</v>
      </c>
      <c r="AG33" s="122">
        <f t="shared" si="6"/>
        <v>0</v>
      </c>
      <c r="AI33" s="4"/>
      <c r="AJ33" s="4"/>
      <c r="AL33" s="4"/>
      <c r="AM33" s="4"/>
    </row>
    <row r="34" spans="2:39" x14ac:dyDescent="0.15">
      <c r="B34" s="4"/>
      <c r="C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122" t="str">
        <f t="shared" si="8"/>
        <v/>
      </c>
      <c r="P34" s="122" t="str">
        <f t="shared" si="1"/>
        <v/>
      </c>
      <c r="Q34" s="122">
        <f t="shared" si="2"/>
        <v>0</v>
      </c>
      <c r="R34" s="122">
        <f t="shared" si="3"/>
        <v>0</v>
      </c>
      <c r="T34" s="4"/>
      <c r="U34" s="4"/>
      <c r="V34" s="4"/>
      <c r="W34" s="22"/>
      <c r="X34" s="4"/>
      <c r="Y34" s="4"/>
      <c r="Z34" s="4"/>
      <c r="AA34" s="4"/>
      <c r="AB34" s="4"/>
      <c r="AC34" s="4"/>
      <c r="AD34" s="122">
        <f t="shared" si="7"/>
        <v>0</v>
      </c>
      <c r="AE34" s="122" t="str">
        <f t="shared" si="4"/>
        <v/>
      </c>
      <c r="AF34" s="122">
        <f t="shared" si="5"/>
        <v>0</v>
      </c>
      <c r="AG34" s="122">
        <f t="shared" si="6"/>
        <v>0</v>
      </c>
      <c r="AI34" s="4"/>
      <c r="AJ34" s="4"/>
      <c r="AL34" s="4"/>
      <c r="AM34" s="4"/>
    </row>
    <row r="35" spans="2:39" x14ac:dyDescent="0.15">
      <c r="B35" s="4"/>
      <c r="C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122" t="str">
        <f t="shared" si="8"/>
        <v/>
      </c>
      <c r="P35" s="122" t="str">
        <f t="shared" si="1"/>
        <v/>
      </c>
      <c r="Q35" s="122">
        <f t="shared" si="2"/>
        <v>0</v>
      </c>
      <c r="R35" s="122">
        <f t="shared" si="3"/>
        <v>0</v>
      </c>
      <c r="T35" s="4"/>
      <c r="U35" s="4"/>
      <c r="V35" s="4"/>
      <c r="W35" s="22"/>
      <c r="X35" s="4"/>
      <c r="Y35" s="4"/>
      <c r="Z35" s="4"/>
      <c r="AA35" s="4"/>
      <c r="AB35" s="4"/>
      <c r="AC35" s="4"/>
      <c r="AD35" s="122">
        <f t="shared" si="7"/>
        <v>0</v>
      </c>
      <c r="AE35" s="122" t="str">
        <f t="shared" si="4"/>
        <v/>
      </c>
      <c r="AF35" s="122">
        <f t="shared" si="5"/>
        <v>0</v>
      </c>
      <c r="AG35" s="122">
        <f t="shared" si="6"/>
        <v>0</v>
      </c>
      <c r="AI35" s="4"/>
      <c r="AJ35" s="4"/>
      <c r="AL35" s="4"/>
      <c r="AM35" s="4"/>
    </row>
    <row r="36" spans="2:39" x14ac:dyDescent="0.15">
      <c r="B36" s="4"/>
      <c r="C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122" t="str">
        <f t="shared" si="8"/>
        <v/>
      </c>
      <c r="P36" s="122" t="str">
        <f t="shared" si="1"/>
        <v/>
      </c>
      <c r="Q36" s="122">
        <f t="shared" si="2"/>
        <v>0</v>
      </c>
      <c r="R36" s="122">
        <f t="shared" si="3"/>
        <v>0</v>
      </c>
      <c r="T36" s="4"/>
      <c r="U36" s="4"/>
      <c r="V36" s="4"/>
      <c r="W36" s="22"/>
      <c r="X36" s="4"/>
      <c r="Y36" s="4"/>
      <c r="Z36" s="4"/>
      <c r="AA36" s="4"/>
      <c r="AB36" s="4"/>
      <c r="AC36" s="4"/>
      <c r="AD36" s="122">
        <f t="shared" si="7"/>
        <v>0</v>
      </c>
      <c r="AE36" s="122" t="str">
        <f t="shared" si="4"/>
        <v/>
      </c>
      <c r="AF36" s="122">
        <f t="shared" si="5"/>
        <v>0</v>
      </c>
      <c r="AG36" s="122">
        <f t="shared" si="6"/>
        <v>0</v>
      </c>
      <c r="AI36" s="4"/>
      <c r="AJ36" s="4"/>
      <c r="AL36" s="4"/>
      <c r="AM36" s="4"/>
    </row>
    <row r="37" spans="2:39" x14ac:dyDescent="0.15">
      <c r="B37" s="4"/>
      <c r="C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122" t="str">
        <f t="shared" si="8"/>
        <v/>
      </c>
      <c r="P37" s="122" t="str">
        <f t="shared" si="1"/>
        <v/>
      </c>
      <c r="Q37" s="122">
        <f t="shared" si="2"/>
        <v>0</v>
      </c>
      <c r="R37" s="122">
        <f t="shared" si="3"/>
        <v>0</v>
      </c>
      <c r="T37" s="4"/>
      <c r="U37" s="4"/>
      <c r="V37" s="4"/>
      <c r="W37" s="22"/>
      <c r="X37" s="4"/>
      <c r="Y37" s="4"/>
      <c r="Z37" s="4"/>
      <c r="AA37" s="4"/>
      <c r="AB37" s="4"/>
      <c r="AC37" s="4"/>
      <c r="AD37" s="122">
        <f t="shared" si="7"/>
        <v>0</v>
      </c>
      <c r="AE37" s="122" t="str">
        <f t="shared" si="4"/>
        <v/>
      </c>
      <c r="AF37" s="122">
        <f t="shared" si="5"/>
        <v>0</v>
      </c>
      <c r="AG37" s="122">
        <f t="shared" si="6"/>
        <v>0</v>
      </c>
      <c r="AI37" s="4"/>
      <c r="AJ37" s="4"/>
      <c r="AL37" s="4"/>
      <c r="AM37" s="4"/>
    </row>
    <row r="38" spans="2:39" x14ac:dyDescent="0.15">
      <c r="B38" s="4"/>
      <c r="C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122" t="str">
        <f t="shared" si="8"/>
        <v/>
      </c>
      <c r="P38" s="122" t="str">
        <f t="shared" ref="P38:P69" si="9">IF(G38="","",VLOOKUP(G38,SeihinnTB,2,FALSE))</f>
        <v/>
      </c>
      <c r="Q38" s="122">
        <f t="shared" ref="Q38:Q69" si="10">IF(ISERROR(VLOOKUP(E38,SyukkaZ,2,FALSE)),0,VLOOKUP(E38,SyukkaZ,2,FALSE))</f>
        <v>0</v>
      </c>
      <c r="R38" s="122">
        <f t="shared" ref="R38:R69" si="11">I38-M38+Q38</f>
        <v>0</v>
      </c>
      <c r="T38" s="4"/>
      <c r="U38" s="4"/>
      <c r="V38" s="4"/>
      <c r="W38" s="22"/>
      <c r="X38" s="4"/>
      <c r="Y38" s="4"/>
      <c r="Z38" s="4"/>
      <c r="AA38" s="4"/>
      <c r="AB38" s="4"/>
      <c r="AC38" s="4"/>
      <c r="AD38" s="122">
        <f t="shared" si="7"/>
        <v>0</v>
      </c>
      <c r="AE38" s="122" t="str">
        <f t="shared" ref="AE38:AE69" si="12">IF(V38="","",VLOOKUP(V38,SeihinnTB,2,FALSE))</f>
        <v/>
      </c>
      <c r="AF38" s="122">
        <f t="shared" ref="AF38:AF69" si="13">IF(ISERROR(VLOOKUP(T38,SyukkaR,2,FALSE)),0,VLOOKUP(T38,SyukkaR,2,FALSE))</f>
        <v>0</v>
      </c>
      <c r="AG38" s="122">
        <f t="shared" ref="AG38:AG69" si="14">X38-AF38</f>
        <v>0</v>
      </c>
      <c r="AI38" s="4"/>
      <c r="AJ38" s="4"/>
      <c r="AL38" s="4"/>
      <c r="AM38" s="4"/>
    </row>
    <row r="39" spans="2:39" x14ac:dyDescent="0.15">
      <c r="B39" s="4"/>
      <c r="C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122" t="str">
        <f t="shared" si="8"/>
        <v/>
      </c>
      <c r="P39" s="122" t="str">
        <f t="shared" si="9"/>
        <v/>
      </c>
      <c r="Q39" s="122">
        <f t="shared" si="10"/>
        <v>0</v>
      </c>
      <c r="R39" s="122">
        <f t="shared" si="11"/>
        <v>0</v>
      </c>
      <c r="T39" s="4"/>
      <c r="U39" s="4"/>
      <c r="V39" s="4"/>
      <c r="W39" s="22"/>
      <c r="X39" s="4"/>
      <c r="Y39" s="4"/>
      <c r="Z39" s="4"/>
      <c r="AA39" s="4"/>
      <c r="AB39" s="4"/>
      <c r="AC39" s="4"/>
      <c r="AD39" s="122">
        <f t="shared" si="7"/>
        <v>0</v>
      </c>
      <c r="AE39" s="122" t="str">
        <f t="shared" si="12"/>
        <v/>
      </c>
      <c r="AF39" s="122">
        <f t="shared" si="13"/>
        <v>0</v>
      </c>
      <c r="AG39" s="122">
        <f t="shared" si="14"/>
        <v>0</v>
      </c>
      <c r="AI39" s="4"/>
      <c r="AJ39" s="4"/>
      <c r="AL39" s="4"/>
      <c r="AM39" s="4"/>
    </row>
    <row r="40" spans="2:39" x14ac:dyDescent="0.15">
      <c r="B40" s="4"/>
      <c r="C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122" t="str">
        <f t="shared" si="8"/>
        <v/>
      </c>
      <c r="P40" s="122" t="str">
        <f t="shared" si="9"/>
        <v/>
      </c>
      <c r="Q40" s="122">
        <f t="shared" si="10"/>
        <v>0</v>
      </c>
      <c r="R40" s="122">
        <f t="shared" si="11"/>
        <v>0</v>
      </c>
      <c r="T40" s="4"/>
      <c r="U40" s="4"/>
      <c r="V40" s="4"/>
      <c r="W40" s="22"/>
      <c r="X40" s="4"/>
      <c r="Y40" s="4"/>
      <c r="Z40" s="4"/>
      <c r="AA40" s="4"/>
      <c r="AB40" s="4"/>
      <c r="AC40" s="4"/>
      <c r="AD40" s="122">
        <f t="shared" si="7"/>
        <v>0</v>
      </c>
      <c r="AE40" s="122" t="str">
        <f t="shared" si="12"/>
        <v/>
      </c>
      <c r="AF40" s="122">
        <f t="shared" si="13"/>
        <v>0</v>
      </c>
      <c r="AG40" s="122">
        <f t="shared" si="14"/>
        <v>0</v>
      </c>
      <c r="AI40" s="4"/>
      <c r="AJ40" s="4"/>
      <c r="AL40" s="4"/>
      <c r="AM40" s="4"/>
    </row>
    <row r="41" spans="2:39" x14ac:dyDescent="0.15">
      <c r="B41" s="4"/>
      <c r="C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22" t="str">
        <f t="shared" si="8"/>
        <v/>
      </c>
      <c r="P41" s="122" t="str">
        <f t="shared" si="9"/>
        <v/>
      </c>
      <c r="Q41" s="122">
        <f t="shared" si="10"/>
        <v>0</v>
      </c>
      <c r="R41" s="122">
        <f t="shared" si="11"/>
        <v>0</v>
      </c>
      <c r="T41" s="4"/>
      <c r="U41" s="4"/>
      <c r="V41" s="4"/>
      <c r="W41" s="22"/>
      <c r="X41" s="4"/>
      <c r="Y41" s="4"/>
      <c r="Z41" s="4"/>
      <c r="AA41" s="4"/>
      <c r="AB41" s="4"/>
      <c r="AC41" s="4"/>
      <c r="AD41" s="122">
        <f t="shared" si="7"/>
        <v>0</v>
      </c>
      <c r="AE41" s="122" t="str">
        <f t="shared" si="12"/>
        <v/>
      </c>
      <c r="AF41" s="122">
        <f t="shared" si="13"/>
        <v>0</v>
      </c>
      <c r="AG41" s="122">
        <f t="shared" si="14"/>
        <v>0</v>
      </c>
      <c r="AI41" s="4"/>
      <c r="AJ41" s="4"/>
      <c r="AL41" s="4"/>
      <c r="AM41" s="4"/>
    </row>
    <row r="42" spans="2:39" x14ac:dyDescent="0.15">
      <c r="B42" s="4"/>
      <c r="C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22" t="str">
        <f t="shared" si="8"/>
        <v/>
      </c>
      <c r="P42" s="122" t="str">
        <f t="shared" si="9"/>
        <v/>
      </c>
      <c r="Q42" s="122">
        <f t="shared" si="10"/>
        <v>0</v>
      </c>
      <c r="R42" s="122">
        <f t="shared" si="11"/>
        <v>0</v>
      </c>
      <c r="T42" s="4"/>
      <c r="U42" s="4"/>
      <c r="V42" s="4"/>
      <c r="W42" s="22"/>
      <c r="X42" s="4"/>
      <c r="Y42" s="4"/>
      <c r="Z42" s="4"/>
      <c r="AA42" s="4"/>
      <c r="AB42" s="4"/>
      <c r="AC42" s="4"/>
      <c r="AD42" s="122">
        <f t="shared" si="7"/>
        <v>0</v>
      </c>
      <c r="AE42" s="122" t="str">
        <f t="shared" si="12"/>
        <v/>
      </c>
      <c r="AF42" s="122">
        <f t="shared" si="13"/>
        <v>0</v>
      </c>
      <c r="AG42" s="122">
        <f t="shared" si="14"/>
        <v>0</v>
      </c>
      <c r="AI42" s="4"/>
      <c r="AJ42" s="4"/>
      <c r="AL42" s="4"/>
      <c r="AM42" s="4"/>
    </row>
    <row r="43" spans="2:39" x14ac:dyDescent="0.15">
      <c r="B43" s="4"/>
      <c r="C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122" t="str">
        <f t="shared" si="8"/>
        <v/>
      </c>
      <c r="P43" s="122" t="str">
        <f t="shared" si="9"/>
        <v/>
      </c>
      <c r="Q43" s="122">
        <f t="shared" si="10"/>
        <v>0</v>
      </c>
      <c r="R43" s="122">
        <f t="shared" si="11"/>
        <v>0</v>
      </c>
      <c r="T43" s="4"/>
      <c r="U43" s="4"/>
      <c r="V43" s="4"/>
      <c r="W43" s="22"/>
      <c r="X43" s="4"/>
      <c r="Y43" s="4"/>
      <c r="Z43" s="4"/>
      <c r="AA43" s="4"/>
      <c r="AB43" s="4"/>
      <c r="AC43" s="4"/>
      <c r="AD43" s="122">
        <f t="shared" si="7"/>
        <v>0</v>
      </c>
      <c r="AE43" s="122" t="str">
        <f t="shared" si="12"/>
        <v/>
      </c>
      <c r="AF43" s="122">
        <f t="shared" si="13"/>
        <v>0</v>
      </c>
      <c r="AG43" s="122">
        <f t="shared" si="14"/>
        <v>0</v>
      </c>
      <c r="AI43" s="4"/>
      <c r="AJ43" s="4"/>
      <c r="AL43" s="4"/>
      <c r="AM43" s="4"/>
    </row>
    <row r="44" spans="2:39" x14ac:dyDescent="0.15">
      <c r="B44" s="4"/>
      <c r="C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122" t="str">
        <f t="shared" si="8"/>
        <v/>
      </c>
      <c r="P44" s="122" t="str">
        <f t="shared" si="9"/>
        <v/>
      </c>
      <c r="Q44" s="122">
        <f t="shared" si="10"/>
        <v>0</v>
      </c>
      <c r="R44" s="122">
        <f t="shared" si="11"/>
        <v>0</v>
      </c>
      <c r="T44" s="4"/>
      <c r="U44" s="4"/>
      <c r="V44" s="4"/>
      <c r="W44" s="22"/>
      <c r="X44" s="4"/>
      <c r="Y44" s="4"/>
      <c r="Z44" s="4"/>
      <c r="AA44" s="4"/>
      <c r="AB44" s="4"/>
      <c r="AC44" s="4"/>
      <c r="AD44" s="122">
        <f t="shared" si="7"/>
        <v>0</v>
      </c>
      <c r="AE44" s="122" t="str">
        <f t="shared" si="12"/>
        <v/>
      </c>
      <c r="AF44" s="122">
        <f t="shared" si="13"/>
        <v>0</v>
      </c>
      <c r="AG44" s="122">
        <f t="shared" si="14"/>
        <v>0</v>
      </c>
      <c r="AI44" s="4"/>
      <c r="AJ44" s="4"/>
      <c r="AL44" s="4"/>
      <c r="AM44" s="4"/>
    </row>
    <row r="45" spans="2:39" x14ac:dyDescent="0.15">
      <c r="B45" s="4"/>
      <c r="C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122" t="str">
        <f t="shared" si="8"/>
        <v/>
      </c>
      <c r="P45" s="122" t="str">
        <f t="shared" si="9"/>
        <v/>
      </c>
      <c r="Q45" s="122">
        <f t="shared" si="10"/>
        <v>0</v>
      </c>
      <c r="R45" s="122">
        <f t="shared" si="11"/>
        <v>0</v>
      </c>
      <c r="T45" s="4"/>
      <c r="U45" s="4"/>
      <c r="V45" s="4"/>
      <c r="W45" s="22"/>
      <c r="X45" s="4"/>
      <c r="Y45" s="4"/>
      <c r="Z45" s="4"/>
      <c r="AA45" s="4"/>
      <c r="AB45" s="4"/>
      <c r="AC45" s="4"/>
      <c r="AD45" s="122">
        <f t="shared" si="7"/>
        <v>0</v>
      </c>
      <c r="AE45" s="122" t="str">
        <f t="shared" si="12"/>
        <v/>
      </c>
      <c r="AF45" s="122">
        <f t="shared" si="13"/>
        <v>0</v>
      </c>
      <c r="AG45" s="122">
        <f t="shared" si="14"/>
        <v>0</v>
      </c>
      <c r="AI45" s="4"/>
      <c r="AJ45" s="4"/>
      <c r="AL45" s="4"/>
      <c r="AM45" s="4"/>
    </row>
    <row r="46" spans="2:39" x14ac:dyDescent="0.15">
      <c r="B46" s="4"/>
      <c r="C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22" t="str">
        <f t="shared" si="8"/>
        <v/>
      </c>
      <c r="P46" s="122" t="str">
        <f t="shared" si="9"/>
        <v/>
      </c>
      <c r="Q46" s="122">
        <f t="shared" si="10"/>
        <v>0</v>
      </c>
      <c r="R46" s="122">
        <f t="shared" si="11"/>
        <v>0</v>
      </c>
      <c r="T46" s="4"/>
      <c r="U46" s="4"/>
      <c r="V46" s="4"/>
      <c r="W46" s="22"/>
      <c r="X46" s="4"/>
      <c r="Y46" s="4"/>
      <c r="Z46" s="4"/>
      <c r="AA46" s="4"/>
      <c r="AB46" s="4"/>
      <c r="AC46" s="4"/>
      <c r="AD46" s="122">
        <f t="shared" si="7"/>
        <v>0</v>
      </c>
      <c r="AE46" s="122" t="str">
        <f t="shared" si="12"/>
        <v/>
      </c>
      <c r="AF46" s="122">
        <f t="shared" si="13"/>
        <v>0</v>
      </c>
      <c r="AG46" s="122">
        <f t="shared" si="14"/>
        <v>0</v>
      </c>
      <c r="AI46" s="4"/>
      <c r="AJ46" s="4"/>
      <c r="AL46" s="4"/>
      <c r="AM46" s="4"/>
    </row>
    <row r="47" spans="2:39" x14ac:dyDescent="0.15">
      <c r="B47" s="4"/>
      <c r="C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122" t="str">
        <f t="shared" si="8"/>
        <v/>
      </c>
      <c r="P47" s="122" t="str">
        <f t="shared" si="9"/>
        <v/>
      </c>
      <c r="Q47" s="122">
        <f t="shared" si="10"/>
        <v>0</v>
      </c>
      <c r="R47" s="122">
        <f t="shared" si="11"/>
        <v>0</v>
      </c>
      <c r="T47" s="4"/>
      <c r="U47" s="4"/>
      <c r="V47" s="4"/>
      <c r="W47" s="22"/>
      <c r="X47" s="4"/>
      <c r="Y47" s="4"/>
      <c r="Z47" s="4"/>
      <c r="AA47" s="4"/>
      <c r="AB47" s="4"/>
      <c r="AC47" s="4"/>
      <c r="AD47" s="122">
        <f t="shared" si="7"/>
        <v>0</v>
      </c>
      <c r="AE47" s="122" t="str">
        <f t="shared" si="12"/>
        <v/>
      </c>
      <c r="AF47" s="122">
        <f t="shared" si="13"/>
        <v>0</v>
      </c>
      <c r="AG47" s="122">
        <f t="shared" si="14"/>
        <v>0</v>
      </c>
      <c r="AI47" s="4"/>
      <c r="AJ47" s="4"/>
      <c r="AL47" s="4"/>
      <c r="AM47" s="4"/>
    </row>
    <row r="48" spans="2:39" x14ac:dyDescent="0.15">
      <c r="B48" s="4"/>
      <c r="C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122" t="str">
        <f t="shared" si="8"/>
        <v/>
      </c>
      <c r="P48" s="122" t="str">
        <f t="shared" si="9"/>
        <v/>
      </c>
      <c r="Q48" s="122">
        <f t="shared" si="10"/>
        <v>0</v>
      </c>
      <c r="R48" s="122">
        <f t="shared" si="11"/>
        <v>0</v>
      </c>
      <c r="T48" s="4"/>
      <c r="U48" s="4"/>
      <c r="V48" s="4"/>
      <c r="W48" s="22"/>
      <c r="X48" s="4"/>
      <c r="Y48" s="4"/>
      <c r="Z48" s="4"/>
      <c r="AA48" s="4"/>
      <c r="AB48" s="4"/>
      <c r="AC48" s="4"/>
      <c r="AD48" s="122">
        <f t="shared" si="7"/>
        <v>0</v>
      </c>
      <c r="AE48" s="122" t="str">
        <f t="shared" si="12"/>
        <v/>
      </c>
      <c r="AF48" s="122">
        <f t="shared" si="13"/>
        <v>0</v>
      </c>
      <c r="AG48" s="122">
        <f t="shared" si="14"/>
        <v>0</v>
      </c>
      <c r="AI48" s="4"/>
      <c r="AJ48" s="4"/>
      <c r="AL48" s="4"/>
      <c r="AM48" s="4"/>
    </row>
    <row r="49" spans="2:39" x14ac:dyDescent="0.15">
      <c r="B49" s="4"/>
      <c r="C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122" t="str">
        <f t="shared" si="8"/>
        <v/>
      </c>
      <c r="P49" s="122" t="str">
        <f t="shared" si="9"/>
        <v/>
      </c>
      <c r="Q49" s="122">
        <f t="shared" si="10"/>
        <v>0</v>
      </c>
      <c r="R49" s="122">
        <f t="shared" si="11"/>
        <v>0</v>
      </c>
      <c r="T49" s="4"/>
      <c r="U49" s="4"/>
      <c r="V49" s="4"/>
      <c r="W49" s="22"/>
      <c r="X49" s="4"/>
      <c r="Y49" s="4"/>
      <c r="Z49" s="4"/>
      <c r="AA49" s="4"/>
      <c r="AB49" s="4"/>
      <c r="AC49" s="4"/>
      <c r="AD49" s="122">
        <f t="shared" si="7"/>
        <v>0</v>
      </c>
      <c r="AE49" s="122" t="str">
        <f t="shared" si="12"/>
        <v/>
      </c>
      <c r="AF49" s="122">
        <f t="shared" si="13"/>
        <v>0</v>
      </c>
      <c r="AG49" s="122">
        <f t="shared" si="14"/>
        <v>0</v>
      </c>
      <c r="AI49" s="4"/>
      <c r="AJ49" s="4"/>
      <c r="AL49" s="4"/>
      <c r="AM49" s="4"/>
    </row>
    <row r="50" spans="2:39" x14ac:dyDescent="0.15">
      <c r="B50" s="4"/>
      <c r="C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22" t="str">
        <f t="shared" si="8"/>
        <v/>
      </c>
      <c r="P50" s="122" t="str">
        <f t="shared" si="9"/>
        <v/>
      </c>
      <c r="Q50" s="122">
        <f t="shared" si="10"/>
        <v>0</v>
      </c>
      <c r="R50" s="122">
        <f t="shared" si="11"/>
        <v>0</v>
      </c>
      <c r="T50" s="4"/>
      <c r="U50" s="4"/>
      <c r="V50" s="4"/>
      <c r="W50" s="22"/>
      <c r="X50" s="4"/>
      <c r="Y50" s="4"/>
      <c r="Z50" s="4"/>
      <c r="AA50" s="4"/>
      <c r="AB50" s="4"/>
      <c r="AC50" s="4"/>
      <c r="AD50" s="122">
        <f t="shared" si="7"/>
        <v>0</v>
      </c>
      <c r="AE50" s="122" t="str">
        <f t="shared" si="12"/>
        <v/>
      </c>
      <c r="AF50" s="122">
        <f t="shared" si="13"/>
        <v>0</v>
      </c>
      <c r="AG50" s="122">
        <f t="shared" si="14"/>
        <v>0</v>
      </c>
      <c r="AI50" s="4"/>
      <c r="AJ50" s="4"/>
      <c r="AL50" s="4"/>
      <c r="AM50" s="4"/>
    </row>
    <row r="51" spans="2:39" x14ac:dyDescent="0.15">
      <c r="B51" s="4"/>
      <c r="C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22" t="str">
        <f t="shared" si="8"/>
        <v/>
      </c>
      <c r="P51" s="122" t="str">
        <f t="shared" si="9"/>
        <v/>
      </c>
      <c r="Q51" s="122">
        <f t="shared" si="10"/>
        <v>0</v>
      </c>
      <c r="R51" s="122">
        <f t="shared" si="11"/>
        <v>0</v>
      </c>
      <c r="T51" s="4"/>
      <c r="U51" s="4"/>
      <c r="V51" s="4"/>
      <c r="W51" s="22"/>
      <c r="X51" s="4"/>
      <c r="Y51" s="4"/>
      <c r="Z51" s="4"/>
      <c r="AA51" s="4"/>
      <c r="AB51" s="4"/>
      <c r="AC51" s="4"/>
      <c r="AD51" s="122">
        <f t="shared" si="7"/>
        <v>0</v>
      </c>
      <c r="AE51" s="122" t="str">
        <f t="shared" si="12"/>
        <v/>
      </c>
      <c r="AF51" s="122">
        <f t="shared" si="13"/>
        <v>0</v>
      </c>
      <c r="AG51" s="122">
        <f t="shared" si="14"/>
        <v>0</v>
      </c>
      <c r="AI51" s="4"/>
      <c r="AJ51" s="4"/>
      <c r="AL51" s="4"/>
      <c r="AM51" s="4"/>
    </row>
    <row r="52" spans="2:39" x14ac:dyDescent="0.15">
      <c r="B52" s="4"/>
      <c r="C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22" t="str">
        <f t="shared" si="8"/>
        <v/>
      </c>
      <c r="P52" s="122" t="str">
        <f t="shared" si="9"/>
        <v/>
      </c>
      <c r="Q52" s="122">
        <f t="shared" si="10"/>
        <v>0</v>
      </c>
      <c r="R52" s="122">
        <f t="shared" si="11"/>
        <v>0</v>
      </c>
      <c r="T52" s="4"/>
      <c r="U52" s="4"/>
      <c r="V52" s="4"/>
      <c r="W52" s="22"/>
      <c r="X52" s="4"/>
      <c r="Y52" s="4"/>
      <c r="Z52" s="4"/>
      <c r="AA52" s="4"/>
      <c r="AB52" s="4"/>
      <c r="AC52" s="4"/>
      <c r="AD52" s="122">
        <f t="shared" si="7"/>
        <v>0</v>
      </c>
      <c r="AE52" s="122" t="str">
        <f t="shared" si="12"/>
        <v/>
      </c>
      <c r="AF52" s="122">
        <f t="shared" si="13"/>
        <v>0</v>
      </c>
      <c r="AG52" s="122">
        <f t="shared" si="14"/>
        <v>0</v>
      </c>
      <c r="AI52" s="4"/>
      <c r="AJ52" s="4"/>
      <c r="AL52" s="4"/>
      <c r="AM52" s="4"/>
    </row>
    <row r="53" spans="2:39" x14ac:dyDescent="0.15">
      <c r="B53" s="4"/>
      <c r="C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122" t="str">
        <f t="shared" si="8"/>
        <v/>
      </c>
      <c r="P53" s="122" t="str">
        <f t="shared" si="9"/>
        <v/>
      </c>
      <c r="Q53" s="122">
        <f t="shared" si="10"/>
        <v>0</v>
      </c>
      <c r="R53" s="122">
        <f t="shared" si="11"/>
        <v>0</v>
      </c>
      <c r="T53" s="4"/>
      <c r="U53" s="4"/>
      <c r="V53" s="4"/>
      <c r="W53" s="22"/>
      <c r="X53" s="4"/>
      <c r="Y53" s="4"/>
      <c r="Z53" s="4"/>
      <c r="AA53" s="4"/>
      <c r="AB53" s="4"/>
      <c r="AC53" s="4"/>
      <c r="AD53" s="122">
        <f t="shared" si="7"/>
        <v>0</v>
      </c>
      <c r="AE53" s="122" t="str">
        <f t="shared" si="12"/>
        <v/>
      </c>
      <c r="AF53" s="122">
        <f t="shared" si="13"/>
        <v>0</v>
      </c>
      <c r="AG53" s="122">
        <f t="shared" si="14"/>
        <v>0</v>
      </c>
      <c r="AI53" s="4"/>
      <c r="AJ53" s="4"/>
      <c r="AL53" s="4"/>
      <c r="AM53" s="4"/>
    </row>
    <row r="54" spans="2:39" x14ac:dyDescent="0.15">
      <c r="B54" s="4"/>
      <c r="C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122" t="str">
        <f t="shared" si="8"/>
        <v/>
      </c>
      <c r="P54" s="122" t="str">
        <f t="shared" si="9"/>
        <v/>
      </c>
      <c r="Q54" s="122">
        <f t="shared" si="10"/>
        <v>0</v>
      </c>
      <c r="R54" s="122">
        <f t="shared" si="11"/>
        <v>0</v>
      </c>
      <c r="T54" s="4"/>
      <c r="U54" s="4"/>
      <c r="V54" s="4"/>
      <c r="W54" s="22"/>
      <c r="X54" s="4"/>
      <c r="Y54" s="4"/>
      <c r="Z54" s="4"/>
      <c r="AA54" s="4"/>
      <c r="AB54" s="4"/>
      <c r="AC54" s="4"/>
      <c r="AD54" s="122">
        <f t="shared" si="7"/>
        <v>0</v>
      </c>
      <c r="AE54" s="122" t="str">
        <f t="shared" si="12"/>
        <v/>
      </c>
      <c r="AF54" s="122">
        <f t="shared" si="13"/>
        <v>0</v>
      </c>
      <c r="AG54" s="122">
        <f t="shared" si="14"/>
        <v>0</v>
      </c>
      <c r="AI54" s="4"/>
      <c r="AJ54" s="4"/>
      <c r="AL54" s="4"/>
      <c r="AM54" s="4"/>
    </row>
    <row r="55" spans="2:39" x14ac:dyDescent="0.15">
      <c r="B55" s="4"/>
      <c r="C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22" t="str">
        <f t="shared" si="8"/>
        <v/>
      </c>
      <c r="P55" s="122" t="str">
        <f t="shared" si="9"/>
        <v/>
      </c>
      <c r="Q55" s="122">
        <f t="shared" si="10"/>
        <v>0</v>
      </c>
      <c r="R55" s="122">
        <f t="shared" si="11"/>
        <v>0</v>
      </c>
      <c r="T55" s="4"/>
      <c r="U55" s="4"/>
      <c r="V55" s="4"/>
      <c r="W55" s="22"/>
      <c r="X55" s="4"/>
      <c r="Y55" s="4"/>
      <c r="Z55" s="4"/>
      <c r="AA55" s="4"/>
      <c r="AB55" s="4"/>
      <c r="AC55" s="4"/>
      <c r="AD55" s="122">
        <f t="shared" si="7"/>
        <v>0</v>
      </c>
      <c r="AE55" s="122" t="str">
        <f t="shared" si="12"/>
        <v/>
      </c>
      <c r="AF55" s="122">
        <f t="shared" si="13"/>
        <v>0</v>
      </c>
      <c r="AG55" s="122">
        <f t="shared" si="14"/>
        <v>0</v>
      </c>
      <c r="AI55" s="4"/>
      <c r="AJ55" s="4"/>
      <c r="AL55" s="4"/>
      <c r="AM55" s="4"/>
    </row>
    <row r="56" spans="2:39" x14ac:dyDescent="0.15">
      <c r="B56" s="4"/>
      <c r="C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22" t="str">
        <f t="shared" si="8"/>
        <v/>
      </c>
      <c r="P56" s="122" t="str">
        <f t="shared" si="9"/>
        <v/>
      </c>
      <c r="Q56" s="122">
        <f t="shared" si="10"/>
        <v>0</v>
      </c>
      <c r="R56" s="122">
        <f t="shared" si="11"/>
        <v>0</v>
      </c>
      <c r="T56" s="4"/>
      <c r="U56" s="4"/>
      <c r="V56" s="4"/>
      <c r="W56" s="22"/>
      <c r="X56" s="4"/>
      <c r="Y56" s="4"/>
      <c r="Z56" s="4"/>
      <c r="AA56" s="4"/>
      <c r="AB56" s="4"/>
      <c r="AC56" s="4"/>
      <c r="AD56" s="122">
        <f t="shared" si="7"/>
        <v>0</v>
      </c>
      <c r="AE56" s="122" t="str">
        <f t="shared" si="12"/>
        <v/>
      </c>
      <c r="AF56" s="122">
        <f t="shared" si="13"/>
        <v>0</v>
      </c>
      <c r="AG56" s="122">
        <f t="shared" si="14"/>
        <v>0</v>
      </c>
      <c r="AI56" s="4"/>
      <c r="AJ56" s="4"/>
      <c r="AL56" s="4"/>
      <c r="AM56" s="4"/>
    </row>
    <row r="57" spans="2:39" x14ac:dyDescent="0.15">
      <c r="B57" s="4"/>
      <c r="C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122" t="str">
        <f t="shared" si="8"/>
        <v/>
      </c>
      <c r="P57" s="122" t="str">
        <f t="shared" si="9"/>
        <v/>
      </c>
      <c r="Q57" s="122">
        <f t="shared" si="10"/>
        <v>0</v>
      </c>
      <c r="R57" s="122">
        <f t="shared" si="11"/>
        <v>0</v>
      </c>
      <c r="T57" s="4"/>
      <c r="U57" s="4"/>
      <c r="V57" s="4"/>
      <c r="W57" s="22"/>
      <c r="X57" s="4"/>
      <c r="Y57" s="4"/>
      <c r="Z57" s="4"/>
      <c r="AA57" s="4"/>
      <c r="AB57" s="4"/>
      <c r="AC57" s="4"/>
      <c r="AD57" s="122">
        <f t="shared" si="7"/>
        <v>0</v>
      </c>
      <c r="AE57" s="122" t="str">
        <f t="shared" si="12"/>
        <v/>
      </c>
      <c r="AF57" s="122">
        <f t="shared" si="13"/>
        <v>0</v>
      </c>
      <c r="AG57" s="122">
        <f t="shared" si="14"/>
        <v>0</v>
      </c>
      <c r="AI57" s="4"/>
      <c r="AJ57" s="4"/>
      <c r="AL57" s="4"/>
      <c r="AM57" s="4"/>
    </row>
    <row r="58" spans="2:39" x14ac:dyDescent="0.15">
      <c r="B58" s="4"/>
      <c r="C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122" t="str">
        <f t="shared" si="8"/>
        <v/>
      </c>
      <c r="P58" s="122" t="str">
        <f t="shared" si="9"/>
        <v/>
      </c>
      <c r="Q58" s="122">
        <f t="shared" si="10"/>
        <v>0</v>
      </c>
      <c r="R58" s="122">
        <f t="shared" si="11"/>
        <v>0</v>
      </c>
      <c r="T58" s="4"/>
      <c r="U58" s="4"/>
      <c r="V58" s="4"/>
      <c r="W58" s="22"/>
      <c r="X58" s="4"/>
      <c r="Y58" s="4"/>
      <c r="Z58" s="4"/>
      <c r="AA58" s="4"/>
      <c r="AB58" s="4"/>
      <c r="AC58" s="4"/>
      <c r="AD58" s="122">
        <f t="shared" si="7"/>
        <v>0</v>
      </c>
      <c r="AE58" s="122" t="str">
        <f t="shared" si="12"/>
        <v/>
      </c>
      <c r="AF58" s="122">
        <f t="shared" si="13"/>
        <v>0</v>
      </c>
      <c r="AG58" s="122">
        <f t="shared" si="14"/>
        <v>0</v>
      </c>
      <c r="AI58" s="4"/>
      <c r="AJ58" s="4"/>
      <c r="AL58" s="4"/>
      <c r="AM58" s="4"/>
    </row>
    <row r="59" spans="2:39" x14ac:dyDescent="0.15">
      <c r="B59" s="4"/>
      <c r="C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122" t="str">
        <f t="shared" si="8"/>
        <v/>
      </c>
      <c r="P59" s="122" t="str">
        <f t="shared" si="9"/>
        <v/>
      </c>
      <c r="Q59" s="122">
        <f t="shared" si="10"/>
        <v>0</v>
      </c>
      <c r="R59" s="122">
        <f t="shared" si="11"/>
        <v>0</v>
      </c>
      <c r="T59" s="4"/>
      <c r="U59" s="4"/>
      <c r="V59" s="4"/>
      <c r="W59" s="22"/>
      <c r="X59" s="4"/>
      <c r="Y59" s="4"/>
      <c r="Z59" s="4"/>
      <c r="AA59" s="4"/>
      <c r="AB59" s="4"/>
      <c r="AC59" s="4"/>
      <c r="AD59" s="122">
        <f t="shared" si="7"/>
        <v>0</v>
      </c>
      <c r="AE59" s="122" t="str">
        <f t="shared" si="12"/>
        <v/>
      </c>
      <c r="AF59" s="122">
        <f t="shared" si="13"/>
        <v>0</v>
      </c>
      <c r="AG59" s="122">
        <f t="shared" si="14"/>
        <v>0</v>
      </c>
      <c r="AI59" s="4"/>
      <c r="AJ59" s="4"/>
      <c r="AL59" s="4"/>
      <c r="AM59" s="4"/>
    </row>
    <row r="60" spans="2:39" x14ac:dyDescent="0.15">
      <c r="B60" s="4"/>
      <c r="C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122" t="str">
        <f t="shared" si="8"/>
        <v/>
      </c>
      <c r="P60" s="122" t="str">
        <f t="shared" si="9"/>
        <v/>
      </c>
      <c r="Q60" s="122">
        <f t="shared" si="10"/>
        <v>0</v>
      </c>
      <c r="R60" s="122">
        <f t="shared" si="11"/>
        <v>0</v>
      </c>
      <c r="T60" s="4"/>
      <c r="U60" s="4"/>
      <c r="V60" s="4"/>
      <c r="W60" s="22"/>
      <c r="X60" s="4"/>
      <c r="Y60" s="4"/>
      <c r="Z60" s="4"/>
      <c r="AA60" s="4"/>
      <c r="AB60" s="4"/>
      <c r="AC60" s="4"/>
      <c r="AD60" s="122">
        <f t="shared" si="7"/>
        <v>0</v>
      </c>
      <c r="AE60" s="122" t="str">
        <f t="shared" si="12"/>
        <v/>
      </c>
      <c r="AF60" s="122">
        <f t="shared" si="13"/>
        <v>0</v>
      </c>
      <c r="AG60" s="122">
        <f t="shared" si="14"/>
        <v>0</v>
      </c>
      <c r="AI60" s="4"/>
      <c r="AJ60" s="4"/>
      <c r="AL60" s="4"/>
      <c r="AM60" s="4"/>
    </row>
    <row r="61" spans="2:39" x14ac:dyDescent="0.15">
      <c r="B61" s="4"/>
      <c r="C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122" t="str">
        <f t="shared" si="8"/>
        <v/>
      </c>
      <c r="P61" s="122" t="str">
        <f t="shared" si="9"/>
        <v/>
      </c>
      <c r="Q61" s="122">
        <f t="shared" si="10"/>
        <v>0</v>
      </c>
      <c r="R61" s="122">
        <f t="shared" si="11"/>
        <v>0</v>
      </c>
      <c r="T61" s="4"/>
      <c r="U61" s="4"/>
      <c r="V61" s="4"/>
      <c r="W61" s="22"/>
      <c r="X61" s="4"/>
      <c r="Y61" s="4"/>
      <c r="Z61" s="4"/>
      <c r="AA61" s="4"/>
      <c r="AB61" s="4"/>
      <c r="AC61" s="4"/>
      <c r="AD61" s="122">
        <f t="shared" si="7"/>
        <v>0</v>
      </c>
      <c r="AE61" s="122" t="str">
        <f t="shared" si="12"/>
        <v/>
      </c>
      <c r="AF61" s="122">
        <f t="shared" si="13"/>
        <v>0</v>
      </c>
      <c r="AG61" s="122">
        <f t="shared" si="14"/>
        <v>0</v>
      </c>
      <c r="AI61" s="4"/>
      <c r="AJ61" s="4"/>
      <c r="AL61" s="4"/>
      <c r="AM61" s="4"/>
    </row>
    <row r="62" spans="2:39" x14ac:dyDescent="0.15">
      <c r="B62" s="4"/>
      <c r="C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122" t="str">
        <f t="shared" si="8"/>
        <v/>
      </c>
      <c r="P62" s="122" t="str">
        <f t="shared" si="9"/>
        <v/>
      </c>
      <c r="Q62" s="122">
        <f t="shared" si="10"/>
        <v>0</v>
      </c>
      <c r="R62" s="122">
        <f t="shared" si="11"/>
        <v>0</v>
      </c>
      <c r="T62" s="4"/>
      <c r="U62" s="4"/>
      <c r="V62" s="4"/>
      <c r="W62" s="22"/>
      <c r="X62" s="4"/>
      <c r="Y62" s="4"/>
      <c r="Z62" s="4"/>
      <c r="AA62" s="4"/>
      <c r="AB62" s="4"/>
      <c r="AC62" s="4"/>
      <c r="AD62" s="122">
        <f t="shared" si="7"/>
        <v>0</v>
      </c>
      <c r="AE62" s="122" t="str">
        <f t="shared" si="12"/>
        <v/>
      </c>
      <c r="AF62" s="122">
        <f t="shared" si="13"/>
        <v>0</v>
      </c>
      <c r="AG62" s="122">
        <f t="shared" si="14"/>
        <v>0</v>
      </c>
      <c r="AI62" s="4"/>
      <c r="AJ62" s="4"/>
      <c r="AL62" s="4"/>
      <c r="AM62" s="4"/>
    </row>
    <row r="63" spans="2:39" x14ac:dyDescent="0.15">
      <c r="B63" s="4"/>
      <c r="C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122" t="str">
        <f t="shared" si="8"/>
        <v/>
      </c>
      <c r="P63" s="122" t="str">
        <f t="shared" si="9"/>
        <v/>
      </c>
      <c r="Q63" s="122">
        <f t="shared" si="10"/>
        <v>0</v>
      </c>
      <c r="R63" s="122">
        <f t="shared" si="11"/>
        <v>0</v>
      </c>
      <c r="T63" s="4"/>
      <c r="U63" s="4"/>
      <c r="V63" s="4"/>
      <c r="W63" s="22"/>
      <c r="X63" s="4"/>
      <c r="Y63" s="4"/>
      <c r="Z63" s="4"/>
      <c r="AA63" s="4"/>
      <c r="AB63" s="4"/>
      <c r="AC63" s="4"/>
      <c r="AD63" s="122">
        <f t="shared" si="7"/>
        <v>0</v>
      </c>
      <c r="AE63" s="122" t="str">
        <f t="shared" si="12"/>
        <v/>
      </c>
      <c r="AF63" s="122">
        <f t="shared" si="13"/>
        <v>0</v>
      </c>
      <c r="AG63" s="122">
        <f t="shared" si="14"/>
        <v>0</v>
      </c>
      <c r="AI63" s="4"/>
      <c r="AJ63" s="4"/>
      <c r="AL63" s="4"/>
      <c r="AM63" s="4"/>
    </row>
    <row r="64" spans="2:39" x14ac:dyDescent="0.15">
      <c r="B64" s="4"/>
      <c r="C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122" t="str">
        <f t="shared" si="8"/>
        <v/>
      </c>
      <c r="P64" s="122" t="str">
        <f t="shared" si="9"/>
        <v/>
      </c>
      <c r="Q64" s="122">
        <f t="shared" si="10"/>
        <v>0</v>
      </c>
      <c r="R64" s="122">
        <f t="shared" si="11"/>
        <v>0</v>
      </c>
      <c r="T64" s="4"/>
      <c r="U64" s="4"/>
      <c r="V64" s="4"/>
      <c r="W64" s="22"/>
      <c r="X64" s="4"/>
      <c r="Y64" s="4"/>
      <c r="Z64" s="4"/>
      <c r="AA64" s="4"/>
      <c r="AB64" s="4"/>
      <c r="AC64" s="4"/>
      <c r="AD64" s="122">
        <f t="shared" si="7"/>
        <v>0</v>
      </c>
      <c r="AE64" s="122" t="str">
        <f t="shared" si="12"/>
        <v/>
      </c>
      <c r="AF64" s="122">
        <f t="shared" si="13"/>
        <v>0</v>
      </c>
      <c r="AG64" s="122">
        <f t="shared" si="14"/>
        <v>0</v>
      </c>
      <c r="AI64" s="4"/>
      <c r="AJ64" s="4"/>
      <c r="AL64" s="4"/>
      <c r="AM64" s="4"/>
    </row>
    <row r="65" spans="2:39" x14ac:dyDescent="0.15">
      <c r="B65" s="4"/>
      <c r="C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122" t="str">
        <f t="shared" si="8"/>
        <v/>
      </c>
      <c r="P65" s="122" t="str">
        <f t="shared" si="9"/>
        <v/>
      </c>
      <c r="Q65" s="122">
        <f t="shared" si="10"/>
        <v>0</v>
      </c>
      <c r="R65" s="122">
        <f t="shared" si="11"/>
        <v>0</v>
      </c>
      <c r="T65" s="4"/>
      <c r="U65" s="4"/>
      <c r="V65" s="4"/>
      <c r="W65" s="22"/>
      <c r="X65" s="4"/>
      <c r="Y65" s="4"/>
      <c r="Z65" s="4"/>
      <c r="AA65" s="4"/>
      <c r="AB65" s="4"/>
      <c r="AC65" s="4"/>
      <c r="AD65" s="122">
        <f t="shared" si="7"/>
        <v>0</v>
      </c>
      <c r="AE65" s="122" t="str">
        <f t="shared" si="12"/>
        <v/>
      </c>
      <c r="AF65" s="122">
        <f t="shared" si="13"/>
        <v>0</v>
      </c>
      <c r="AG65" s="122">
        <f t="shared" si="14"/>
        <v>0</v>
      </c>
      <c r="AI65" s="4"/>
      <c r="AJ65" s="4"/>
      <c r="AL65" s="4"/>
      <c r="AM65" s="4"/>
    </row>
    <row r="66" spans="2:39" x14ac:dyDescent="0.15">
      <c r="B66" s="4"/>
      <c r="C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122" t="str">
        <f t="shared" si="8"/>
        <v/>
      </c>
      <c r="P66" s="122" t="str">
        <f t="shared" si="9"/>
        <v/>
      </c>
      <c r="Q66" s="122">
        <f t="shared" si="10"/>
        <v>0</v>
      </c>
      <c r="R66" s="122">
        <f t="shared" si="11"/>
        <v>0</v>
      </c>
      <c r="T66" s="4"/>
      <c r="U66" s="4"/>
      <c r="V66" s="4"/>
      <c r="W66" s="22"/>
      <c r="X66" s="4"/>
      <c r="Y66" s="4"/>
      <c r="Z66" s="4"/>
      <c r="AA66" s="4"/>
      <c r="AB66" s="4"/>
      <c r="AC66" s="4"/>
      <c r="AD66" s="122">
        <f t="shared" si="7"/>
        <v>0</v>
      </c>
      <c r="AE66" s="122" t="str">
        <f t="shared" si="12"/>
        <v/>
      </c>
      <c r="AF66" s="122">
        <f t="shared" si="13"/>
        <v>0</v>
      </c>
      <c r="AG66" s="122">
        <f t="shared" si="14"/>
        <v>0</v>
      </c>
      <c r="AI66" s="4"/>
      <c r="AJ66" s="4"/>
      <c r="AL66" s="4"/>
      <c r="AM66" s="4"/>
    </row>
    <row r="67" spans="2:39" x14ac:dyDescent="0.15">
      <c r="B67" s="4"/>
      <c r="C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122" t="str">
        <f t="shared" si="8"/>
        <v/>
      </c>
      <c r="P67" s="122" t="str">
        <f t="shared" si="9"/>
        <v/>
      </c>
      <c r="Q67" s="122">
        <f t="shared" si="10"/>
        <v>0</v>
      </c>
      <c r="R67" s="122">
        <f t="shared" si="11"/>
        <v>0</v>
      </c>
      <c r="T67" s="4"/>
      <c r="U67" s="4"/>
      <c r="V67" s="4"/>
      <c r="W67" s="22"/>
      <c r="X67" s="4"/>
      <c r="Y67" s="4"/>
      <c r="Z67" s="4"/>
      <c r="AA67" s="4"/>
      <c r="AB67" s="4"/>
      <c r="AC67" s="4"/>
      <c r="AD67" s="122">
        <f t="shared" si="7"/>
        <v>0</v>
      </c>
      <c r="AE67" s="122" t="str">
        <f t="shared" si="12"/>
        <v/>
      </c>
      <c r="AF67" s="122">
        <f t="shared" si="13"/>
        <v>0</v>
      </c>
      <c r="AG67" s="122">
        <f t="shared" si="14"/>
        <v>0</v>
      </c>
      <c r="AI67" s="4"/>
      <c r="AJ67" s="4"/>
      <c r="AL67" s="4"/>
      <c r="AM67" s="4"/>
    </row>
    <row r="68" spans="2:39" x14ac:dyDescent="0.15">
      <c r="B68" s="4"/>
      <c r="C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122" t="str">
        <f t="shared" si="8"/>
        <v/>
      </c>
      <c r="P68" s="122" t="str">
        <f t="shared" si="9"/>
        <v/>
      </c>
      <c r="Q68" s="122">
        <f t="shared" si="10"/>
        <v>0</v>
      </c>
      <c r="R68" s="122">
        <f t="shared" si="11"/>
        <v>0</v>
      </c>
      <c r="T68" s="4"/>
      <c r="U68" s="4"/>
      <c r="V68" s="4"/>
      <c r="W68" s="22"/>
      <c r="X68" s="4"/>
      <c r="Y68" s="4"/>
      <c r="Z68" s="4"/>
      <c r="AA68" s="4"/>
      <c r="AB68" s="4"/>
      <c r="AC68" s="4"/>
      <c r="AD68" s="122">
        <f t="shared" si="7"/>
        <v>0</v>
      </c>
      <c r="AE68" s="122" t="str">
        <f t="shared" si="12"/>
        <v/>
      </c>
      <c r="AF68" s="122">
        <f t="shared" si="13"/>
        <v>0</v>
      </c>
      <c r="AG68" s="122">
        <f t="shared" si="14"/>
        <v>0</v>
      </c>
      <c r="AI68" s="4"/>
      <c r="AJ68" s="4"/>
      <c r="AL68" s="4"/>
      <c r="AM68" s="4"/>
    </row>
    <row r="69" spans="2:39" x14ac:dyDescent="0.15">
      <c r="B69" s="4"/>
      <c r="C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122" t="str">
        <f t="shared" si="8"/>
        <v/>
      </c>
      <c r="P69" s="122" t="str">
        <f t="shared" si="9"/>
        <v/>
      </c>
      <c r="Q69" s="122">
        <f t="shared" si="10"/>
        <v>0</v>
      </c>
      <c r="R69" s="122">
        <f t="shared" si="11"/>
        <v>0</v>
      </c>
      <c r="T69" s="4"/>
      <c r="U69" s="4"/>
      <c r="V69" s="4"/>
      <c r="W69" s="22"/>
      <c r="X69" s="4"/>
      <c r="Y69" s="4"/>
      <c r="Z69" s="4"/>
      <c r="AA69" s="4"/>
      <c r="AB69" s="4"/>
      <c r="AC69" s="4"/>
      <c r="AD69" s="122">
        <f t="shared" si="7"/>
        <v>0</v>
      </c>
      <c r="AE69" s="122" t="str">
        <f t="shared" si="12"/>
        <v/>
      </c>
      <c r="AF69" s="122">
        <f t="shared" si="13"/>
        <v>0</v>
      </c>
      <c r="AG69" s="122">
        <f t="shared" si="14"/>
        <v>0</v>
      </c>
      <c r="AI69" s="4"/>
      <c r="AJ69" s="4"/>
      <c r="AL69" s="4"/>
      <c r="AM69" s="4"/>
    </row>
    <row r="70" spans="2:39" x14ac:dyDescent="0.15">
      <c r="B70" s="4"/>
      <c r="C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122" t="str">
        <f t="shared" si="8"/>
        <v/>
      </c>
      <c r="P70" s="122" t="str">
        <f t="shared" ref="P70:P101" si="15">IF(G70="","",VLOOKUP(G70,SeihinnTB,2,FALSE))</f>
        <v/>
      </c>
      <c r="Q70" s="122">
        <f t="shared" ref="Q70:Q101" si="16">IF(ISERROR(VLOOKUP(E70,SyukkaZ,2,FALSE)),0,VLOOKUP(E70,SyukkaZ,2,FALSE))</f>
        <v>0</v>
      </c>
      <c r="R70" s="122">
        <f t="shared" ref="R70:R101" si="17">I70-M70+Q70</f>
        <v>0</v>
      </c>
      <c r="T70" s="4"/>
      <c r="U70" s="4"/>
      <c r="V70" s="4"/>
      <c r="W70" s="22"/>
      <c r="X70" s="4"/>
      <c r="Y70" s="4"/>
      <c r="Z70" s="4"/>
      <c r="AA70" s="4"/>
      <c r="AB70" s="4"/>
      <c r="AC70" s="4"/>
      <c r="AD70" s="122">
        <f t="shared" si="7"/>
        <v>0</v>
      </c>
      <c r="AE70" s="122" t="str">
        <f t="shared" ref="AE70:AE101" si="18">IF(V70="","",VLOOKUP(V70,SeihinnTB,2,FALSE))</f>
        <v/>
      </c>
      <c r="AF70" s="122">
        <f t="shared" ref="AF70:AF101" si="19">IF(ISERROR(VLOOKUP(T70,SyukkaR,2,FALSE)),0,VLOOKUP(T70,SyukkaR,2,FALSE))</f>
        <v>0</v>
      </c>
      <c r="AG70" s="122">
        <f t="shared" ref="AG70:AG101" si="20">X70-AF70</f>
        <v>0</v>
      </c>
      <c r="AI70" s="4"/>
      <c r="AJ70" s="4"/>
      <c r="AL70" s="4"/>
      <c r="AM70" s="4"/>
    </row>
    <row r="71" spans="2:39" x14ac:dyDescent="0.15">
      <c r="B71" s="4"/>
      <c r="C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122" t="str">
        <f t="shared" ref="O71:O134" si="21">IF(E71="","",I71-R71)</f>
        <v/>
      </c>
      <c r="P71" s="122" t="str">
        <f t="shared" si="15"/>
        <v/>
      </c>
      <c r="Q71" s="122">
        <f t="shared" si="16"/>
        <v>0</v>
      </c>
      <c r="R71" s="122">
        <f t="shared" si="17"/>
        <v>0</v>
      </c>
      <c r="T71" s="4"/>
      <c r="U71" s="4"/>
      <c r="V71" s="4"/>
      <c r="W71" s="22"/>
      <c r="X71" s="4"/>
      <c r="Y71" s="4"/>
      <c r="Z71" s="4"/>
      <c r="AA71" s="4"/>
      <c r="AB71" s="4"/>
      <c r="AC71" s="4"/>
      <c r="AD71" s="122">
        <f t="shared" ref="AD71:AD134" si="22">X71-AG71</f>
        <v>0</v>
      </c>
      <c r="AE71" s="122" t="str">
        <f t="shared" si="18"/>
        <v/>
      </c>
      <c r="AF71" s="122">
        <f t="shared" si="19"/>
        <v>0</v>
      </c>
      <c r="AG71" s="122">
        <f t="shared" si="20"/>
        <v>0</v>
      </c>
      <c r="AI71" s="4"/>
      <c r="AJ71" s="4"/>
      <c r="AL71" s="4"/>
      <c r="AM71" s="4"/>
    </row>
    <row r="72" spans="2:39" x14ac:dyDescent="0.15">
      <c r="B72" s="4"/>
      <c r="C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122" t="str">
        <f t="shared" si="21"/>
        <v/>
      </c>
      <c r="P72" s="122" t="str">
        <f t="shared" si="15"/>
        <v/>
      </c>
      <c r="Q72" s="122">
        <f t="shared" si="16"/>
        <v>0</v>
      </c>
      <c r="R72" s="122">
        <f t="shared" si="17"/>
        <v>0</v>
      </c>
      <c r="T72" s="4"/>
      <c r="U72" s="4"/>
      <c r="V72" s="4"/>
      <c r="W72" s="22"/>
      <c r="X72" s="4"/>
      <c r="Y72" s="4"/>
      <c r="Z72" s="4"/>
      <c r="AA72" s="4"/>
      <c r="AB72" s="4"/>
      <c r="AC72" s="4"/>
      <c r="AD72" s="122">
        <f t="shared" si="22"/>
        <v>0</v>
      </c>
      <c r="AE72" s="122" t="str">
        <f t="shared" si="18"/>
        <v/>
      </c>
      <c r="AF72" s="122">
        <f t="shared" si="19"/>
        <v>0</v>
      </c>
      <c r="AG72" s="122">
        <f t="shared" si="20"/>
        <v>0</v>
      </c>
      <c r="AI72" s="4"/>
      <c r="AJ72" s="4"/>
      <c r="AL72" s="4"/>
      <c r="AM72" s="4"/>
    </row>
    <row r="73" spans="2:39" x14ac:dyDescent="0.15">
      <c r="B73" s="4"/>
      <c r="C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122" t="str">
        <f t="shared" si="21"/>
        <v/>
      </c>
      <c r="P73" s="122" t="str">
        <f t="shared" si="15"/>
        <v/>
      </c>
      <c r="Q73" s="122">
        <f t="shared" si="16"/>
        <v>0</v>
      </c>
      <c r="R73" s="122">
        <f t="shared" si="17"/>
        <v>0</v>
      </c>
      <c r="T73" s="4"/>
      <c r="U73" s="4"/>
      <c r="V73" s="4"/>
      <c r="W73" s="22"/>
      <c r="X73" s="4"/>
      <c r="Y73" s="4"/>
      <c r="Z73" s="4"/>
      <c r="AA73" s="4"/>
      <c r="AB73" s="4"/>
      <c r="AC73" s="4"/>
      <c r="AD73" s="122">
        <f t="shared" si="22"/>
        <v>0</v>
      </c>
      <c r="AE73" s="122" t="str">
        <f t="shared" si="18"/>
        <v/>
      </c>
      <c r="AF73" s="122">
        <f t="shared" si="19"/>
        <v>0</v>
      </c>
      <c r="AG73" s="122">
        <f t="shared" si="20"/>
        <v>0</v>
      </c>
      <c r="AI73" s="4"/>
      <c r="AJ73" s="4"/>
      <c r="AL73" s="4"/>
      <c r="AM73" s="4"/>
    </row>
    <row r="74" spans="2:39" x14ac:dyDescent="0.15">
      <c r="B74" s="4"/>
      <c r="C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122" t="str">
        <f t="shared" si="21"/>
        <v/>
      </c>
      <c r="P74" s="122" t="str">
        <f t="shared" si="15"/>
        <v/>
      </c>
      <c r="Q74" s="122">
        <f t="shared" si="16"/>
        <v>0</v>
      </c>
      <c r="R74" s="122">
        <f t="shared" si="17"/>
        <v>0</v>
      </c>
      <c r="T74" s="4"/>
      <c r="U74" s="4"/>
      <c r="V74" s="4"/>
      <c r="W74" s="22"/>
      <c r="X74" s="4"/>
      <c r="Y74" s="4"/>
      <c r="Z74" s="4"/>
      <c r="AA74" s="4"/>
      <c r="AB74" s="4"/>
      <c r="AC74" s="4"/>
      <c r="AD74" s="122">
        <f t="shared" si="22"/>
        <v>0</v>
      </c>
      <c r="AE74" s="122" t="str">
        <f t="shared" si="18"/>
        <v/>
      </c>
      <c r="AF74" s="122">
        <f t="shared" si="19"/>
        <v>0</v>
      </c>
      <c r="AG74" s="122">
        <f t="shared" si="20"/>
        <v>0</v>
      </c>
      <c r="AI74" s="4"/>
      <c r="AJ74" s="4"/>
      <c r="AL74" s="4"/>
      <c r="AM74" s="4"/>
    </row>
    <row r="75" spans="2:39" x14ac:dyDescent="0.15">
      <c r="B75" s="4"/>
      <c r="C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122" t="str">
        <f t="shared" si="21"/>
        <v/>
      </c>
      <c r="P75" s="122" t="str">
        <f t="shared" si="15"/>
        <v/>
      </c>
      <c r="Q75" s="122">
        <f t="shared" si="16"/>
        <v>0</v>
      </c>
      <c r="R75" s="122">
        <f t="shared" si="17"/>
        <v>0</v>
      </c>
      <c r="T75" s="4"/>
      <c r="U75" s="4"/>
      <c r="V75" s="4"/>
      <c r="W75" s="22"/>
      <c r="X75" s="4"/>
      <c r="Y75" s="4"/>
      <c r="Z75" s="4"/>
      <c r="AA75" s="4"/>
      <c r="AB75" s="4"/>
      <c r="AC75" s="4"/>
      <c r="AD75" s="122">
        <f t="shared" si="22"/>
        <v>0</v>
      </c>
      <c r="AE75" s="122" t="str">
        <f t="shared" si="18"/>
        <v/>
      </c>
      <c r="AF75" s="122">
        <f t="shared" si="19"/>
        <v>0</v>
      </c>
      <c r="AG75" s="122">
        <f t="shared" si="20"/>
        <v>0</v>
      </c>
      <c r="AI75" s="4"/>
      <c r="AJ75" s="4"/>
      <c r="AL75" s="4"/>
      <c r="AM75" s="4"/>
    </row>
    <row r="76" spans="2:39" x14ac:dyDescent="0.15">
      <c r="B76" s="4"/>
      <c r="C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122" t="str">
        <f t="shared" si="21"/>
        <v/>
      </c>
      <c r="P76" s="122" t="str">
        <f t="shared" si="15"/>
        <v/>
      </c>
      <c r="Q76" s="122">
        <f t="shared" si="16"/>
        <v>0</v>
      </c>
      <c r="R76" s="122">
        <f t="shared" si="17"/>
        <v>0</v>
      </c>
      <c r="T76" s="4"/>
      <c r="U76" s="4"/>
      <c r="V76" s="4"/>
      <c r="W76" s="22"/>
      <c r="X76" s="4"/>
      <c r="Y76" s="4"/>
      <c r="Z76" s="4"/>
      <c r="AA76" s="4"/>
      <c r="AB76" s="4"/>
      <c r="AC76" s="4"/>
      <c r="AD76" s="122">
        <f t="shared" si="22"/>
        <v>0</v>
      </c>
      <c r="AE76" s="122" t="str">
        <f t="shared" si="18"/>
        <v/>
      </c>
      <c r="AF76" s="122">
        <f t="shared" si="19"/>
        <v>0</v>
      </c>
      <c r="AG76" s="122">
        <f t="shared" si="20"/>
        <v>0</v>
      </c>
      <c r="AI76" s="4"/>
      <c r="AJ76" s="4"/>
      <c r="AL76" s="4"/>
      <c r="AM76" s="4"/>
    </row>
    <row r="77" spans="2:39" x14ac:dyDescent="0.15">
      <c r="B77" s="4"/>
      <c r="C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22" t="str">
        <f t="shared" si="21"/>
        <v/>
      </c>
      <c r="P77" s="122" t="str">
        <f t="shared" si="15"/>
        <v/>
      </c>
      <c r="Q77" s="122">
        <f t="shared" si="16"/>
        <v>0</v>
      </c>
      <c r="R77" s="122">
        <f t="shared" si="17"/>
        <v>0</v>
      </c>
      <c r="T77" s="4"/>
      <c r="U77" s="4"/>
      <c r="V77" s="4"/>
      <c r="W77" s="22"/>
      <c r="X77" s="4"/>
      <c r="Y77" s="4"/>
      <c r="Z77" s="4"/>
      <c r="AA77" s="4"/>
      <c r="AB77" s="4"/>
      <c r="AC77" s="4"/>
      <c r="AD77" s="122">
        <f t="shared" si="22"/>
        <v>0</v>
      </c>
      <c r="AE77" s="122" t="str">
        <f t="shared" si="18"/>
        <v/>
      </c>
      <c r="AF77" s="122">
        <f t="shared" si="19"/>
        <v>0</v>
      </c>
      <c r="AG77" s="122">
        <f t="shared" si="20"/>
        <v>0</v>
      </c>
      <c r="AI77" s="4"/>
      <c r="AJ77" s="4"/>
      <c r="AL77" s="4"/>
      <c r="AM77" s="4"/>
    </row>
    <row r="78" spans="2:39" x14ac:dyDescent="0.15">
      <c r="B78" s="4"/>
      <c r="C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122" t="str">
        <f t="shared" si="21"/>
        <v/>
      </c>
      <c r="P78" s="122" t="str">
        <f t="shared" si="15"/>
        <v/>
      </c>
      <c r="Q78" s="122">
        <f t="shared" si="16"/>
        <v>0</v>
      </c>
      <c r="R78" s="122">
        <f t="shared" si="17"/>
        <v>0</v>
      </c>
      <c r="T78" s="4"/>
      <c r="U78" s="4"/>
      <c r="V78" s="4"/>
      <c r="W78" s="22"/>
      <c r="X78" s="4"/>
      <c r="Y78" s="4"/>
      <c r="Z78" s="4"/>
      <c r="AA78" s="4"/>
      <c r="AB78" s="4"/>
      <c r="AC78" s="4"/>
      <c r="AD78" s="122">
        <f t="shared" si="22"/>
        <v>0</v>
      </c>
      <c r="AE78" s="122" t="str">
        <f t="shared" si="18"/>
        <v/>
      </c>
      <c r="AF78" s="122">
        <f t="shared" si="19"/>
        <v>0</v>
      </c>
      <c r="AG78" s="122">
        <f t="shared" si="20"/>
        <v>0</v>
      </c>
      <c r="AI78" s="4"/>
      <c r="AJ78" s="4"/>
      <c r="AL78" s="4"/>
      <c r="AM78" s="4"/>
    </row>
    <row r="79" spans="2:39" x14ac:dyDescent="0.15">
      <c r="B79" s="4"/>
      <c r="C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122" t="str">
        <f t="shared" si="21"/>
        <v/>
      </c>
      <c r="P79" s="122" t="str">
        <f t="shared" si="15"/>
        <v/>
      </c>
      <c r="Q79" s="122">
        <f t="shared" si="16"/>
        <v>0</v>
      </c>
      <c r="R79" s="122">
        <f t="shared" si="17"/>
        <v>0</v>
      </c>
      <c r="T79" s="4"/>
      <c r="U79" s="4"/>
      <c r="V79" s="4"/>
      <c r="W79" s="22"/>
      <c r="X79" s="4"/>
      <c r="Y79" s="4"/>
      <c r="Z79" s="4"/>
      <c r="AA79" s="4"/>
      <c r="AB79" s="4"/>
      <c r="AC79" s="4"/>
      <c r="AD79" s="122">
        <f t="shared" si="22"/>
        <v>0</v>
      </c>
      <c r="AE79" s="122" t="str">
        <f t="shared" si="18"/>
        <v/>
      </c>
      <c r="AF79" s="122">
        <f t="shared" si="19"/>
        <v>0</v>
      </c>
      <c r="AG79" s="122">
        <f t="shared" si="20"/>
        <v>0</v>
      </c>
      <c r="AI79" s="4"/>
      <c r="AJ79" s="4"/>
      <c r="AL79" s="4"/>
      <c r="AM79" s="4"/>
    </row>
    <row r="80" spans="2:39" x14ac:dyDescent="0.15">
      <c r="B80" s="4"/>
      <c r="C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122" t="str">
        <f t="shared" si="21"/>
        <v/>
      </c>
      <c r="P80" s="122" t="str">
        <f t="shared" si="15"/>
        <v/>
      </c>
      <c r="Q80" s="122">
        <f t="shared" si="16"/>
        <v>0</v>
      </c>
      <c r="R80" s="122">
        <f t="shared" si="17"/>
        <v>0</v>
      </c>
      <c r="T80" s="4"/>
      <c r="U80" s="4"/>
      <c r="V80" s="4"/>
      <c r="W80" s="22"/>
      <c r="X80" s="4"/>
      <c r="Y80" s="4"/>
      <c r="Z80" s="4"/>
      <c r="AA80" s="4"/>
      <c r="AB80" s="4"/>
      <c r="AC80" s="4"/>
      <c r="AD80" s="122">
        <f t="shared" si="22"/>
        <v>0</v>
      </c>
      <c r="AE80" s="122" t="str">
        <f t="shared" si="18"/>
        <v/>
      </c>
      <c r="AF80" s="122">
        <f t="shared" si="19"/>
        <v>0</v>
      </c>
      <c r="AG80" s="122">
        <f t="shared" si="20"/>
        <v>0</v>
      </c>
      <c r="AI80" s="4"/>
      <c r="AJ80" s="4"/>
      <c r="AL80" s="4"/>
      <c r="AM80" s="4"/>
    </row>
    <row r="81" spans="2:39" x14ac:dyDescent="0.15">
      <c r="B81" s="4"/>
      <c r="C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122" t="str">
        <f t="shared" si="21"/>
        <v/>
      </c>
      <c r="P81" s="122" t="str">
        <f t="shared" si="15"/>
        <v/>
      </c>
      <c r="Q81" s="122">
        <f t="shared" si="16"/>
        <v>0</v>
      </c>
      <c r="R81" s="122">
        <f t="shared" si="17"/>
        <v>0</v>
      </c>
      <c r="T81" s="4"/>
      <c r="U81" s="4"/>
      <c r="V81" s="4"/>
      <c r="W81" s="22"/>
      <c r="X81" s="4"/>
      <c r="Y81" s="4"/>
      <c r="Z81" s="4"/>
      <c r="AA81" s="4"/>
      <c r="AB81" s="4"/>
      <c r="AC81" s="4"/>
      <c r="AD81" s="122">
        <f t="shared" si="22"/>
        <v>0</v>
      </c>
      <c r="AE81" s="122" t="str">
        <f t="shared" si="18"/>
        <v/>
      </c>
      <c r="AF81" s="122">
        <f t="shared" si="19"/>
        <v>0</v>
      </c>
      <c r="AG81" s="122">
        <f t="shared" si="20"/>
        <v>0</v>
      </c>
      <c r="AI81" s="4"/>
      <c r="AJ81" s="4"/>
      <c r="AL81" s="4"/>
      <c r="AM81" s="4"/>
    </row>
    <row r="82" spans="2:39" x14ac:dyDescent="0.15">
      <c r="B82" s="4"/>
      <c r="C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122" t="str">
        <f t="shared" si="21"/>
        <v/>
      </c>
      <c r="P82" s="122" t="str">
        <f t="shared" si="15"/>
        <v/>
      </c>
      <c r="Q82" s="122">
        <f t="shared" si="16"/>
        <v>0</v>
      </c>
      <c r="R82" s="122">
        <f t="shared" si="17"/>
        <v>0</v>
      </c>
      <c r="T82" s="4"/>
      <c r="U82" s="4"/>
      <c r="V82" s="4"/>
      <c r="W82" s="22"/>
      <c r="X82" s="4"/>
      <c r="Y82" s="4"/>
      <c r="Z82" s="4"/>
      <c r="AA82" s="4"/>
      <c r="AB82" s="4"/>
      <c r="AC82" s="4"/>
      <c r="AD82" s="122">
        <f t="shared" si="22"/>
        <v>0</v>
      </c>
      <c r="AE82" s="122" t="str">
        <f t="shared" si="18"/>
        <v/>
      </c>
      <c r="AF82" s="122">
        <f t="shared" si="19"/>
        <v>0</v>
      </c>
      <c r="AG82" s="122">
        <f t="shared" si="20"/>
        <v>0</v>
      </c>
      <c r="AI82" s="4"/>
      <c r="AJ82" s="4"/>
      <c r="AL82" s="4"/>
      <c r="AM82" s="4"/>
    </row>
    <row r="83" spans="2:39" x14ac:dyDescent="0.15">
      <c r="B83" s="4"/>
      <c r="C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122" t="str">
        <f t="shared" si="21"/>
        <v/>
      </c>
      <c r="P83" s="122" t="str">
        <f t="shared" si="15"/>
        <v/>
      </c>
      <c r="Q83" s="122">
        <f t="shared" si="16"/>
        <v>0</v>
      </c>
      <c r="R83" s="122">
        <f t="shared" si="17"/>
        <v>0</v>
      </c>
      <c r="T83" s="4"/>
      <c r="U83" s="4"/>
      <c r="V83" s="4"/>
      <c r="W83" s="22"/>
      <c r="X83" s="4"/>
      <c r="Y83" s="4"/>
      <c r="Z83" s="4"/>
      <c r="AA83" s="4"/>
      <c r="AB83" s="4"/>
      <c r="AC83" s="4"/>
      <c r="AD83" s="122">
        <f t="shared" si="22"/>
        <v>0</v>
      </c>
      <c r="AE83" s="122" t="str">
        <f t="shared" si="18"/>
        <v/>
      </c>
      <c r="AF83" s="122">
        <f t="shared" si="19"/>
        <v>0</v>
      </c>
      <c r="AG83" s="122">
        <f t="shared" si="20"/>
        <v>0</v>
      </c>
      <c r="AI83" s="4"/>
      <c r="AJ83" s="4"/>
      <c r="AL83" s="4"/>
      <c r="AM83" s="4"/>
    </row>
    <row r="84" spans="2:39" x14ac:dyDescent="0.15">
      <c r="B84" s="4"/>
      <c r="C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122" t="str">
        <f t="shared" si="21"/>
        <v/>
      </c>
      <c r="P84" s="122" t="str">
        <f t="shared" si="15"/>
        <v/>
      </c>
      <c r="Q84" s="122">
        <f t="shared" si="16"/>
        <v>0</v>
      </c>
      <c r="R84" s="122">
        <f t="shared" si="17"/>
        <v>0</v>
      </c>
      <c r="T84" s="4"/>
      <c r="U84" s="4"/>
      <c r="V84" s="4"/>
      <c r="W84" s="22"/>
      <c r="X84" s="4"/>
      <c r="Y84" s="4"/>
      <c r="Z84" s="4"/>
      <c r="AA84" s="4"/>
      <c r="AB84" s="4"/>
      <c r="AC84" s="4"/>
      <c r="AD84" s="122">
        <f t="shared" si="22"/>
        <v>0</v>
      </c>
      <c r="AE84" s="122" t="str">
        <f t="shared" si="18"/>
        <v/>
      </c>
      <c r="AF84" s="122">
        <f t="shared" si="19"/>
        <v>0</v>
      </c>
      <c r="AG84" s="122">
        <f t="shared" si="20"/>
        <v>0</v>
      </c>
      <c r="AI84" s="4"/>
      <c r="AJ84" s="4"/>
      <c r="AL84" s="4"/>
      <c r="AM84" s="4"/>
    </row>
    <row r="85" spans="2:39" x14ac:dyDescent="0.15">
      <c r="B85" s="4"/>
      <c r="C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122" t="str">
        <f t="shared" si="21"/>
        <v/>
      </c>
      <c r="P85" s="122" t="str">
        <f t="shared" si="15"/>
        <v/>
      </c>
      <c r="Q85" s="122">
        <f t="shared" si="16"/>
        <v>0</v>
      </c>
      <c r="R85" s="122">
        <f t="shared" si="17"/>
        <v>0</v>
      </c>
      <c r="T85" s="4"/>
      <c r="U85" s="4"/>
      <c r="V85" s="4"/>
      <c r="W85" s="22"/>
      <c r="X85" s="4"/>
      <c r="Y85" s="4"/>
      <c r="Z85" s="4"/>
      <c r="AA85" s="4"/>
      <c r="AB85" s="4"/>
      <c r="AC85" s="4"/>
      <c r="AD85" s="122">
        <f t="shared" si="22"/>
        <v>0</v>
      </c>
      <c r="AE85" s="122" t="str">
        <f t="shared" si="18"/>
        <v/>
      </c>
      <c r="AF85" s="122">
        <f t="shared" si="19"/>
        <v>0</v>
      </c>
      <c r="AG85" s="122">
        <f t="shared" si="20"/>
        <v>0</v>
      </c>
      <c r="AI85" s="4"/>
      <c r="AJ85" s="4"/>
      <c r="AL85" s="4"/>
      <c r="AM85" s="4"/>
    </row>
    <row r="86" spans="2:39" x14ac:dyDescent="0.15">
      <c r="B86" s="4"/>
      <c r="C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122" t="str">
        <f t="shared" si="21"/>
        <v/>
      </c>
      <c r="P86" s="122" t="str">
        <f t="shared" si="15"/>
        <v/>
      </c>
      <c r="Q86" s="122">
        <f t="shared" si="16"/>
        <v>0</v>
      </c>
      <c r="R86" s="122">
        <f t="shared" si="17"/>
        <v>0</v>
      </c>
      <c r="T86" s="4"/>
      <c r="U86" s="4"/>
      <c r="V86" s="4"/>
      <c r="W86" s="22"/>
      <c r="X86" s="4"/>
      <c r="Y86" s="4"/>
      <c r="Z86" s="4"/>
      <c r="AA86" s="4"/>
      <c r="AB86" s="4"/>
      <c r="AC86" s="4"/>
      <c r="AD86" s="122">
        <f t="shared" si="22"/>
        <v>0</v>
      </c>
      <c r="AE86" s="122" t="str">
        <f t="shared" si="18"/>
        <v/>
      </c>
      <c r="AF86" s="122">
        <f t="shared" si="19"/>
        <v>0</v>
      </c>
      <c r="AG86" s="122">
        <f t="shared" si="20"/>
        <v>0</v>
      </c>
      <c r="AI86" s="4"/>
      <c r="AJ86" s="4"/>
      <c r="AL86" s="4"/>
      <c r="AM86" s="4"/>
    </row>
    <row r="87" spans="2:39" x14ac:dyDescent="0.15">
      <c r="B87" s="4"/>
      <c r="C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122" t="str">
        <f t="shared" si="21"/>
        <v/>
      </c>
      <c r="P87" s="122" t="str">
        <f t="shared" si="15"/>
        <v/>
      </c>
      <c r="Q87" s="122">
        <f t="shared" si="16"/>
        <v>0</v>
      </c>
      <c r="R87" s="122">
        <f t="shared" si="17"/>
        <v>0</v>
      </c>
      <c r="T87" s="4"/>
      <c r="U87" s="4"/>
      <c r="V87" s="4"/>
      <c r="W87" s="22"/>
      <c r="X87" s="4"/>
      <c r="Y87" s="4"/>
      <c r="Z87" s="4"/>
      <c r="AA87" s="4"/>
      <c r="AB87" s="4"/>
      <c r="AC87" s="4"/>
      <c r="AD87" s="122">
        <f t="shared" si="22"/>
        <v>0</v>
      </c>
      <c r="AE87" s="122" t="str">
        <f t="shared" si="18"/>
        <v/>
      </c>
      <c r="AF87" s="122">
        <f t="shared" si="19"/>
        <v>0</v>
      </c>
      <c r="AG87" s="122">
        <f t="shared" si="20"/>
        <v>0</v>
      </c>
      <c r="AI87" s="4"/>
      <c r="AJ87" s="4"/>
      <c r="AL87" s="4"/>
      <c r="AM87" s="4"/>
    </row>
    <row r="88" spans="2:39" x14ac:dyDescent="0.15">
      <c r="B88" s="4"/>
      <c r="C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122" t="str">
        <f t="shared" si="21"/>
        <v/>
      </c>
      <c r="P88" s="122" t="str">
        <f t="shared" si="15"/>
        <v/>
      </c>
      <c r="Q88" s="122">
        <f t="shared" si="16"/>
        <v>0</v>
      </c>
      <c r="R88" s="122">
        <f t="shared" si="17"/>
        <v>0</v>
      </c>
      <c r="T88" s="4"/>
      <c r="U88" s="4"/>
      <c r="V88" s="4"/>
      <c r="W88" s="22"/>
      <c r="X88" s="4"/>
      <c r="Y88" s="4"/>
      <c r="Z88" s="4"/>
      <c r="AA88" s="4"/>
      <c r="AB88" s="4"/>
      <c r="AC88" s="4"/>
      <c r="AD88" s="122">
        <f t="shared" si="22"/>
        <v>0</v>
      </c>
      <c r="AE88" s="122" t="str">
        <f t="shared" si="18"/>
        <v/>
      </c>
      <c r="AF88" s="122">
        <f t="shared" si="19"/>
        <v>0</v>
      </c>
      <c r="AG88" s="122">
        <f t="shared" si="20"/>
        <v>0</v>
      </c>
      <c r="AI88" s="4"/>
      <c r="AJ88" s="4"/>
      <c r="AL88" s="4"/>
      <c r="AM88" s="4"/>
    </row>
    <row r="89" spans="2:39" x14ac:dyDescent="0.15">
      <c r="B89" s="4"/>
      <c r="C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122" t="str">
        <f t="shared" si="21"/>
        <v/>
      </c>
      <c r="P89" s="122" t="str">
        <f t="shared" si="15"/>
        <v/>
      </c>
      <c r="Q89" s="122">
        <f t="shared" si="16"/>
        <v>0</v>
      </c>
      <c r="R89" s="122">
        <f t="shared" si="17"/>
        <v>0</v>
      </c>
      <c r="T89" s="4"/>
      <c r="U89" s="4"/>
      <c r="V89" s="4"/>
      <c r="W89" s="22"/>
      <c r="X89" s="4"/>
      <c r="Y89" s="4"/>
      <c r="Z89" s="4"/>
      <c r="AA89" s="4"/>
      <c r="AB89" s="4"/>
      <c r="AC89" s="4"/>
      <c r="AD89" s="122">
        <f t="shared" si="22"/>
        <v>0</v>
      </c>
      <c r="AE89" s="122" t="str">
        <f t="shared" si="18"/>
        <v/>
      </c>
      <c r="AF89" s="122">
        <f t="shared" si="19"/>
        <v>0</v>
      </c>
      <c r="AG89" s="122">
        <f t="shared" si="20"/>
        <v>0</v>
      </c>
      <c r="AI89" s="4"/>
      <c r="AJ89" s="4"/>
      <c r="AL89" s="4"/>
      <c r="AM89" s="4"/>
    </row>
    <row r="90" spans="2:39" x14ac:dyDescent="0.15">
      <c r="B90" s="4"/>
      <c r="C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122" t="str">
        <f t="shared" si="21"/>
        <v/>
      </c>
      <c r="P90" s="122" t="str">
        <f t="shared" si="15"/>
        <v/>
      </c>
      <c r="Q90" s="122">
        <f t="shared" si="16"/>
        <v>0</v>
      </c>
      <c r="R90" s="122">
        <f t="shared" si="17"/>
        <v>0</v>
      </c>
      <c r="T90" s="4"/>
      <c r="U90" s="4"/>
      <c r="V90" s="4"/>
      <c r="W90" s="22"/>
      <c r="X90" s="4"/>
      <c r="Y90" s="4"/>
      <c r="Z90" s="4"/>
      <c r="AA90" s="4"/>
      <c r="AB90" s="4"/>
      <c r="AC90" s="4"/>
      <c r="AD90" s="122">
        <f t="shared" si="22"/>
        <v>0</v>
      </c>
      <c r="AE90" s="122" t="str">
        <f t="shared" si="18"/>
        <v/>
      </c>
      <c r="AF90" s="122">
        <f t="shared" si="19"/>
        <v>0</v>
      </c>
      <c r="AG90" s="122">
        <f t="shared" si="20"/>
        <v>0</v>
      </c>
      <c r="AI90" s="4"/>
      <c r="AJ90" s="4"/>
      <c r="AL90" s="4"/>
      <c r="AM90" s="4"/>
    </row>
    <row r="91" spans="2:39" x14ac:dyDescent="0.15">
      <c r="B91" s="4"/>
      <c r="C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122" t="str">
        <f t="shared" si="21"/>
        <v/>
      </c>
      <c r="P91" s="122" t="str">
        <f t="shared" si="15"/>
        <v/>
      </c>
      <c r="Q91" s="122">
        <f t="shared" si="16"/>
        <v>0</v>
      </c>
      <c r="R91" s="122">
        <f t="shared" si="17"/>
        <v>0</v>
      </c>
      <c r="T91" s="4"/>
      <c r="U91" s="4"/>
      <c r="V91" s="4"/>
      <c r="W91" s="22"/>
      <c r="X91" s="4"/>
      <c r="Y91" s="4"/>
      <c r="Z91" s="4"/>
      <c r="AA91" s="4"/>
      <c r="AB91" s="4"/>
      <c r="AC91" s="4"/>
      <c r="AD91" s="122">
        <f t="shared" si="22"/>
        <v>0</v>
      </c>
      <c r="AE91" s="122" t="str">
        <f t="shared" si="18"/>
        <v/>
      </c>
      <c r="AF91" s="122">
        <f t="shared" si="19"/>
        <v>0</v>
      </c>
      <c r="AG91" s="122">
        <f t="shared" si="20"/>
        <v>0</v>
      </c>
      <c r="AI91" s="4"/>
      <c r="AJ91" s="4"/>
      <c r="AL91" s="4"/>
      <c r="AM91" s="4"/>
    </row>
    <row r="92" spans="2:39" x14ac:dyDescent="0.15">
      <c r="B92" s="4"/>
      <c r="C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122" t="str">
        <f t="shared" si="21"/>
        <v/>
      </c>
      <c r="P92" s="122" t="str">
        <f t="shared" si="15"/>
        <v/>
      </c>
      <c r="Q92" s="122">
        <f t="shared" si="16"/>
        <v>0</v>
      </c>
      <c r="R92" s="122">
        <f t="shared" si="17"/>
        <v>0</v>
      </c>
      <c r="T92" s="4"/>
      <c r="U92" s="4"/>
      <c r="V92" s="4"/>
      <c r="W92" s="22"/>
      <c r="X92" s="4"/>
      <c r="Y92" s="4"/>
      <c r="Z92" s="4"/>
      <c r="AA92" s="4"/>
      <c r="AB92" s="4"/>
      <c r="AC92" s="4"/>
      <c r="AD92" s="122">
        <f t="shared" si="22"/>
        <v>0</v>
      </c>
      <c r="AE92" s="122" t="str">
        <f t="shared" si="18"/>
        <v/>
      </c>
      <c r="AF92" s="122">
        <f t="shared" si="19"/>
        <v>0</v>
      </c>
      <c r="AG92" s="122">
        <f t="shared" si="20"/>
        <v>0</v>
      </c>
      <c r="AI92" s="4"/>
      <c r="AJ92" s="4"/>
      <c r="AL92" s="4"/>
      <c r="AM92" s="4"/>
    </row>
    <row r="93" spans="2:39" x14ac:dyDescent="0.15">
      <c r="B93" s="4"/>
      <c r="C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122" t="str">
        <f t="shared" si="21"/>
        <v/>
      </c>
      <c r="P93" s="122" t="str">
        <f t="shared" si="15"/>
        <v/>
      </c>
      <c r="Q93" s="122">
        <f t="shared" si="16"/>
        <v>0</v>
      </c>
      <c r="R93" s="122">
        <f t="shared" si="17"/>
        <v>0</v>
      </c>
      <c r="T93" s="4"/>
      <c r="U93" s="4"/>
      <c r="V93" s="4"/>
      <c r="W93" s="22"/>
      <c r="X93" s="4"/>
      <c r="Y93" s="4"/>
      <c r="Z93" s="4"/>
      <c r="AA93" s="4"/>
      <c r="AB93" s="4"/>
      <c r="AC93" s="4"/>
      <c r="AD93" s="122">
        <f t="shared" si="22"/>
        <v>0</v>
      </c>
      <c r="AE93" s="122" t="str">
        <f t="shared" si="18"/>
        <v/>
      </c>
      <c r="AF93" s="122">
        <f t="shared" si="19"/>
        <v>0</v>
      </c>
      <c r="AG93" s="122">
        <f t="shared" si="20"/>
        <v>0</v>
      </c>
      <c r="AI93" s="4"/>
      <c r="AJ93" s="4"/>
      <c r="AL93" s="4"/>
      <c r="AM93" s="4"/>
    </row>
    <row r="94" spans="2:39" x14ac:dyDescent="0.15">
      <c r="B94" s="4"/>
      <c r="C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122" t="str">
        <f t="shared" si="21"/>
        <v/>
      </c>
      <c r="P94" s="122" t="str">
        <f t="shared" si="15"/>
        <v/>
      </c>
      <c r="Q94" s="122">
        <f t="shared" si="16"/>
        <v>0</v>
      </c>
      <c r="R94" s="122">
        <f t="shared" si="17"/>
        <v>0</v>
      </c>
      <c r="T94" s="4"/>
      <c r="U94" s="4"/>
      <c r="V94" s="4"/>
      <c r="W94" s="22"/>
      <c r="X94" s="4"/>
      <c r="Y94" s="4"/>
      <c r="Z94" s="4"/>
      <c r="AA94" s="4"/>
      <c r="AB94" s="4"/>
      <c r="AC94" s="4"/>
      <c r="AD94" s="122">
        <f t="shared" si="22"/>
        <v>0</v>
      </c>
      <c r="AE94" s="122" t="str">
        <f t="shared" si="18"/>
        <v/>
      </c>
      <c r="AF94" s="122">
        <f t="shared" si="19"/>
        <v>0</v>
      </c>
      <c r="AG94" s="122">
        <f t="shared" si="20"/>
        <v>0</v>
      </c>
      <c r="AI94" s="4"/>
      <c r="AJ94" s="4"/>
      <c r="AL94" s="4"/>
      <c r="AM94" s="4"/>
    </row>
    <row r="95" spans="2:39" x14ac:dyDescent="0.15">
      <c r="B95" s="4"/>
      <c r="C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122" t="str">
        <f t="shared" si="21"/>
        <v/>
      </c>
      <c r="P95" s="122" t="str">
        <f t="shared" si="15"/>
        <v/>
      </c>
      <c r="Q95" s="122">
        <f t="shared" si="16"/>
        <v>0</v>
      </c>
      <c r="R95" s="122">
        <f t="shared" si="17"/>
        <v>0</v>
      </c>
      <c r="T95" s="4"/>
      <c r="U95" s="4"/>
      <c r="V95" s="4"/>
      <c r="W95" s="22"/>
      <c r="X95" s="4"/>
      <c r="Y95" s="4"/>
      <c r="Z95" s="4"/>
      <c r="AA95" s="4"/>
      <c r="AB95" s="4"/>
      <c r="AC95" s="4"/>
      <c r="AD95" s="122">
        <f t="shared" si="22"/>
        <v>0</v>
      </c>
      <c r="AE95" s="122" t="str">
        <f t="shared" si="18"/>
        <v/>
      </c>
      <c r="AF95" s="122">
        <f t="shared" si="19"/>
        <v>0</v>
      </c>
      <c r="AG95" s="122">
        <f t="shared" si="20"/>
        <v>0</v>
      </c>
      <c r="AI95" s="4"/>
      <c r="AJ95" s="4"/>
      <c r="AL95" s="4"/>
      <c r="AM95" s="4"/>
    </row>
    <row r="96" spans="2:39" x14ac:dyDescent="0.15">
      <c r="B96" s="4"/>
      <c r="C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122" t="str">
        <f t="shared" si="21"/>
        <v/>
      </c>
      <c r="P96" s="122" t="str">
        <f t="shared" si="15"/>
        <v/>
      </c>
      <c r="Q96" s="122">
        <f t="shared" si="16"/>
        <v>0</v>
      </c>
      <c r="R96" s="122">
        <f t="shared" si="17"/>
        <v>0</v>
      </c>
      <c r="T96" s="4"/>
      <c r="U96" s="4"/>
      <c r="V96" s="4"/>
      <c r="W96" s="22"/>
      <c r="X96" s="4"/>
      <c r="Y96" s="4"/>
      <c r="Z96" s="4"/>
      <c r="AA96" s="4"/>
      <c r="AB96" s="4"/>
      <c r="AC96" s="4"/>
      <c r="AD96" s="122">
        <f t="shared" si="22"/>
        <v>0</v>
      </c>
      <c r="AE96" s="122" t="str">
        <f t="shared" si="18"/>
        <v/>
      </c>
      <c r="AF96" s="122">
        <f t="shared" si="19"/>
        <v>0</v>
      </c>
      <c r="AG96" s="122">
        <f t="shared" si="20"/>
        <v>0</v>
      </c>
      <c r="AI96" s="4"/>
      <c r="AJ96" s="4"/>
      <c r="AL96" s="4"/>
      <c r="AM96" s="4"/>
    </row>
    <row r="97" spans="2:39" x14ac:dyDescent="0.15">
      <c r="B97" s="4"/>
      <c r="C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122" t="str">
        <f t="shared" si="21"/>
        <v/>
      </c>
      <c r="P97" s="122" t="str">
        <f t="shared" si="15"/>
        <v/>
      </c>
      <c r="Q97" s="122">
        <f t="shared" si="16"/>
        <v>0</v>
      </c>
      <c r="R97" s="122">
        <f t="shared" si="17"/>
        <v>0</v>
      </c>
      <c r="T97" s="4"/>
      <c r="U97" s="4"/>
      <c r="V97" s="4"/>
      <c r="W97" s="22"/>
      <c r="X97" s="4"/>
      <c r="Y97" s="4"/>
      <c r="Z97" s="4"/>
      <c r="AA97" s="4"/>
      <c r="AB97" s="4"/>
      <c r="AC97" s="4"/>
      <c r="AD97" s="122">
        <f t="shared" si="22"/>
        <v>0</v>
      </c>
      <c r="AE97" s="122" t="str">
        <f t="shared" si="18"/>
        <v/>
      </c>
      <c r="AF97" s="122">
        <f t="shared" si="19"/>
        <v>0</v>
      </c>
      <c r="AG97" s="122">
        <f t="shared" si="20"/>
        <v>0</v>
      </c>
      <c r="AI97" s="4"/>
      <c r="AJ97" s="4"/>
      <c r="AL97" s="4"/>
      <c r="AM97" s="4"/>
    </row>
    <row r="98" spans="2:39" x14ac:dyDescent="0.15">
      <c r="B98" s="4"/>
      <c r="C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122" t="str">
        <f t="shared" si="21"/>
        <v/>
      </c>
      <c r="P98" s="122" t="str">
        <f t="shared" si="15"/>
        <v/>
      </c>
      <c r="Q98" s="122">
        <f t="shared" si="16"/>
        <v>0</v>
      </c>
      <c r="R98" s="122">
        <f t="shared" si="17"/>
        <v>0</v>
      </c>
      <c r="T98" s="4"/>
      <c r="U98" s="4"/>
      <c r="V98" s="4"/>
      <c r="W98" s="22"/>
      <c r="X98" s="4"/>
      <c r="Y98" s="4"/>
      <c r="Z98" s="4"/>
      <c r="AA98" s="4"/>
      <c r="AB98" s="4"/>
      <c r="AC98" s="4"/>
      <c r="AD98" s="122">
        <f t="shared" si="22"/>
        <v>0</v>
      </c>
      <c r="AE98" s="122" t="str">
        <f t="shared" si="18"/>
        <v/>
      </c>
      <c r="AF98" s="122">
        <f t="shared" si="19"/>
        <v>0</v>
      </c>
      <c r="AG98" s="122">
        <f t="shared" si="20"/>
        <v>0</v>
      </c>
      <c r="AI98" s="4"/>
      <c r="AJ98" s="4"/>
      <c r="AL98" s="4"/>
      <c r="AM98" s="4"/>
    </row>
    <row r="99" spans="2:39" x14ac:dyDescent="0.15">
      <c r="B99" s="4"/>
      <c r="C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122" t="str">
        <f t="shared" si="21"/>
        <v/>
      </c>
      <c r="P99" s="122" t="str">
        <f t="shared" si="15"/>
        <v/>
      </c>
      <c r="Q99" s="122">
        <f t="shared" si="16"/>
        <v>0</v>
      </c>
      <c r="R99" s="122">
        <f t="shared" si="17"/>
        <v>0</v>
      </c>
      <c r="T99" s="4"/>
      <c r="U99" s="4"/>
      <c r="V99" s="4"/>
      <c r="W99" s="22"/>
      <c r="X99" s="4"/>
      <c r="Y99" s="4"/>
      <c r="Z99" s="4"/>
      <c r="AA99" s="4"/>
      <c r="AB99" s="4"/>
      <c r="AC99" s="4"/>
      <c r="AD99" s="122">
        <f t="shared" si="22"/>
        <v>0</v>
      </c>
      <c r="AE99" s="122" t="str">
        <f t="shared" si="18"/>
        <v/>
      </c>
      <c r="AF99" s="122">
        <f t="shared" si="19"/>
        <v>0</v>
      </c>
      <c r="AG99" s="122">
        <f t="shared" si="20"/>
        <v>0</v>
      </c>
      <c r="AI99" s="4"/>
      <c r="AJ99" s="4"/>
      <c r="AL99" s="4"/>
      <c r="AM99" s="4"/>
    </row>
    <row r="100" spans="2:39" x14ac:dyDescent="0.15">
      <c r="B100" s="4"/>
      <c r="C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122" t="str">
        <f t="shared" si="21"/>
        <v/>
      </c>
      <c r="P100" s="122" t="str">
        <f t="shared" si="15"/>
        <v/>
      </c>
      <c r="Q100" s="122">
        <f t="shared" si="16"/>
        <v>0</v>
      </c>
      <c r="R100" s="122">
        <f t="shared" si="17"/>
        <v>0</v>
      </c>
      <c r="T100" s="4"/>
      <c r="U100" s="4"/>
      <c r="V100" s="4"/>
      <c r="W100" s="22"/>
      <c r="X100" s="4"/>
      <c r="Y100" s="4"/>
      <c r="Z100" s="4"/>
      <c r="AA100" s="4"/>
      <c r="AB100" s="4"/>
      <c r="AC100" s="4"/>
      <c r="AD100" s="122">
        <f t="shared" si="22"/>
        <v>0</v>
      </c>
      <c r="AE100" s="122" t="str">
        <f t="shared" si="18"/>
        <v/>
      </c>
      <c r="AF100" s="122">
        <f t="shared" si="19"/>
        <v>0</v>
      </c>
      <c r="AG100" s="122">
        <f t="shared" si="20"/>
        <v>0</v>
      </c>
      <c r="AI100" s="4"/>
      <c r="AJ100" s="4"/>
      <c r="AL100" s="4"/>
      <c r="AM100" s="4"/>
    </row>
    <row r="101" spans="2:39" x14ac:dyDescent="0.15">
      <c r="B101" s="4"/>
      <c r="C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122" t="str">
        <f t="shared" si="21"/>
        <v/>
      </c>
      <c r="P101" s="122" t="str">
        <f t="shared" si="15"/>
        <v/>
      </c>
      <c r="Q101" s="122">
        <f t="shared" si="16"/>
        <v>0</v>
      </c>
      <c r="R101" s="122">
        <f t="shared" si="17"/>
        <v>0</v>
      </c>
      <c r="T101" s="4"/>
      <c r="U101" s="4"/>
      <c r="V101" s="4"/>
      <c r="W101" s="22"/>
      <c r="X101" s="4"/>
      <c r="Y101" s="4"/>
      <c r="Z101" s="4"/>
      <c r="AA101" s="4"/>
      <c r="AB101" s="4"/>
      <c r="AC101" s="4"/>
      <c r="AD101" s="122">
        <f t="shared" si="22"/>
        <v>0</v>
      </c>
      <c r="AE101" s="122" t="str">
        <f t="shared" si="18"/>
        <v/>
      </c>
      <c r="AF101" s="122">
        <f t="shared" si="19"/>
        <v>0</v>
      </c>
      <c r="AG101" s="122">
        <f t="shared" si="20"/>
        <v>0</v>
      </c>
      <c r="AI101" s="4"/>
      <c r="AJ101" s="4"/>
      <c r="AL101" s="4"/>
      <c r="AM101" s="4"/>
    </row>
    <row r="102" spans="2:39" x14ac:dyDescent="0.15">
      <c r="B102" s="4"/>
      <c r="C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122" t="str">
        <f t="shared" si="21"/>
        <v/>
      </c>
      <c r="P102" s="122" t="str">
        <f t="shared" ref="P102:P133" si="23">IF(G102="","",VLOOKUP(G102,SeihinnTB,2,FALSE))</f>
        <v/>
      </c>
      <c r="Q102" s="122">
        <f t="shared" ref="Q102:Q133" si="24">IF(ISERROR(VLOOKUP(E102,SyukkaZ,2,FALSE)),0,VLOOKUP(E102,SyukkaZ,2,FALSE))</f>
        <v>0</v>
      </c>
      <c r="R102" s="122">
        <f t="shared" ref="R102:R133" si="25">I102-M102+Q102</f>
        <v>0</v>
      </c>
      <c r="T102" s="4"/>
      <c r="U102" s="4"/>
      <c r="V102" s="4"/>
      <c r="W102" s="22"/>
      <c r="X102" s="4"/>
      <c r="Y102" s="4"/>
      <c r="Z102" s="4"/>
      <c r="AA102" s="4"/>
      <c r="AB102" s="4"/>
      <c r="AC102" s="4"/>
      <c r="AD102" s="122">
        <f t="shared" si="22"/>
        <v>0</v>
      </c>
      <c r="AE102" s="122" t="str">
        <f t="shared" ref="AE102:AE133" si="26">IF(V102="","",VLOOKUP(V102,SeihinnTB,2,FALSE))</f>
        <v/>
      </c>
      <c r="AF102" s="122">
        <f t="shared" ref="AF102:AF133" si="27">IF(ISERROR(VLOOKUP(T102,SyukkaR,2,FALSE)),0,VLOOKUP(T102,SyukkaR,2,FALSE))</f>
        <v>0</v>
      </c>
      <c r="AG102" s="122">
        <f t="shared" ref="AG102:AG133" si="28">X102-AF102</f>
        <v>0</v>
      </c>
      <c r="AI102" s="4"/>
      <c r="AJ102" s="4"/>
      <c r="AL102" s="4"/>
      <c r="AM102" s="4"/>
    </row>
    <row r="103" spans="2:39" x14ac:dyDescent="0.15">
      <c r="B103" s="4"/>
      <c r="C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122" t="str">
        <f t="shared" si="21"/>
        <v/>
      </c>
      <c r="P103" s="122" t="str">
        <f t="shared" si="23"/>
        <v/>
      </c>
      <c r="Q103" s="122">
        <f t="shared" si="24"/>
        <v>0</v>
      </c>
      <c r="R103" s="122">
        <f t="shared" si="25"/>
        <v>0</v>
      </c>
      <c r="T103" s="4"/>
      <c r="U103" s="4"/>
      <c r="V103" s="4"/>
      <c r="W103" s="22"/>
      <c r="X103" s="4"/>
      <c r="Y103" s="4"/>
      <c r="Z103" s="4"/>
      <c r="AA103" s="4"/>
      <c r="AB103" s="4"/>
      <c r="AC103" s="4"/>
      <c r="AD103" s="122">
        <f t="shared" si="22"/>
        <v>0</v>
      </c>
      <c r="AE103" s="122" t="str">
        <f t="shared" si="26"/>
        <v/>
      </c>
      <c r="AF103" s="122">
        <f t="shared" si="27"/>
        <v>0</v>
      </c>
      <c r="AG103" s="122">
        <f t="shared" si="28"/>
        <v>0</v>
      </c>
      <c r="AI103" s="4"/>
      <c r="AJ103" s="4"/>
      <c r="AL103" s="4"/>
      <c r="AM103" s="4"/>
    </row>
    <row r="104" spans="2:39" x14ac:dyDescent="0.15">
      <c r="B104" s="4"/>
      <c r="C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122" t="str">
        <f t="shared" si="21"/>
        <v/>
      </c>
      <c r="P104" s="122" t="str">
        <f t="shared" si="23"/>
        <v/>
      </c>
      <c r="Q104" s="122">
        <f t="shared" si="24"/>
        <v>0</v>
      </c>
      <c r="R104" s="122">
        <f t="shared" si="25"/>
        <v>0</v>
      </c>
      <c r="T104" s="4"/>
      <c r="U104" s="4"/>
      <c r="V104" s="4"/>
      <c r="W104" s="22"/>
      <c r="X104" s="4"/>
      <c r="Y104" s="4"/>
      <c r="Z104" s="4"/>
      <c r="AA104" s="4"/>
      <c r="AB104" s="4"/>
      <c r="AC104" s="4"/>
      <c r="AD104" s="122">
        <f t="shared" si="22"/>
        <v>0</v>
      </c>
      <c r="AE104" s="122" t="str">
        <f t="shared" si="26"/>
        <v/>
      </c>
      <c r="AF104" s="122">
        <f t="shared" si="27"/>
        <v>0</v>
      </c>
      <c r="AG104" s="122">
        <f t="shared" si="28"/>
        <v>0</v>
      </c>
      <c r="AI104" s="4"/>
      <c r="AJ104" s="4"/>
      <c r="AL104" s="4"/>
      <c r="AM104" s="4"/>
    </row>
    <row r="105" spans="2:39" x14ac:dyDescent="0.15">
      <c r="B105" s="4"/>
      <c r="C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122" t="str">
        <f t="shared" si="21"/>
        <v/>
      </c>
      <c r="P105" s="122" t="str">
        <f t="shared" si="23"/>
        <v/>
      </c>
      <c r="Q105" s="122">
        <f t="shared" si="24"/>
        <v>0</v>
      </c>
      <c r="R105" s="122">
        <f t="shared" si="25"/>
        <v>0</v>
      </c>
      <c r="T105" s="4"/>
      <c r="U105" s="4"/>
      <c r="V105" s="4"/>
      <c r="W105" s="22"/>
      <c r="X105" s="4"/>
      <c r="Y105" s="4"/>
      <c r="Z105" s="4"/>
      <c r="AA105" s="4"/>
      <c r="AB105" s="4"/>
      <c r="AC105" s="4"/>
      <c r="AD105" s="122">
        <f t="shared" si="22"/>
        <v>0</v>
      </c>
      <c r="AE105" s="122" t="str">
        <f t="shared" si="26"/>
        <v/>
      </c>
      <c r="AF105" s="122">
        <f t="shared" si="27"/>
        <v>0</v>
      </c>
      <c r="AG105" s="122">
        <f t="shared" si="28"/>
        <v>0</v>
      </c>
      <c r="AI105" s="4"/>
      <c r="AJ105" s="4"/>
      <c r="AL105" s="4"/>
      <c r="AM105" s="4"/>
    </row>
    <row r="106" spans="2:39" x14ac:dyDescent="0.15">
      <c r="B106" s="4"/>
      <c r="C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122" t="str">
        <f t="shared" si="21"/>
        <v/>
      </c>
      <c r="P106" s="122" t="str">
        <f t="shared" si="23"/>
        <v/>
      </c>
      <c r="Q106" s="122">
        <f t="shared" si="24"/>
        <v>0</v>
      </c>
      <c r="R106" s="122">
        <f t="shared" si="25"/>
        <v>0</v>
      </c>
      <c r="T106" s="4"/>
      <c r="U106" s="4"/>
      <c r="V106" s="4"/>
      <c r="W106" s="22"/>
      <c r="X106" s="4"/>
      <c r="Y106" s="4"/>
      <c r="Z106" s="4"/>
      <c r="AA106" s="4"/>
      <c r="AB106" s="4"/>
      <c r="AC106" s="4"/>
      <c r="AD106" s="122">
        <f t="shared" si="22"/>
        <v>0</v>
      </c>
      <c r="AE106" s="122" t="str">
        <f t="shared" si="26"/>
        <v/>
      </c>
      <c r="AF106" s="122">
        <f t="shared" si="27"/>
        <v>0</v>
      </c>
      <c r="AG106" s="122">
        <f t="shared" si="28"/>
        <v>0</v>
      </c>
      <c r="AI106" s="4"/>
      <c r="AJ106" s="4"/>
      <c r="AL106" s="4"/>
      <c r="AM106" s="4"/>
    </row>
    <row r="107" spans="2:39" x14ac:dyDescent="0.15">
      <c r="B107" s="4"/>
      <c r="C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122" t="str">
        <f t="shared" si="21"/>
        <v/>
      </c>
      <c r="P107" s="122" t="str">
        <f t="shared" si="23"/>
        <v/>
      </c>
      <c r="Q107" s="122">
        <f t="shared" si="24"/>
        <v>0</v>
      </c>
      <c r="R107" s="122">
        <f t="shared" si="25"/>
        <v>0</v>
      </c>
      <c r="T107" s="4"/>
      <c r="U107" s="4"/>
      <c r="V107" s="4"/>
      <c r="W107" s="22"/>
      <c r="X107" s="4"/>
      <c r="Y107" s="4"/>
      <c r="Z107" s="4"/>
      <c r="AA107" s="4"/>
      <c r="AB107" s="4"/>
      <c r="AC107" s="4"/>
      <c r="AD107" s="122">
        <f t="shared" si="22"/>
        <v>0</v>
      </c>
      <c r="AE107" s="122" t="str">
        <f t="shared" si="26"/>
        <v/>
      </c>
      <c r="AF107" s="122">
        <f t="shared" si="27"/>
        <v>0</v>
      </c>
      <c r="AG107" s="122">
        <f t="shared" si="28"/>
        <v>0</v>
      </c>
      <c r="AI107" s="4"/>
      <c r="AJ107" s="4"/>
      <c r="AL107" s="4"/>
      <c r="AM107" s="4"/>
    </row>
    <row r="108" spans="2:39" x14ac:dyDescent="0.15">
      <c r="B108" s="4"/>
      <c r="C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122" t="str">
        <f t="shared" si="21"/>
        <v/>
      </c>
      <c r="P108" s="122" t="str">
        <f t="shared" si="23"/>
        <v/>
      </c>
      <c r="Q108" s="122">
        <f t="shared" si="24"/>
        <v>0</v>
      </c>
      <c r="R108" s="122">
        <f t="shared" si="25"/>
        <v>0</v>
      </c>
      <c r="T108" s="4"/>
      <c r="U108" s="4"/>
      <c r="V108" s="4"/>
      <c r="W108" s="22"/>
      <c r="X108" s="4"/>
      <c r="Y108" s="4"/>
      <c r="Z108" s="4"/>
      <c r="AA108" s="4"/>
      <c r="AB108" s="4"/>
      <c r="AC108" s="4"/>
      <c r="AD108" s="122">
        <f t="shared" si="22"/>
        <v>0</v>
      </c>
      <c r="AE108" s="122" t="str">
        <f t="shared" si="26"/>
        <v/>
      </c>
      <c r="AF108" s="122">
        <f t="shared" si="27"/>
        <v>0</v>
      </c>
      <c r="AG108" s="122">
        <f t="shared" si="28"/>
        <v>0</v>
      </c>
      <c r="AI108" s="4"/>
      <c r="AJ108" s="4"/>
      <c r="AL108" s="4"/>
      <c r="AM108" s="4"/>
    </row>
    <row r="109" spans="2:39" x14ac:dyDescent="0.15">
      <c r="B109" s="4"/>
      <c r="C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122" t="str">
        <f t="shared" si="21"/>
        <v/>
      </c>
      <c r="P109" s="122" t="str">
        <f t="shared" si="23"/>
        <v/>
      </c>
      <c r="Q109" s="122">
        <f t="shared" si="24"/>
        <v>0</v>
      </c>
      <c r="R109" s="122">
        <f t="shared" si="25"/>
        <v>0</v>
      </c>
      <c r="T109" s="4"/>
      <c r="U109" s="4"/>
      <c r="V109" s="4"/>
      <c r="W109" s="22"/>
      <c r="X109" s="4"/>
      <c r="Y109" s="4"/>
      <c r="Z109" s="4"/>
      <c r="AA109" s="4"/>
      <c r="AB109" s="4"/>
      <c r="AC109" s="4"/>
      <c r="AD109" s="122">
        <f t="shared" si="22"/>
        <v>0</v>
      </c>
      <c r="AE109" s="122" t="str">
        <f t="shared" si="26"/>
        <v/>
      </c>
      <c r="AF109" s="122">
        <f t="shared" si="27"/>
        <v>0</v>
      </c>
      <c r="AG109" s="122">
        <f t="shared" si="28"/>
        <v>0</v>
      </c>
      <c r="AI109" s="4"/>
      <c r="AJ109" s="4"/>
      <c r="AL109" s="4"/>
      <c r="AM109" s="4"/>
    </row>
    <row r="110" spans="2:39" x14ac:dyDescent="0.15">
      <c r="B110" s="4"/>
      <c r="C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122" t="str">
        <f t="shared" si="21"/>
        <v/>
      </c>
      <c r="P110" s="122" t="str">
        <f t="shared" si="23"/>
        <v/>
      </c>
      <c r="Q110" s="122">
        <f t="shared" si="24"/>
        <v>0</v>
      </c>
      <c r="R110" s="122">
        <f t="shared" si="25"/>
        <v>0</v>
      </c>
      <c r="T110" s="4"/>
      <c r="U110" s="4"/>
      <c r="V110" s="4"/>
      <c r="W110" s="22"/>
      <c r="X110" s="4"/>
      <c r="Y110" s="4"/>
      <c r="Z110" s="4"/>
      <c r="AA110" s="4"/>
      <c r="AB110" s="4"/>
      <c r="AC110" s="4"/>
      <c r="AD110" s="122">
        <f t="shared" si="22"/>
        <v>0</v>
      </c>
      <c r="AE110" s="122" t="str">
        <f t="shared" si="26"/>
        <v/>
      </c>
      <c r="AF110" s="122">
        <f t="shared" si="27"/>
        <v>0</v>
      </c>
      <c r="AG110" s="122">
        <f t="shared" si="28"/>
        <v>0</v>
      </c>
      <c r="AI110" s="4"/>
      <c r="AJ110" s="4"/>
      <c r="AL110" s="4"/>
      <c r="AM110" s="4"/>
    </row>
    <row r="111" spans="2:39" x14ac:dyDescent="0.15">
      <c r="B111" s="4"/>
      <c r="C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122" t="str">
        <f t="shared" si="21"/>
        <v/>
      </c>
      <c r="P111" s="122" t="str">
        <f t="shared" si="23"/>
        <v/>
      </c>
      <c r="Q111" s="122">
        <f t="shared" si="24"/>
        <v>0</v>
      </c>
      <c r="R111" s="122">
        <f t="shared" si="25"/>
        <v>0</v>
      </c>
      <c r="T111" s="4"/>
      <c r="U111" s="4"/>
      <c r="V111" s="4"/>
      <c r="W111" s="22"/>
      <c r="X111" s="4"/>
      <c r="Y111" s="4"/>
      <c r="Z111" s="4"/>
      <c r="AA111" s="4"/>
      <c r="AB111" s="4"/>
      <c r="AC111" s="4"/>
      <c r="AD111" s="122">
        <f t="shared" si="22"/>
        <v>0</v>
      </c>
      <c r="AE111" s="122" t="str">
        <f t="shared" si="26"/>
        <v/>
      </c>
      <c r="AF111" s="122">
        <f t="shared" si="27"/>
        <v>0</v>
      </c>
      <c r="AG111" s="122">
        <f t="shared" si="28"/>
        <v>0</v>
      </c>
      <c r="AI111" s="4"/>
      <c r="AJ111" s="4"/>
      <c r="AL111" s="4"/>
      <c r="AM111" s="4"/>
    </row>
    <row r="112" spans="2:39" x14ac:dyDescent="0.15">
      <c r="B112" s="4"/>
      <c r="C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122" t="str">
        <f t="shared" si="21"/>
        <v/>
      </c>
      <c r="P112" s="122" t="str">
        <f t="shared" si="23"/>
        <v/>
      </c>
      <c r="Q112" s="122">
        <f t="shared" si="24"/>
        <v>0</v>
      </c>
      <c r="R112" s="122">
        <f t="shared" si="25"/>
        <v>0</v>
      </c>
      <c r="T112" s="4"/>
      <c r="U112" s="4"/>
      <c r="V112" s="4"/>
      <c r="W112" s="22"/>
      <c r="X112" s="4"/>
      <c r="Y112" s="4"/>
      <c r="Z112" s="4"/>
      <c r="AA112" s="4"/>
      <c r="AB112" s="4"/>
      <c r="AC112" s="4"/>
      <c r="AD112" s="122">
        <f t="shared" si="22"/>
        <v>0</v>
      </c>
      <c r="AE112" s="122" t="str">
        <f t="shared" si="26"/>
        <v/>
      </c>
      <c r="AF112" s="122">
        <f t="shared" si="27"/>
        <v>0</v>
      </c>
      <c r="AG112" s="122">
        <f t="shared" si="28"/>
        <v>0</v>
      </c>
      <c r="AI112" s="4"/>
      <c r="AJ112" s="4"/>
      <c r="AL112" s="4"/>
      <c r="AM112" s="4"/>
    </row>
    <row r="113" spans="2:39" x14ac:dyDescent="0.15">
      <c r="B113" s="4"/>
      <c r="C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122" t="str">
        <f t="shared" si="21"/>
        <v/>
      </c>
      <c r="P113" s="122" t="str">
        <f t="shared" si="23"/>
        <v/>
      </c>
      <c r="Q113" s="122">
        <f t="shared" si="24"/>
        <v>0</v>
      </c>
      <c r="R113" s="122">
        <f t="shared" si="25"/>
        <v>0</v>
      </c>
      <c r="T113" s="4"/>
      <c r="U113" s="4"/>
      <c r="V113" s="4"/>
      <c r="W113" s="22"/>
      <c r="X113" s="4"/>
      <c r="Y113" s="4"/>
      <c r="Z113" s="4"/>
      <c r="AA113" s="4"/>
      <c r="AB113" s="4"/>
      <c r="AC113" s="4"/>
      <c r="AD113" s="122">
        <f t="shared" si="22"/>
        <v>0</v>
      </c>
      <c r="AE113" s="122" t="str">
        <f t="shared" si="26"/>
        <v/>
      </c>
      <c r="AF113" s="122">
        <f t="shared" si="27"/>
        <v>0</v>
      </c>
      <c r="AG113" s="122">
        <f t="shared" si="28"/>
        <v>0</v>
      </c>
      <c r="AI113" s="4"/>
      <c r="AJ113" s="4"/>
      <c r="AL113" s="4"/>
      <c r="AM113" s="4"/>
    </row>
    <row r="114" spans="2:39" x14ac:dyDescent="0.15">
      <c r="B114" s="4"/>
      <c r="C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122" t="str">
        <f t="shared" si="21"/>
        <v/>
      </c>
      <c r="P114" s="122" t="str">
        <f t="shared" si="23"/>
        <v/>
      </c>
      <c r="Q114" s="122">
        <f t="shared" si="24"/>
        <v>0</v>
      </c>
      <c r="R114" s="122">
        <f t="shared" si="25"/>
        <v>0</v>
      </c>
      <c r="T114" s="4"/>
      <c r="U114" s="4"/>
      <c r="V114" s="4"/>
      <c r="W114" s="22"/>
      <c r="X114" s="4"/>
      <c r="Y114" s="4"/>
      <c r="Z114" s="4"/>
      <c r="AA114" s="4"/>
      <c r="AB114" s="4"/>
      <c r="AC114" s="4"/>
      <c r="AD114" s="122">
        <f t="shared" si="22"/>
        <v>0</v>
      </c>
      <c r="AE114" s="122" t="str">
        <f t="shared" si="26"/>
        <v/>
      </c>
      <c r="AF114" s="122">
        <f t="shared" si="27"/>
        <v>0</v>
      </c>
      <c r="AG114" s="122">
        <f t="shared" si="28"/>
        <v>0</v>
      </c>
      <c r="AI114" s="4"/>
      <c r="AJ114" s="4"/>
      <c r="AL114" s="4"/>
      <c r="AM114" s="4"/>
    </row>
    <row r="115" spans="2:39" x14ac:dyDescent="0.15">
      <c r="B115" s="4"/>
      <c r="C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122" t="str">
        <f t="shared" si="21"/>
        <v/>
      </c>
      <c r="P115" s="122" t="str">
        <f t="shared" si="23"/>
        <v/>
      </c>
      <c r="Q115" s="122">
        <f t="shared" si="24"/>
        <v>0</v>
      </c>
      <c r="R115" s="122">
        <f t="shared" si="25"/>
        <v>0</v>
      </c>
      <c r="T115" s="4"/>
      <c r="U115" s="4"/>
      <c r="V115" s="4"/>
      <c r="W115" s="22"/>
      <c r="X115" s="4"/>
      <c r="Y115" s="4"/>
      <c r="Z115" s="4"/>
      <c r="AA115" s="4"/>
      <c r="AB115" s="4"/>
      <c r="AC115" s="4"/>
      <c r="AD115" s="122">
        <f t="shared" si="22"/>
        <v>0</v>
      </c>
      <c r="AE115" s="122" t="str">
        <f t="shared" si="26"/>
        <v/>
      </c>
      <c r="AF115" s="122">
        <f t="shared" si="27"/>
        <v>0</v>
      </c>
      <c r="AG115" s="122">
        <f t="shared" si="28"/>
        <v>0</v>
      </c>
      <c r="AI115" s="4"/>
      <c r="AJ115" s="4"/>
      <c r="AL115" s="4"/>
      <c r="AM115" s="4"/>
    </row>
    <row r="116" spans="2:39" x14ac:dyDescent="0.15">
      <c r="B116" s="4"/>
      <c r="C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122" t="str">
        <f t="shared" si="21"/>
        <v/>
      </c>
      <c r="P116" s="122" t="str">
        <f t="shared" si="23"/>
        <v/>
      </c>
      <c r="Q116" s="122">
        <f t="shared" si="24"/>
        <v>0</v>
      </c>
      <c r="R116" s="122">
        <f t="shared" si="25"/>
        <v>0</v>
      </c>
      <c r="T116" s="4"/>
      <c r="U116" s="4"/>
      <c r="V116" s="4"/>
      <c r="W116" s="22"/>
      <c r="X116" s="4"/>
      <c r="Y116" s="4"/>
      <c r="Z116" s="4"/>
      <c r="AA116" s="4"/>
      <c r="AB116" s="4"/>
      <c r="AC116" s="4"/>
      <c r="AD116" s="122">
        <f t="shared" si="22"/>
        <v>0</v>
      </c>
      <c r="AE116" s="122" t="str">
        <f t="shared" si="26"/>
        <v/>
      </c>
      <c r="AF116" s="122">
        <f t="shared" si="27"/>
        <v>0</v>
      </c>
      <c r="AG116" s="122">
        <f t="shared" si="28"/>
        <v>0</v>
      </c>
      <c r="AI116" s="4"/>
      <c r="AJ116" s="4"/>
      <c r="AL116" s="4"/>
      <c r="AM116" s="4"/>
    </row>
    <row r="117" spans="2:39" x14ac:dyDescent="0.15">
      <c r="B117" s="4"/>
      <c r="C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122" t="str">
        <f t="shared" si="21"/>
        <v/>
      </c>
      <c r="P117" s="122" t="str">
        <f t="shared" si="23"/>
        <v/>
      </c>
      <c r="Q117" s="122">
        <f t="shared" si="24"/>
        <v>0</v>
      </c>
      <c r="R117" s="122">
        <f t="shared" si="25"/>
        <v>0</v>
      </c>
      <c r="T117" s="4"/>
      <c r="U117" s="4"/>
      <c r="V117" s="4"/>
      <c r="W117" s="22"/>
      <c r="X117" s="4"/>
      <c r="Y117" s="4"/>
      <c r="Z117" s="4"/>
      <c r="AA117" s="4"/>
      <c r="AB117" s="4"/>
      <c r="AC117" s="4"/>
      <c r="AD117" s="122">
        <f t="shared" si="22"/>
        <v>0</v>
      </c>
      <c r="AE117" s="122" t="str">
        <f t="shared" si="26"/>
        <v/>
      </c>
      <c r="AF117" s="122">
        <f t="shared" si="27"/>
        <v>0</v>
      </c>
      <c r="AG117" s="122">
        <f t="shared" si="28"/>
        <v>0</v>
      </c>
      <c r="AI117" s="4"/>
      <c r="AJ117" s="4"/>
      <c r="AL117" s="4"/>
      <c r="AM117" s="4"/>
    </row>
    <row r="118" spans="2:39" x14ac:dyDescent="0.15">
      <c r="B118" s="4"/>
      <c r="C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122" t="str">
        <f t="shared" si="21"/>
        <v/>
      </c>
      <c r="P118" s="122" t="str">
        <f t="shared" si="23"/>
        <v/>
      </c>
      <c r="Q118" s="122">
        <f t="shared" si="24"/>
        <v>0</v>
      </c>
      <c r="R118" s="122">
        <f t="shared" si="25"/>
        <v>0</v>
      </c>
      <c r="T118" s="4"/>
      <c r="U118" s="4"/>
      <c r="V118" s="4"/>
      <c r="W118" s="22"/>
      <c r="X118" s="4"/>
      <c r="Y118" s="4"/>
      <c r="Z118" s="4"/>
      <c r="AA118" s="4"/>
      <c r="AB118" s="4"/>
      <c r="AC118" s="4"/>
      <c r="AD118" s="122">
        <f t="shared" si="22"/>
        <v>0</v>
      </c>
      <c r="AE118" s="122" t="str">
        <f t="shared" si="26"/>
        <v/>
      </c>
      <c r="AF118" s="122">
        <f t="shared" si="27"/>
        <v>0</v>
      </c>
      <c r="AG118" s="122">
        <f t="shared" si="28"/>
        <v>0</v>
      </c>
      <c r="AI118" s="4"/>
      <c r="AJ118" s="4"/>
      <c r="AL118" s="4"/>
      <c r="AM118" s="4"/>
    </row>
    <row r="119" spans="2:39" x14ac:dyDescent="0.15">
      <c r="B119" s="4"/>
      <c r="C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122" t="str">
        <f t="shared" si="21"/>
        <v/>
      </c>
      <c r="P119" s="122" t="str">
        <f t="shared" si="23"/>
        <v/>
      </c>
      <c r="Q119" s="122">
        <f t="shared" si="24"/>
        <v>0</v>
      </c>
      <c r="R119" s="122">
        <f t="shared" si="25"/>
        <v>0</v>
      </c>
      <c r="T119" s="4"/>
      <c r="U119" s="4"/>
      <c r="V119" s="4"/>
      <c r="W119" s="22"/>
      <c r="X119" s="4"/>
      <c r="Y119" s="4"/>
      <c r="Z119" s="4"/>
      <c r="AA119" s="4"/>
      <c r="AB119" s="4"/>
      <c r="AC119" s="4"/>
      <c r="AD119" s="122">
        <f t="shared" si="22"/>
        <v>0</v>
      </c>
      <c r="AE119" s="122" t="str">
        <f t="shared" si="26"/>
        <v/>
      </c>
      <c r="AF119" s="122">
        <f t="shared" si="27"/>
        <v>0</v>
      </c>
      <c r="AG119" s="122">
        <f t="shared" si="28"/>
        <v>0</v>
      </c>
      <c r="AI119" s="4"/>
      <c r="AJ119" s="4"/>
      <c r="AL119" s="4"/>
      <c r="AM119" s="4"/>
    </row>
    <row r="120" spans="2:39" x14ac:dyDescent="0.15">
      <c r="B120" s="4"/>
      <c r="C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22" t="str">
        <f t="shared" si="21"/>
        <v/>
      </c>
      <c r="P120" s="122" t="str">
        <f t="shared" si="23"/>
        <v/>
      </c>
      <c r="Q120" s="122">
        <f t="shared" si="24"/>
        <v>0</v>
      </c>
      <c r="R120" s="122">
        <f t="shared" si="25"/>
        <v>0</v>
      </c>
      <c r="T120" s="4"/>
      <c r="U120" s="4"/>
      <c r="V120" s="4"/>
      <c r="W120" s="22"/>
      <c r="X120" s="4"/>
      <c r="Y120" s="4"/>
      <c r="Z120" s="4"/>
      <c r="AA120" s="4"/>
      <c r="AB120" s="4"/>
      <c r="AC120" s="4"/>
      <c r="AD120" s="122">
        <f t="shared" si="22"/>
        <v>0</v>
      </c>
      <c r="AE120" s="122" t="str">
        <f t="shared" si="26"/>
        <v/>
      </c>
      <c r="AF120" s="122">
        <f t="shared" si="27"/>
        <v>0</v>
      </c>
      <c r="AG120" s="122">
        <f t="shared" si="28"/>
        <v>0</v>
      </c>
      <c r="AI120" s="4"/>
      <c r="AJ120" s="4"/>
      <c r="AL120" s="4"/>
      <c r="AM120" s="4"/>
    </row>
    <row r="121" spans="2:39" x14ac:dyDescent="0.15">
      <c r="B121" s="4"/>
      <c r="C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22" t="str">
        <f t="shared" si="21"/>
        <v/>
      </c>
      <c r="P121" s="122" t="str">
        <f t="shared" si="23"/>
        <v/>
      </c>
      <c r="Q121" s="122">
        <f t="shared" si="24"/>
        <v>0</v>
      </c>
      <c r="R121" s="122">
        <f t="shared" si="25"/>
        <v>0</v>
      </c>
      <c r="T121" s="4"/>
      <c r="U121" s="4"/>
      <c r="V121" s="4"/>
      <c r="W121" s="22"/>
      <c r="X121" s="4"/>
      <c r="Y121" s="4"/>
      <c r="Z121" s="4"/>
      <c r="AA121" s="4"/>
      <c r="AB121" s="4"/>
      <c r="AC121" s="4"/>
      <c r="AD121" s="122">
        <f t="shared" si="22"/>
        <v>0</v>
      </c>
      <c r="AE121" s="122" t="str">
        <f t="shared" si="26"/>
        <v/>
      </c>
      <c r="AF121" s="122">
        <f t="shared" si="27"/>
        <v>0</v>
      </c>
      <c r="AG121" s="122">
        <f t="shared" si="28"/>
        <v>0</v>
      </c>
      <c r="AI121" s="4"/>
      <c r="AJ121" s="4"/>
      <c r="AL121" s="4"/>
      <c r="AM121" s="4"/>
    </row>
    <row r="122" spans="2:39" x14ac:dyDescent="0.15">
      <c r="B122" s="4"/>
      <c r="C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22" t="str">
        <f t="shared" si="21"/>
        <v/>
      </c>
      <c r="P122" s="122" t="str">
        <f t="shared" si="23"/>
        <v/>
      </c>
      <c r="Q122" s="122">
        <f t="shared" si="24"/>
        <v>0</v>
      </c>
      <c r="R122" s="122">
        <f t="shared" si="25"/>
        <v>0</v>
      </c>
      <c r="T122" s="4"/>
      <c r="U122" s="4"/>
      <c r="V122" s="4"/>
      <c r="W122" s="22"/>
      <c r="X122" s="4"/>
      <c r="Y122" s="4"/>
      <c r="Z122" s="4"/>
      <c r="AA122" s="4"/>
      <c r="AB122" s="4"/>
      <c r="AC122" s="4"/>
      <c r="AD122" s="122">
        <f t="shared" si="22"/>
        <v>0</v>
      </c>
      <c r="AE122" s="122" t="str">
        <f t="shared" si="26"/>
        <v/>
      </c>
      <c r="AF122" s="122">
        <f t="shared" si="27"/>
        <v>0</v>
      </c>
      <c r="AG122" s="122">
        <f t="shared" si="28"/>
        <v>0</v>
      </c>
      <c r="AI122" s="4"/>
      <c r="AJ122" s="4"/>
      <c r="AL122" s="4"/>
      <c r="AM122" s="4"/>
    </row>
    <row r="123" spans="2:39" x14ac:dyDescent="0.15">
      <c r="B123" s="4"/>
      <c r="C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22" t="str">
        <f t="shared" si="21"/>
        <v/>
      </c>
      <c r="P123" s="122" t="str">
        <f t="shared" si="23"/>
        <v/>
      </c>
      <c r="Q123" s="122">
        <f t="shared" si="24"/>
        <v>0</v>
      </c>
      <c r="R123" s="122">
        <f t="shared" si="25"/>
        <v>0</v>
      </c>
      <c r="T123" s="4"/>
      <c r="U123" s="4"/>
      <c r="V123" s="4"/>
      <c r="W123" s="22"/>
      <c r="X123" s="4"/>
      <c r="Y123" s="4"/>
      <c r="Z123" s="4"/>
      <c r="AA123" s="4"/>
      <c r="AB123" s="4"/>
      <c r="AC123" s="4"/>
      <c r="AD123" s="122">
        <f t="shared" si="22"/>
        <v>0</v>
      </c>
      <c r="AE123" s="122" t="str">
        <f t="shared" si="26"/>
        <v/>
      </c>
      <c r="AF123" s="122">
        <f t="shared" si="27"/>
        <v>0</v>
      </c>
      <c r="AG123" s="122">
        <f t="shared" si="28"/>
        <v>0</v>
      </c>
      <c r="AI123" s="4"/>
      <c r="AJ123" s="4"/>
      <c r="AL123" s="4"/>
      <c r="AM123" s="4"/>
    </row>
    <row r="124" spans="2:39" x14ac:dyDescent="0.15">
      <c r="B124" s="4"/>
      <c r="C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122" t="str">
        <f t="shared" si="21"/>
        <v/>
      </c>
      <c r="P124" s="122" t="str">
        <f t="shared" si="23"/>
        <v/>
      </c>
      <c r="Q124" s="122">
        <f t="shared" si="24"/>
        <v>0</v>
      </c>
      <c r="R124" s="122">
        <f t="shared" si="25"/>
        <v>0</v>
      </c>
      <c r="T124" s="4"/>
      <c r="U124" s="4"/>
      <c r="V124" s="4"/>
      <c r="W124" s="22"/>
      <c r="X124" s="4"/>
      <c r="Y124" s="4"/>
      <c r="Z124" s="4"/>
      <c r="AA124" s="4"/>
      <c r="AB124" s="4"/>
      <c r="AC124" s="4"/>
      <c r="AD124" s="122">
        <f t="shared" si="22"/>
        <v>0</v>
      </c>
      <c r="AE124" s="122" t="str">
        <f t="shared" si="26"/>
        <v/>
      </c>
      <c r="AF124" s="122">
        <f t="shared" si="27"/>
        <v>0</v>
      </c>
      <c r="AG124" s="122">
        <f t="shared" si="28"/>
        <v>0</v>
      </c>
      <c r="AI124" s="4"/>
      <c r="AJ124" s="4"/>
      <c r="AL124" s="4"/>
      <c r="AM124" s="4"/>
    </row>
    <row r="125" spans="2:39" x14ac:dyDescent="0.15">
      <c r="B125" s="4"/>
      <c r="C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22" t="str">
        <f t="shared" si="21"/>
        <v/>
      </c>
      <c r="P125" s="122" t="str">
        <f t="shared" si="23"/>
        <v/>
      </c>
      <c r="Q125" s="122">
        <f t="shared" si="24"/>
        <v>0</v>
      </c>
      <c r="R125" s="122">
        <f t="shared" si="25"/>
        <v>0</v>
      </c>
      <c r="T125" s="4"/>
      <c r="U125" s="4"/>
      <c r="V125" s="4"/>
      <c r="W125" s="22"/>
      <c r="X125" s="4"/>
      <c r="Y125" s="4"/>
      <c r="Z125" s="4"/>
      <c r="AA125" s="4"/>
      <c r="AB125" s="4"/>
      <c r="AC125" s="4"/>
      <c r="AD125" s="122">
        <f t="shared" si="22"/>
        <v>0</v>
      </c>
      <c r="AE125" s="122" t="str">
        <f t="shared" si="26"/>
        <v/>
      </c>
      <c r="AF125" s="122">
        <f t="shared" si="27"/>
        <v>0</v>
      </c>
      <c r="AG125" s="122">
        <f t="shared" si="28"/>
        <v>0</v>
      </c>
      <c r="AI125" s="4"/>
      <c r="AJ125" s="4"/>
      <c r="AL125" s="4"/>
      <c r="AM125" s="4"/>
    </row>
    <row r="126" spans="2:39" x14ac:dyDescent="0.15">
      <c r="B126" s="4"/>
      <c r="C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22" t="str">
        <f t="shared" si="21"/>
        <v/>
      </c>
      <c r="P126" s="122" t="str">
        <f t="shared" si="23"/>
        <v/>
      </c>
      <c r="Q126" s="122">
        <f t="shared" si="24"/>
        <v>0</v>
      </c>
      <c r="R126" s="122">
        <f t="shared" si="25"/>
        <v>0</v>
      </c>
      <c r="T126" s="4"/>
      <c r="U126" s="4"/>
      <c r="V126" s="4"/>
      <c r="W126" s="22"/>
      <c r="X126" s="4"/>
      <c r="Y126" s="4"/>
      <c r="Z126" s="4"/>
      <c r="AA126" s="4"/>
      <c r="AB126" s="4"/>
      <c r="AC126" s="4"/>
      <c r="AD126" s="122">
        <f t="shared" si="22"/>
        <v>0</v>
      </c>
      <c r="AE126" s="122" t="str">
        <f t="shared" si="26"/>
        <v/>
      </c>
      <c r="AF126" s="122">
        <f t="shared" si="27"/>
        <v>0</v>
      </c>
      <c r="AG126" s="122">
        <f t="shared" si="28"/>
        <v>0</v>
      </c>
      <c r="AI126" s="4"/>
      <c r="AJ126" s="4"/>
      <c r="AL126" s="4"/>
      <c r="AM126" s="4"/>
    </row>
    <row r="127" spans="2:39" x14ac:dyDescent="0.15">
      <c r="B127" s="4"/>
      <c r="C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122" t="str">
        <f t="shared" si="21"/>
        <v/>
      </c>
      <c r="P127" s="122" t="str">
        <f t="shared" si="23"/>
        <v/>
      </c>
      <c r="Q127" s="122">
        <f t="shared" si="24"/>
        <v>0</v>
      </c>
      <c r="R127" s="122">
        <f t="shared" si="25"/>
        <v>0</v>
      </c>
      <c r="T127" s="4"/>
      <c r="U127" s="4"/>
      <c r="V127" s="4"/>
      <c r="W127" s="22"/>
      <c r="X127" s="4"/>
      <c r="Y127" s="4"/>
      <c r="Z127" s="4"/>
      <c r="AA127" s="4"/>
      <c r="AB127" s="4"/>
      <c r="AC127" s="4"/>
      <c r="AD127" s="122">
        <f t="shared" si="22"/>
        <v>0</v>
      </c>
      <c r="AE127" s="122" t="str">
        <f t="shared" si="26"/>
        <v/>
      </c>
      <c r="AF127" s="122">
        <f t="shared" si="27"/>
        <v>0</v>
      </c>
      <c r="AG127" s="122">
        <f t="shared" si="28"/>
        <v>0</v>
      </c>
      <c r="AI127" s="4"/>
      <c r="AJ127" s="4"/>
      <c r="AL127" s="4"/>
      <c r="AM127" s="4"/>
    </row>
    <row r="128" spans="2:39" x14ac:dyDescent="0.15">
      <c r="B128" s="4"/>
      <c r="C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122" t="str">
        <f t="shared" si="21"/>
        <v/>
      </c>
      <c r="P128" s="122" t="str">
        <f t="shared" si="23"/>
        <v/>
      </c>
      <c r="Q128" s="122">
        <f t="shared" si="24"/>
        <v>0</v>
      </c>
      <c r="R128" s="122">
        <f t="shared" si="25"/>
        <v>0</v>
      </c>
      <c r="T128" s="4"/>
      <c r="U128" s="4"/>
      <c r="V128" s="4"/>
      <c r="W128" s="22"/>
      <c r="X128" s="4"/>
      <c r="Y128" s="4"/>
      <c r="Z128" s="4"/>
      <c r="AA128" s="4"/>
      <c r="AB128" s="4"/>
      <c r="AC128" s="4"/>
      <c r="AD128" s="122">
        <f t="shared" si="22"/>
        <v>0</v>
      </c>
      <c r="AE128" s="122" t="str">
        <f t="shared" si="26"/>
        <v/>
      </c>
      <c r="AF128" s="122">
        <f t="shared" si="27"/>
        <v>0</v>
      </c>
      <c r="AG128" s="122">
        <f t="shared" si="28"/>
        <v>0</v>
      </c>
      <c r="AI128" s="4"/>
      <c r="AJ128" s="4"/>
      <c r="AL128" s="4"/>
      <c r="AM128" s="4"/>
    </row>
    <row r="129" spans="2:39" x14ac:dyDescent="0.15">
      <c r="B129" s="4"/>
      <c r="C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122" t="str">
        <f t="shared" si="21"/>
        <v/>
      </c>
      <c r="P129" s="122" t="str">
        <f t="shared" si="23"/>
        <v/>
      </c>
      <c r="Q129" s="122">
        <f t="shared" si="24"/>
        <v>0</v>
      </c>
      <c r="R129" s="122">
        <f t="shared" si="25"/>
        <v>0</v>
      </c>
      <c r="T129" s="4"/>
      <c r="U129" s="4"/>
      <c r="V129" s="4"/>
      <c r="W129" s="22"/>
      <c r="X129" s="4"/>
      <c r="Y129" s="4"/>
      <c r="Z129" s="4"/>
      <c r="AA129" s="4"/>
      <c r="AB129" s="4"/>
      <c r="AC129" s="4"/>
      <c r="AD129" s="122">
        <f t="shared" si="22"/>
        <v>0</v>
      </c>
      <c r="AE129" s="122" t="str">
        <f t="shared" si="26"/>
        <v/>
      </c>
      <c r="AF129" s="122">
        <f t="shared" si="27"/>
        <v>0</v>
      </c>
      <c r="AG129" s="122">
        <f t="shared" si="28"/>
        <v>0</v>
      </c>
      <c r="AI129" s="4"/>
      <c r="AJ129" s="4"/>
      <c r="AL129" s="4"/>
      <c r="AM129" s="4"/>
    </row>
    <row r="130" spans="2:39" x14ac:dyDescent="0.15">
      <c r="B130" s="4"/>
      <c r="C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122" t="str">
        <f t="shared" si="21"/>
        <v/>
      </c>
      <c r="P130" s="122" t="str">
        <f t="shared" si="23"/>
        <v/>
      </c>
      <c r="Q130" s="122">
        <f t="shared" si="24"/>
        <v>0</v>
      </c>
      <c r="R130" s="122">
        <f t="shared" si="25"/>
        <v>0</v>
      </c>
      <c r="T130" s="4"/>
      <c r="U130" s="4"/>
      <c r="V130" s="4"/>
      <c r="W130" s="22"/>
      <c r="X130" s="4"/>
      <c r="Y130" s="4"/>
      <c r="Z130" s="4"/>
      <c r="AA130" s="4"/>
      <c r="AB130" s="4"/>
      <c r="AC130" s="4"/>
      <c r="AD130" s="122">
        <f t="shared" si="22"/>
        <v>0</v>
      </c>
      <c r="AE130" s="122" t="str">
        <f t="shared" si="26"/>
        <v/>
      </c>
      <c r="AF130" s="122">
        <f t="shared" si="27"/>
        <v>0</v>
      </c>
      <c r="AG130" s="122">
        <f t="shared" si="28"/>
        <v>0</v>
      </c>
      <c r="AI130" s="4"/>
      <c r="AJ130" s="4"/>
      <c r="AL130" s="4"/>
      <c r="AM130" s="4"/>
    </row>
    <row r="131" spans="2:39" x14ac:dyDescent="0.15">
      <c r="B131" s="4"/>
      <c r="C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122" t="str">
        <f t="shared" si="21"/>
        <v/>
      </c>
      <c r="P131" s="122" t="str">
        <f t="shared" si="23"/>
        <v/>
      </c>
      <c r="Q131" s="122">
        <f t="shared" si="24"/>
        <v>0</v>
      </c>
      <c r="R131" s="122">
        <f t="shared" si="25"/>
        <v>0</v>
      </c>
      <c r="T131" s="4"/>
      <c r="U131" s="4"/>
      <c r="V131" s="4"/>
      <c r="W131" s="22"/>
      <c r="X131" s="4"/>
      <c r="Y131" s="4"/>
      <c r="Z131" s="4"/>
      <c r="AA131" s="4"/>
      <c r="AB131" s="4"/>
      <c r="AC131" s="4"/>
      <c r="AD131" s="122">
        <f t="shared" si="22"/>
        <v>0</v>
      </c>
      <c r="AE131" s="122" t="str">
        <f t="shared" si="26"/>
        <v/>
      </c>
      <c r="AF131" s="122">
        <f t="shared" si="27"/>
        <v>0</v>
      </c>
      <c r="AG131" s="122">
        <f t="shared" si="28"/>
        <v>0</v>
      </c>
      <c r="AI131" s="4"/>
      <c r="AJ131" s="4"/>
      <c r="AL131" s="4"/>
      <c r="AM131" s="4"/>
    </row>
    <row r="132" spans="2:39" x14ac:dyDescent="0.15">
      <c r="B132" s="4"/>
      <c r="C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122" t="str">
        <f t="shared" si="21"/>
        <v/>
      </c>
      <c r="P132" s="122" t="str">
        <f t="shared" si="23"/>
        <v/>
      </c>
      <c r="Q132" s="122">
        <f t="shared" si="24"/>
        <v>0</v>
      </c>
      <c r="R132" s="122">
        <f t="shared" si="25"/>
        <v>0</v>
      </c>
      <c r="T132" s="4"/>
      <c r="U132" s="4"/>
      <c r="V132" s="4"/>
      <c r="W132" s="22"/>
      <c r="X132" s="4"/>
      <c r="Y132" s="4"/>
      <c r="Z132" s="4"/>
      <c r="AA132" s="4"/>
      <c r="AB132" s="4"/>
      <c r="AC132" s="4"/>
      <c r="AD132" s="122">
        <f t="shared" si="22"/>
        <v>0</v>
      </c>
      <c r="AE132" s="122" t="str">
        <f t="shared" si="26"/>
        <v/>
      </c>
      <c r="AF132" s="122">
        <f t="shared" si="27"/>
        <v>0</v>
      </c>
      <c r="AG132" s="122">
        <f t="shared" si="28"/>
        <v>0</v>
      </c>
      <c r="AI132" s="4"/>
      <c r="AJ132" s="4"/>
      <c r="AL132" s="4"/>
      <c r="AM132" s="4"/>
    </row>
    <row r="133" spans="2:39" x14ac:dyDescent="0.15">
      <c r="B133" s="4"/>
      <c r="C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122" t="str">
        <f t="shared" si="21"/>
        <v/>
      </c>
      <c r="P133" s="122" t="str">
        <f t="shared" si="23"/>
        <v/>
      </c>
      <c r="Q133" s="122">
        <f t="shared" si="24"/>
        <v>0</v>
      </c>
      <c r="R133" s="122">
        <f t="shared" si="25"/>
        <v>0</v>
      </c>
      <c r="T133" s="4"/>
      <c r="U133" s="4"/>
      <c r="V133" s="4"/>
      <c r="W133" s="22"/>
      <c r="X133" s="4"/>
      <c r="Y133" s="4"/>
      <c r="Z133" s="4"/>
      <c r="AA133" s="4"/>
      <c r="AB133" s="4"/>
      <c r="AC133" s="4"/>
      <c r="AD133" s="122">
        <f t="shared" si="22"/>
        <v>0</v>
      </c>
      <c r="AE133" s="122" t="str">
        <f t="shared" si="26"/>
        <v/>
      </c>
      <c r="AF133" s="122">
        <f t="shared" si="27"/>
        <v>0</v>
      </c>
      <c r="AG133" s="122">
        <f t="shared" si="28"/>
        <v>0</v>
      </c>
      <c r="AI133" s="4"/>
      <c r="AJ133" s="4"/>
      <c r="AL133" s="4"/>
      <c r="AM133" s="4"/>
    </row>
    <row r="134" spans="2:39" x14ac:dyDescent="0.15">
      <c r="B134" s="4"/>
      <c r="C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122" t="str">
        <f t="shared" si="21"/>
        <v/>
      </c>
      <c r="P134" s="122" t="str">
        <f t="shared" ref="P134:P165" si="29">IF(G134="","",VLOOKUP(G134,SeihinnTB,2,FALSE))</f>
        <v/>
      </c>
      <c r="Q134" s="122">
        <f t="shared" ref="Q134:Q165" si="30">IF(ISERROR(VLOOKUP(E134,SyukkaZ,2,FALSE)),0,VLOOKUP(E134,SyukkaZ,2,FALSE))</f>
        <v>0</v>
      </c>
      <c r="R134" s="122">
        <f t="shared" ref="R134:R165" si="31">I134-M134+Q134</f>
        <v>0</v>
      </c>
      <c r="T134" s="4"/>
      <c r="U134" s="4"/>
      <c r="V134" s="4"/>
      <c r="W134" s="22"/>
      <c r="X134" s="4"/>
      <c r="Y134" s="4"/>
      <c r="Z134" s="4"/>
      <c r="AA134" s="4"/>
      <c r="AB134" s="4"/>
      <c r="AC134" s="4"/>
      <c r="AD134" s="122">
        <f t="shared" si="22"/>
        <v>0</v>
      </c>
      <c r="AE134" s="122" t="str">
        <f t="shared" ref="AE134:AE165" si="32">IF(V134="","",VLOOKUP(V134,SeihinnTB,2,FALSE))</f>
        <v/>
      </c>
      <c r="AF134" s="122">
        <f t="shared" ref="AF134:AF165" si="33">IF(ISERROR(VLOOKUP(T134,SyukkaR,2,FALSE)),0,VLOOKUP(T134,SyukkaR,2,FALSE))</f>
        <v>0</v>
      </c>
      <c r="AG134" s="122">
        <f t="shared" ref="AG134:AG165" si="34">X134-AF134</f>
        <v>0</v>
      </c>
      <c r="AI134" s="4"/>
      <c r="AJ134" s="4"/>
      <c r="AL134" s="4"/>
      <c r="AM134" s="4"/>
    </row>
    <row r="135" spans="2:39" x14ac:dyDescent="0.15">
      <c r="B135" s="4"/>
      <c r="C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122" t="str">
        <f t="shared" ref="O135:O198" si="35">IF(E135="","",I135-R135)</f>
        <v/>
      </c>
      <c r="P135" s="122" t="str">
        <f t="shared" si="29"/>
        <v/>
      </c>
      <c r="Q135" s="122">
        <f t="shared" si="30"/>
        <v>0</v>
      </c>
      <c r="R135" s="122">
        <f t="shared" si="31"/>
        <v>0</v>
      </c>
      <c r="T135" s="4"/>
      <c r="U135" s="4"/>
      <c r="V135" s="4"/>
      <c r="W135" s="22"/>
      <c r="X135" s="4"/>
      <c r="Y135" s="4"/>
      <c r="Z135" s="4"/>
      <c r="AA135" s="4"/>
      <c r="AB135" s="4"/>
      <c r="AC135" s="4"/>
      <c r="AD135" s="122">
        <f t="shared" ref="AD135:AD198" si="36">X135-AG135</f>
        <v>0</v>
      </c>
      <c r="AE135" s="122" t="str">
        <f t="shared" si="32"/>
        <v/>
      </c>
      <c r="AF135" s="122">
        <f t="shared" si="33"/>
        <v>0</v>
      </c>
      <c r="AG135" s="122">
        <f t="shared" si="34"/>
        <v>0</v>
      </c>
      <c r="AI135" s="4"/>
      <c r="AJ135" s="4"/>
      <c r="AL135" s="4"/>
      <c r="AM135" s="4"/>
    </row>
    <row r="136" spans="2:39" x14ac:dyDescent="0.15">
      <c r="B136" s="4"/>
      <c r="C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122" t="str">
        <f t="shared" si="35"/>
        <v/>
      </c>
      <c r="P136" s="122" t="str">
        <f t="shared" si="29"/>
        <v/>
      </c>
      <c r="Q136" s="122">
        <f t="shared" si="30"/>
        <v>0</v>
      </c>
      <c r="R136" s="122">
        <f t="shared" si="31"/>
        <v>0</v>
      </c>
      <c r="T136" s="4"/>
      <c r="U136" s="4"/>
      <c r="V136" s="4"/>
      <c r="W136" s="22"/>
      <c r="X136" s="4"/>
      <c r="Y136" s="4"/>
      <c r="Z136" s="4"/>
      <c r="AA136" s="4"/>
      <c r="AB136" s="4"/>
      <c r="AC136" s="4"/>
      <c r="AD136" s="122">
        <f t="shared" si="36"/>
        <v>0</v>
      </c>
      <c r="AE136" s="122" t="str">
        <f t="shared" si="32"/>
        <v/>
      </c>
      <c r="AF136" s="122">
        <f t="shared" si="33"/>
        <v>0</v>
      </c>
      <c r="AG136" s="122">
        <f t="shared" si="34"/>
        <v>0</v>
      </c>
      <c r="AI136" s="4"/>
      <c r="AJ136" s="4"/>
      <c r="AL136" s="4"/>
      <c r="AM136" s="4"/>
    </row>
    <row r="137" spans="2:39" x14ac:dyDescent="0.15">
      <c r="B137" s="4"/>
      <c r="C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122" t="str">
        <f t="shared" si="35"/>
        <v/>
      </c>
      <c r="P137" s="122" t="str">
        <f t="shared" si="29"/>
        <v/>
      </c>
      <c r="Q137" s="122">
        <f t="shared" si="30"/>
        <v>0</v>
      </c>
      <c r="R137" s="122">
        <f t="shared" si="31"/>
        <v>0</v>
      </c>
      <c r="T137" s="4"/>
      <c r="U137" s="4"/>
      <c r="V137" s="4"/>
      <c r="W137" s="22"/>
      <c r="X137" s="4"/>
      <c r="Y137" s="4"/>
      <c r="Z137" s="4"/>
      <c r="AA137" s="4"/>
      <c r="AB137" s="4"/>
      <c r="AC137" s="4"/>
      <c r="AD137" s="122">
        <f t="shared" si="36"/>
        <v>0</v>
      </c>
      <c r="AE137" s="122" t="str">
        <f t="shared" si="32"/>
        <v/>
      </c>
      <c r="AF137" s="122">
        <f t="shared" si="33"/>
        <v>0</v>
      </c>
      <c r="AG137" s="122">
        <f t="shared" si="34"/>
        <v>0</v>
      </c>
      <c r="AI137" s="4"/>
      <c r="AJ137" s="4"/>
      <c r="AL137" s="4"/>
      <c r="AM137" s="4"/>
    </row>
    <row r="138" spans="2:39" x14ac:dyDescent="0.15">
      <c r="B138" s="4"/>
      <c r="C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122" t="str">
        <f t="shared" si="35"/>
        <v/>
      </c>
      <c r="P138" s="122" t="str">
        <f t="shared" si="29"/>
        <v/>
      </c>
      <c r="Q138" s="122">
        <f t="shared" si="30"/>
        <v>0</v>
      </c>
      <c r="R138" s="122">
        <f t="shared" si="31"/>
        <v>0</v>
      </c>
      <c r="T138" s="4"/>
      <c r="U138" s="4"/>
      <c r="V138" s="4"/>
      <c r="W138" s="22"/>
      <c r="X138" s="4"/>
      <c r="Y138" s="4"/>
      <c r="Z138" s="4"/>
      <c r="AA138" s="4"/>
      <c r="AB138" s="4"/>
      <c r="AC138" s="4"/>
      <c r="AD138" s="122">
        <f t="shared" si="36"/>
        <v>0</v>
      </c>
      <c r="AE138" s="122" t="str">
        <f t="shared" si="32"/>
        <v/>
      </c>
      <c r="AF138" s="122">
        <f t="shared" si="33"/>
        <v>0</v>
      </c>
      <c r="AG138" s="122">
        <f t="shared" si="34"/>
        <v>0</v>
      </c>
      <c r="AI138" s="4"/>
      <c r="AJ138" s="4"/>
      <c r="AL138" s="4"/>
      <c r="AM138" s="4"/>
    </row>
    <row r="139" spans="2:39" x14ac:dyDescent="0.15">
      <c r="B139" s="4"/>
      <c r="C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122" t="str">
        <f t="shared" si="35"/>
        <v/>
      </c>
      <c r="P139" s="122" t="str">
        <f t="shared" si="29"/>
        <v/>
      </c>
      <c r="Q139" s="122">
        <f t="shared" si="30"/>
        <v>0</v>
      </c>
      <c r="R139" s="122">
        <f t="shared" si="31"/>
        <v>0</v>
      </c>
      <c r="T139" s="4"/>
      <c r="U139" s="4"/>
      <c r="V139" s="4"/>
      <c r="W139" s="22"/>
      <c r="X139" s="4"/>
      <c r="Y139" s="4"/>
      <c r="Z139" s="4"/>
      <c r="AA139" s="4"/>
      <c r="AB139" s="4"/>
      <c r="AC139" s="4"/>
      <c r="AD139" s="122">
        <f t="shared" si="36"/>
        <v>0</v>
      </c>
      <c r="AE139" s="122" t="str">
        <f t="shared" si="32"/>
        <v/>
      </c>
      <c r="AF139" s="122">
        <f t="shared" si="33"/>
        <v>0</v>
      </c>
      <c r="AG139" s="122">
        <f t="shared" si="34"/>
        <v>0</v>
      </c>
      <c r="AI139" s="4"/>
      <c r="AJ139" s="4"/>
      <c r="AL139" s="4"/>
      <c r="AM139" s="4"/>
    </row>
    <row r="140" spans="2:39" x14ac:dyDescent="0.15">
      <c r="B140" s="4"/>
      <c r="C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122" t="str">
        <f t="shared" si="35"/>
        <v/>
      </c>
      <c r="P140" s="122" t="str">
        <f t="shared" si="29"/>
        <v/>
      </c>
      <c r="Q140" s="122">
        <f t="shared" si="30"/>
        <v>0</v>
      </c>
      <c r="R140" s="122">
        <f t="shared" si="31"/>
        <v>0</v>
      </c>
      <c r="T140" s="4"/>
      <c r="U140" s="4"/>
      <c r="V140" s="4"/>
      <c r="W140" s="22"/>
      <c r="X140" s="4"/>
      <c r="Y140" s="4"/>
      <c r="Z140" s="4"/>
      <c r="AA140" s="4"/>
      <c r="AB140" s="4"/>
      <c r="AC140" s="4"/>
      <c r="AD140" s="122">
        <f t="shared" si="36"/>
        <v>0</v>
      </c>
      <c r="AE140" s="122" t="str">
        <f t="shared" si="32"/>
        <v/>
      </c>
      <c r="AF140" s="122">
        <f t="shared" si="33"/>
        <v>0</v>
      </c>
      <c r="AG140" s="122">
        <f t="shared" si="34"/>
        <v>0</v>
      </c>
      <c r="AI140" s="4"/>
      <c r="AJ140" s="4"/>
      <c r="AL140" s="4"/>
      <c r="AM140" s="4"/>
    </row>
    <row r="141" spans="2:39" x14ac:dyDescent="0.15">
      <c r="B141" s="4"/>
      <c r="C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122" t="str">
        <f t="shared" si="35"/>
        <v/>
      </c>
      <c r="P141" s="122" t="str">
        <f t="shared" si="29"/>
        <v/>
      </c>
      <c r="Q141" s="122">
        <f t="shared" si="30"/>
        <v>0</v>
      </c>
      <c r="R141" s="122">
        <f t="shared" si="31"/>
        <v>0</v>
      </c>
      <c r="T141" s="4"/>
      <c r="U141" s="4"/>
      <c r="V141" s="4"/>
      <c r="W141" s="22"/>
      <c r="X141" s="4"/>
      <c r="Y141" s="4"/>
      <c r="Z141" s="4"/>
      <c r="AA141" s="4"/>
      <c r="AB141" s="4"/>
      <c r="AC141" s="4"/>
      <c r="AD141" s="122">
        <f t="shared" si="36"/>
        <v>0</v>
      </c>
      <c r="AE141" s="122" t="str">
        <f t="shared" si="32"/>
        <v/>
      </c>
      <c r="AF141" s="122">
        <f t="shared" si="33"/>
        <v>0</v>
      </c>
      <c r="AG141" s="122">
        <f t="shared" si="34"/>
        <v>0</v>
      </c>
      <c r="AI141" s="4"/>
      <c r="AJ141" s="4"/>
      <c r="AL141" s="4"/>
      <c r="AM141" s="4"/>
    </row>
    <row r="142" spans="2:39" x14ac:dyDescent="0.15">
      <c r="B142" s="4"/>
      <c r="C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122" t="str">
        <f t="shared" si="35"/>
        <v/>
      </c>
      <c r="P142" s="122" t="str">
        <f t="shared" si="29"/>
        <v/>
      </c>
      <c r="Q142" s="122">
        <f t="shared" si="30"/>
        <v>0</v>
      </c>
      <c r="R142" s="122">
        <f t="shared" si="31"/>
        <v>0</v>
      </c>
      <c r="T142" s="4"/>
      <c r="U142" s="4"/>
      <c r="V142" s="4"/>
      <c r="W142" s="22"/>
      <c r="X142" s="4"/>
      <c r="Y142" s="4"/>
      <c r="Z142" s="4"/>
      <c r="AA142" s="4"/>
      <c r="AB142" s="4"/>
      <c r="AC142" s="4"/>
      <c r="AD142" s="122">
        <f t="shared" si="36"/>
        <v>0</v>
      </c>
      <c r="AE142" s="122" t="str">
        <f t="shared" si="32"/>
        <v/>
      </c>
      <c r="AF142" s="122">
        <f t="shared" si="33"/>
        <v>0</v>
      </c>
      <c r="AG142" s="122">
        <f t="shared" si="34"/>
        <v>0</v>
      </c>
      <c r="AI142" s="4"/>
      <c r="AJ142" s="4"/>
      <c r="AL142" s="4"/>
      <c r="AM142" s="4"/>
    </row>
    <row r="143" spans="2:39" x14ac:dyDescent="0.15">
      <c r="B143" s="4"/>
      <c r="C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122" t="str">
        <f t="shared" si="35"/>
        <v/>
      </c>
      <c r="P143" s="122" t="str">
        <f t="shared" si="29"/>
        <v/>
      </c>
      <c r="Q143" s="122">
        <f t="shared" si="30"/>
        <v>0</v>
      </c>
      <c r="R143" s="122">
        <f t="shared" si="31"/>
        <v>0</v>
      </c>
      <c r="T143" s="4"/>
      <c r="U143" s="4"/>
      <c r="V143" s="4"/>
      <c r="W143" s="22"/>
      <c r="X143" s="4"/>
      <c r="Y143" s="4"/>
      <c r="Z143" s="4"/>
      <c r="AA143" s="4"/>
      <c r="AB143" s="4"/>
      <c r="AC143" s="4"/>
      <c r="AD143" s="122">
        <f t="shared" si="36"/>
        <v>0</v>
      </c>
      <c r="AE143" s="122" t="str">
        <f t="shared" si="32"/>
        <v/>
      </c>
      <c r="AF143" s="122">
        <f t="shared" si="33"/>
        <v>0</v>
      </c>
      <c r="AG143" s="122">
        <f t="shared" si="34"/>
        <v>0</v>
      </c>
      <c r="AI143" s="4"/>
      <c r="AJ143" s="4"/>
      <c r="AL143" s="4"/>
      <c r="AM143" s="4"/>
    </row>
    <row r="144" spans="2:39" x14ac:dyDescent="0.15">
      <c r="B144" s="4"/>
      <c r="C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122" t="str">
        <f t="shared" si="35"/>
        <v/>
      </c>
      <c r="P144" s="122" t="str">
        <f t="shared" si="29"/>
        <v/>
      </c>
      <c r="Q144" s="122">
        <f t="shared" si="30"/>
        <v>0</v>
      </c>
      <c r="R144" s="122">
        <f t="shared" si="31"/>
        <v>0</v>
      </c>
      <c r="T144" s="4"/>
      <c r="U144" s="4"/>
      <c r="V144" s="4"/>
      <c r="W144" s="22"/>
      <c r="X144" s="4"/>
      <c r="Y144" s="4"/>
      <c r="Z144" s="4"/>
      <c r="AA144" s="4"/>
      <c r="AB144" s="4"/>
      <c r="AC144" s="4"/>
      <c r="AD144" s="122">
        <f t="shared" si="36"/>
        <v>0</v>
      </c>
      <c r="AE144" s="122" t="str">
        <f t="shared" si="32"/>
        <v/>
      </c>
      <c r="AF144" s="122">
        <f t="shared" si="33"/>
        <v>0</v>
      </c>
      <c r="AG144" s="122">
        <f t="shared" si="34"/>
        <v>0</v>
      </c>
      <c r="AI144" s="4"/>
      <c r="AJ144" s="4"/>
      <c r="AL144" s="4"/>
      <c r="AM144" s="4"/>
    </row>
    <row r="145" spans="2:39" x14ac:dyDescent="0.15">
      <c r="B145" s="4"/>
      <c r="C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122" t="str">
        <f t="shared" si="35"/>
        <v/>
      </c>
      <c r="P145" s="122" t="str">
        <f t="shared" si="29"/>
        <v/>
      </c>
      <c r="Q145" s="122">
        <f t="shared" si="30"/>
        <v>0</v>
      </c>
      <c r="R145" s="122">
        <f t="shared" si="31"/>
        <v>0</v>
      </c>
      <c r="T145" s="4"/>
      <c r="U145" s="4"/>
      <c r="V145" s="4"/>
      <c r="W145" s="22"/>
      <c r="X145" s="4"/>
      <c r="Y145" s="4"/>
      <c r="Z145" s="4"/>
      <c r="AA145" s="4"/>
      <c r="AB145" s="4"/>
      <c r="AC145" s="4"/>
      <c r="AD145" s="122">
        <f t="shared" si="36"/>
        <v>0</v>
      </c>
      <c r="AE145" s="122" t="str">
        <f t="shared" si="32"/>
        <v/>
      </c>
      <c r="AF145" s="122">
        <f t="shared" si="33"/>
        <v>0</v>
      </c>
      <c r="AG145" s="122">
        <f t="shared" si="34"/>
        <v>0</v>
      </c>
      <c r="AI145" s="4"/>
      <c r="AJ145" s="4"/>
      <c r="AL145" s="4"/>
      <c r="AM145" s="4"/>
    </row>
    <row r="146" spans="2:39" x14ac:dyDescent="0.15">
      <c r="B146" s="4"/>
      <c r="C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122" t="str">
        <f t="shared" si="35"/>
        <v/>
      </c>
      <c r="P146" s="122" t="str">
        <f t="shared" si="29"/>
        <v/>
      </c>
      <c r="Q146" s="122">
        <f t="shared" si="30"/>
        <v>0</v>
      </c>
      <c r="R146" s="122">
        <f t="shared" si="31"/>
        <v>0</v>
      </c>
      <c r="T146" s="4"/>
      <c r="U146" s="4"/>
      <c r="V146" s="4"/>
      <c r="W146" s="22"/>
      <c r="X146" s="4"/>
      <c r="Y146" s="4"/>
      <c r="Z146" s="4"/>
      <c r="AA146" s="4"/>
      <c r="AB146" s="4"/>
      <c r="AC146" s="4"/>
      <c r="AD146" s="122">
        <f t="shared" si="36"/>
        <v>0</v>
      </c>
      <c r="AE146" s="122" t="str">
        <f t="shared" si="32"/>
        <v/>
      </c>
      <c r="AF146" s="122">
        <f t="shared" si="33"/>
        <v>0</v>
      </c>
      <c r="AG146" s="122">
        <f t="shared" si="34"/>
        <v>0</v>
      </c>
      <c r="AI146" s="4"/>
      <c r="AJ146" s="4"/>
      <c r="AL146" s="4"/>
      <c r="AM146" s="4"/>
    </row>
    <row r="147" spans="2:39" x14ac:dyDescent="0.15">
      <c r="B147" s="4"/>
      <c r="C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122" t="str">
        <f t="shared" si="35"/>
        <v/>
      </c>
      <c r="P147" s="122" t="str">
        <f t="shared" si="29"/>
        <v/>
      </c>
      <c r="Q147" s="122">
        <f t="shared" si="30"/>
        <v>0</v>
      </c>
      <c r="R147" s="122">
        <f t="shared" si="31"/>
        <v>0</v>
      </c>
      <c r="T147" s="4"/>
      <c r="U147" s="4"/>
      <c r="V147" s="4"/>
      <c r="W147" s="22"/>
      <c r="X147" s="4"/>
      <c r="Y147" s="4"/>
      <c r="Z147" s="4"/>
      <c r="AA147" s="4"/>
      <c r="AB147" s="4"/>
      <c r="AC147" s="4"/>
      <c r="AD147" s="122">
        <f t="shared" si="36"/>
        <v>0</v>
      </c>
      <c r="AE147" s="122" t="str">
        <f t="shared" si="32"/>
        <v/>
      </c>
      <c r="AF147" s="122">
        <f t="shared" si="33"/>
        <v>0</v>
      </c>
      <c r="AG147" s="122">
        <f t="shared" si="34"/>
        <v>0</v>
      </c>
      <c r="AI147" s="4"/>
      <c r="AJ147" s="4"/>
      <c r="AL147" s="4"/>
      <c r="AM147" s="4"/>
    </row>
    <row r="148" spans="2:39" x14ac:dyDescent="0.15">
      <c r="B148" s="4"/>
      <c r="C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122" t="str">
        <f t="shared" si="35"/>
        <v/>
      </c>
      <c r="P148" s="122" t="str">
        <f t="shared" si="29"/>
        <v/>
      </c>
      <c r="Q148" s="122">
        <f t="shared" si="30"/>
        <v>0</v>
      </c>
      <c r="R148" s="122">
        <f t="shared" si="31"/>
        <v>0</v>
      </c>
      <c r="T148" s="4"/>
      <c r="U148" s="4"/>
      <c r="V148" s="4"/>
      <c r="W148" s="22"/>
      <c r="X148" s="4"/>
      <c r="Y148" s="4"/>
      <c r="Z148" s="4"/>
      <c r="AA148" s="4"/>
      <c r="AB148" s="4"/>
      <c r="AC148" s="4"/>
      <c r="AD148" s="122">
        <f t="shared" si="36"/>
        <v>0</v>
      </c>
      <c r="AE148" s="122" t="str">
        <f t="shared" si="32"/>
        <v/>
      </c>
      <c r="AF148" s="122">
        <f t="shared" si="33"/>
        <v>0</v>
      </c>
      <c r="AG148" s="122">
        <f t="shared" si="34"/>
        <v>0</v>
      </c>
      <c r="AI148" s="4"/>
      <c r="AJ148" s="4"/>
      <c r="AL148" s="4"/>
      <c r="AM148" s="4"/>
    </row>
    <row r="149" spans="2:39" x14ac:dyDescent="0.15">
      <c r="B149" s="4"/>
      <c r="C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122" t="str">
        <f t="shared" si="35"/>
        <v/>
      </c>
      <c r="P149" s="122" t="str">
        <f t="shared" si="29"/>
        <v/>
      </c>
      <c r="Q149" s="122">
        <f t="shared" si="30"/>
        <v>0</v>
      </c>
      <c r="R149" s="122">
        <f t="shared" si="31"/>
        <v>0</v>
      </c>
      <c r="T149" s="4"/>
      <c r="U149" s="4"/>
      <c r="V149" s="4"/>
      <c r="W149" s="22"/>
      <c r="X149" s="4"/>
      <c r="Y149" s="4"/>
      <c r="Z149" s="4"/>
      <c r="AA149" s="4"/>
      <c r="AB149" s="4"/>
      <c r="AC149" s="4"/>
      <c r="AD149" s="122">
        <f t="shared" si="36"/>
        <v>0</v>
      </c>
      <c r="AE149" s="122" t="str">
        <f t="shared" si="32"/>
        <v/>
      </c>
      <c r="AF149" s="122">
        <f t="shared" si="33"/>
        <v>0</v>
      </c>
      <c r="AG149" s="122">
        <f t="shared" si="34"/>
        <v>0</v>
      </c>
      <c r="AI149" s="4"/>
      <c r="AJ149" s="4"/>
      <c r="AL149" s="4"/>
      <c r="AM149" s="4"/>
    </row>
    <row r="150" spans="2:39" x14ac:dyDescent="0.15">
      <c r="B150" s="4"/>
      <c r="C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122" t="str">
        <f t="shared" si="35"/>
        <v/>
      </c>
      <c r="P150" s="122" t="str">
        <f t="shared" si="29"/>
        <v/>
      </c>
      <c r="Q150" s="122">
        <f t="shared" si="30"/>
        <v>0</v>
      </c>
      <c r="R150" s="122">
        <f t="shared" si="31"/>
        <v>0</v>
      </c>
      <c r="T150" s="4"/>
      <c r="U150" s="4"/>
      <c r="V150" s="4"/>
      <c r="W150" s="22"/>
      <c r="X150" s="4"/>
      <c r="Y150" s="4"/>
      <c r="Z150" s="4"/>
      <c r="AA150" s="4"/>
      <c r="AB150" s="4"/>
      <c r="AC150" s="4"/>
      <c r="AD150" s="122">
        <f t="shared" si="36"/>
        <v>0</v>
      </c>
      <c r="AE150" s="122" t="str">
        <f t="shared" si="32"/>
        <v/>
      </c>
      <c r="AF150" s="122">
        <f t="shared" si="33"/>
        <v>0</v>
      </c>
      <c r="AG150" s="122">
        <f t="shared" si="34"/>
        <v>0</v>
      </c>
      <c r="AI150" s="4"/>
      <c r="AJ150" s="4"/>
      <c r="AL150" s="4"/>
      <c r="AM150" s="4"/>
    </row>
    <row r="151" spans="2:39" x14ac:dyDescent="0.15">
      <c r="B151" s="4"/>
      <c r="C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122" t="str">
        <f t="shared" si="35"/>
        <v/>
      </c>
      <c r="P151" s="122" t="str">
        <f t="shared" si="29"/>
        <v/>
      </c>
      <c r="Q151" s="122">
        <f t="shared" si="30"/>
        <v>0</v>
      </c>
      <c r="R151" s="122">
        <f t="shared" si="31"/>
        <v>0</v>
      </c>
      <c r="T151" s="4"/>
      <c r="U151" s="4"/>
      <c r="V151" s="4"/>
      <c r="W151" s="22"/>
      <c r="X151" s="4"/>
      <c r="Y151" s="4"/>
      <c r="Z151" s="4"/>
      <c r="AA151" s="4"/>
      <c r="AB151" s="4"/>
      <c r="AC151" s="4"/>
      <c r="AD151" s="122">
        <f t="shared" si="36"/>
        <v>0</v>
      </c>
      <c r="AE151" s="122" t="str">
        <f t="shared" si="32"/>
        <v/>
      </c>
      <c r="AF151" s="122">
        <f t="shared" si="33"/>
        <v>0</v>
      </c>
      <c r="AG151" s="122">
        <f t="shared" si="34"/>
        <v>0</v>
      </c>
      <c r="AI151" s="4"/>
      <c r="AJ151" s="4"/>
      <c r="AL151" s="4"/>
      <c r="AM151" s="4"/>
    </row>
    <row r="152" spans="2:39" x14ac:dyDescent="0.15">
      <c r="B152" s="4"/>
      <c r="C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122" t="str">
        <f t="shared" si="35"/>
        <v/>
      </c>
      <c r="P152" s="122" t="str">
        <f t="shared" si="29"/>
        <v/>
      </c>
      <c r="Q152" s="122">
        <f t="shared" si="30"/>
        <v>0</v>
      </c>
      <c r="R152" s="122">
        <f t="shared" si="31"/>
        <v>0</v>
      </c>
      <c r="T152" s="4"/>
      <c r="U152" s="4"/>
      <c r="V152" s="4"/>
      <c r="W152" s="22"/>
      <c r="X152" s="4"/>
      <c r="Y152" s="4"/>
      <c r="Z152" s="4"/>
      <c r="AA152" s="4"/>
      <c r="AB152" s="4"/>
      <c r="AC152" s="4"/>
      <c r="AD152" s="122">
        <f t="shared" si="36"/>
        <v>0</v>
      </c>
      <c r="AE152" s="122" t="str">
        <f t="shared" si="32"/>
        <v/>
      </c>
      <c r="AF152" s="122">
        <f t="shared" si="33"/>
        <v>0</v>
      </c>
      <c r="AG152" s="122">
        <f t="shared" si="34"/>
        <v>0</v>
      </c>
      <c r="AI152" s="4"/>
      <c r="AJ152" s="4"/>
      <c r="AL152" s="4"/>
      <c r="AM152" s="4"/>
    </row>
    <row r="153" spans="2:39" x14ac:dyDescent="0.15">
      <c r="B153" s="4"/>
      <c r="C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122" t="str">
        <f t="shared" si="35"/>
        <v/>
      </c>
      <c r="P153" s="122" t="str">
        <f t="shared" si="29"/>
        <v/>
      </c>
      <c r="Q153" s="122">
        <f t="shared" si="30"/>
        <v>0</v>
      </c>
      <c r="R153" s="122">
        <f t="shared" si="31"/>
        <v>0</v>
      </c>
      <c r="T153" s="4"/>
      <c r="U153" s="4"/>
      <c r="V153" s="4"/>
      <c r="W153" s="22"/>
      <c r="X153" s="4"/>
      <c r="Y153" s="4"/>
      <c r="Z153" s="4"/>
      <c r="AA153" s="4"/>
      <c r="AB153" s="4"/>
      <c r="AC153" s="4"/>
      <c r="AD153" s="122">
        <f t="shared" si="36"/>
        <v>0</v>
      </c>
      <c r="AE153" s="122" t="str">
        <f t="shared" si="32"/>
        <v/>
      </c>
      <c r="AF153" s="122">
        <f t="shared" si="33"/>
        <v>0</v>
      </c>
      <c r="AG153" s="122">
        <f t="shared" si="34"/>
        <v>0</v>
      </c>
      <c r="AI153" s="4"/>
      <c r="AJ153" s="4"/>
      <c r="AL153" s="4"/>
      <c r="AM153" s="4"/>
    </row>
    <row r="154" spans="2:39" x14ac:dyDescent="0.15">
      <c r="B154" s="4"/>
      <c r="C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122" t="str">
        <f t="shared" si="35"/>
        <v/>
      </c>
      <c r="P154" s="122" t="str">
        <f t="shared" si="29"/>
        <v/>
      </c>
      <c r="Q154" s="122">
        <f t="shared" si="30"/>
        <v>0</v>
      </c>
      <c r="R154" s="122">
        <f t="shared" si="31"/>
        <v>0</v>
      </c>
      <c r="T154" s="4"/>
      <c r="U154" s="4"/>
      <c r="V154" s="4"/>
      <c r="W154" s="22"/>
      <c r="X154" s="4"/>
      <c r="Y154" s="4"/>
      <c r="Z154" s="4"/>
      <c r="AA154" s="4"/>
      <c r="AB154" s="4"/>
      <c r="AC154" s="4"/>
      <c r="AD154" s="122">
        <f t="shared" si="36"/>
        <v>0</v>
      </c>
      <c r="AE154" s="122" t="str">
        <f t="shared" si="32"/>
        <v/>
      </c>
      <c r="AF154" s="122">
        <f t="shared" si="33"/>
        <v>0</v>
      </c>
      <c r="AG154" s="122">
        <f t="shared" si="34"/>
        <v>0</v>
      </c>
      <c r="AI154" s="4"/>
      <c r="AJ154" s="4"/>
      <c r="AL154" s="4"/>
      <c r="AM154" s="4"/>
    </row>
    <row r="155" spans="2:39" x14ac:dyDescent="0.15">
      <c r="B155" s="4"/>
      <c r="C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122" t="str">
        <f t="shared" si="35"/>
        <v/>
      </c>
      <c r="P155" s="122" t="str">
        <f t="shared" si="29"/>
        <v/>
      </c>
      <c r="Q155" s="122">
        <f t="shared" si="30"/>
        <v>0</v>
      </c>
      <c r="R155" s="122">
        <f t="shared" si="31"/>
        <v>0</v>
      </c>
      <c r="T155" s="4"/>
      <c r="U155" s="4"/>
      <c r="V155" s="4"/>
      <c r="W155" s="22"/>
      <c r="X155" s="4"/>
      <c r="Y155" s="4"/>
      <c r="Z155" s="4"/>
      <c r="AA155" s="4"/>
      <c r="AB155" s="4"/>
      <c r="AC155" s="4"/>
      <c r="AD155" s="122">
        <f t="shared" si="36"/>
        <v>0</v>
      </c>
      <c r="AE155" s="122" t="str">
        <f t="shared" si="32"/>
        <v/>
      </c>
      <c r="AF155" s="122">
        <f t="shared" si="33"/>
        <v>0</v>
      </c>
      <c r="AG155" s="122">
        <f t="shared" si="34"/>
        <v>0</v>
      </c>
      <c r="AI155" s="4"/>
      <c r="AJ155" s="4"/>
      <c r="AL155" s="4"/>
      <c r="AM155" s="4"/>
    </row>
    <row r="156" spans="2:39" x14ac:dyDescent="0.15">
      <c r="B156" s="4"/>
      <c r="C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122" t="str">
        <f t="shared" si="35"/>
        <v/>
      </c>
      <c r="P156" s="122" t="str">
        <f t="shared" si="29"/>
        <v/>
      </c>
      <c r="Q156" s="122">
        <f t="shared" si="30"/>
        <v>0</v>
      </c>
      <c r="R156" s="122">
        <f t="shared" si="31"/>
        <v>0</v>
      </c>
      <c r="T156" s="4"/>
      <c r="U156" s="4"/>
      <c r="V156" s="4"/>
      <c r="W156" s="22"/>
      <c r="X156" s="4"/>
      <c r="Y156" s="4"/>
      <c r="Z156" s="4"/>
      <c r="AA156" s="4"/>
      <c r="AB156" s="4"/>
      <c r="AC156" s="4"/>
      <c r="AD156" s="122">
        <f t="shared" si="36"/>
        <v>0</v>
      </c>
      <c r="AE156" s="122" t="str">
        <f t="shared" si="32"/>
        <v/>
      </c>
      <c r="AF156" s="122">
        <f t="shared" si="33"/>
        <v>0</v>
      </c>
      <c r="AG156" s="122">
        <f t="shared" si="34"/>
        <v>0</v>
      </c>
      <c r="AI156" s="4"/>
      <c r="AJ156" s="4"/>
      <c r="AL156" s="4"/>
      <c r="AM156" s="4"/>
    </row>
    <row r="157" spans="2:39" x14ac:dyDescent="0.15">
      <c r="B157" s="4"/>
      <c r="C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122" t="str">
        <f t="shared" si="35"/>
        <v/>
      </c>
      <c r="P157" s="122" t="str">
        <f t="shared" si="29"/>
        <v/>
      </c>
      <c r="Q157" s="122">
        <f t="shared" si="30"/>
        <v>0</v>
      </c>
      <c r="R157" s="122">
        <f t="shared" si="31"/>
        <v>0</v>
      </c>
      <c r="T157" s="4"/>
      <c r="U157" s="4"/>
      <c r="V157" s="4"/>
      <c r="W157" s="22"/>
      <c r="X157" s="4"/>
      <c r="Y157" s="4"/>
      <c r="Z157" s="4"/>
      <c r="AA157" s="4"/>
      <c r="AB157" s="4"/>
      <c r="AC157" s="4"/>
      <c r="AD157" s="122">
        <f t="shared" si="36"/>
        <v>0</v>
      </c>
      <c r="AE157" s="122" t="str">
        <f t="shared" si="32"/>
        <v/>
      </c>
      <c r="AF157" s="122">
        <f t="shared" si="33"/>
        <v>0</v>
      </c>
      <c r="AG157" s="122">
        <f t="shared" si="34"/>
        <v>0</v>
      </c>
      <c r="AI157" s="4"/>
      <c r="AJ157" s="4"/>
      <c r="AL157" s="4"/>
      <c r="AM157" s="4"/>
    </row>
    <row r="158" spans="2:39" x14ac:dyDescent="0.15">
      <c r="B158" s="4"/>
      <c r="C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122" t="str">
        <f t="shared" si="35"/>
        <v/>
      </c>
      <c r="P158" s="122" t="str">
        <f t="shared" si="29"/>
        <v/>
      </c>
      <c r="Q158" s="122">
        <f t="shared" si="30"/>
        <v>0</v>
      </c>
      <c r="R158" s="122">
        <f t="shared" si="31"/>
        <v>0</v>
      </c>
      <c r="T158" s="4"/>
      <c r="U158" s="4"/>
      <c r="V158" s="4"/>
      <c r="W158" s="22"/>
      <c r="X158" s="4"/>
      <c r="Y158" s="4"/>
      <c r="Z158" s="4"/>
      <c r="AA158" s="4"/>
      <c r="AB158" s="4"/>
      <c r="AC158" s="4"/>
      <c r="AD158" s="122">
        <f t="shared" si="36"/>
        <v>0</v>
      </c>
      <c r="AE158" s="122" t="str">
        <f t="shared" si="32"/>
        <v/>
      </c>
      <c r="AF158" s="122">
        <f t="shared" si="33"/>
        <v>0</v>
      </c>
      <c r="AG158" s="122">
        <f t="shared" si="34"/>
        <v>0</v>
      </c>
      <c r="AI158" s="4"/>
      <c r="AJ158" s="4"/>
      <c r="AL158" s="4"/>
      <c r="AM158" s="4"/>
    </row>
    <row r="159" spans="2:39" x14ac:dyDescent="0.15">
      <c r="B159" s="4"/>
      <c r="C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122" t="str">
        <f t="shared" si="35"/>
        <v/>
      </c>
      <c r="P159" s="122" t="str">
        <f t="shared" si="29"/>
        <v/>
      </c>
      <c r="Q159" s="122">
        <f t="shared" si="30"/>
        <v>0</v>
      </c>
      <c r="R159" s="122">
        <f t="shared" si="31"/>
        <v>0</v>
      </c>
      <c r="T159" s="4"/>
      <c r="U159" s="4"/>
      <c r="V159" s="4"/>
      <c r="W159" s="22"/>
      <c r="X159" s="4"/>
      <c r="Y159" s="4"/>
      <c r="Z159" s="4"/>
      <c r="AA159" s="4"/>
      <c r="AB159" s="4"/>
      <c r="AC159" s="4"/>
      <c r="AD159" s="122">
        <f t="shared" si="36"/>
        <v>0</v>
      </c>
      <c r="AE159" s="122" t="str">
        <f t="shared" si="32"/>
        <v/>
      </c>
      <c r="AF159" s="122">
        <f t="shared" si="33"/>
        <v>0</v>
      </c>
      <c r="AG159" s="122">
        <f t="shared" si="34"/>
        <v>0</v>
      </c>
      <c r="AI159" s="4"/>
      <c r="AJ159" s="4"/>
      <c r="AL159" s="4"/>
      <c r="AM159" s="4"/>
    </row>
    <row r="160" spans="2:39" x14ac:dyDescent="0.15">
      <c r="B160" s="4"/>
      <c r="C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122" t="str">
        <f t="shared" si="35"/>
        <v/>
      </c>
      <c r="P160" s="122" t="str">
        <f t="shared" si="29"/>
        <v/>
      </c>
      <c r="Q160" s="122">
        <f t="shared" si="30"/>
        <v>0</v>
      </c>
      <c r="R160" s="122">
        <f t="shared" si="31"/>
        <v>0</v>
      </c>
      <c r="T160" s="4"/>
      <c r="U160" s="4"/>
      <c r="V160" s="4"/>
      <c r="W160" s="22"/>
      <c r="X160" s="4"/>
      <c r="Y160" s="4"/>
      <c r="Z160" s="4"/>
      <c r="AA160" s="4"/>
      <c r="AB160" s="4"/>
      <c r="AC160" s="4"/>
      <c r="AD160" s="122">
        <f t="shared" si="36"/>
        <v>0</v>
      </c>
      <c r="AE160" s="122" t="str">
        <f t="shared" si="32"/>
        <v/>
      </c>
      <c r="AF160" s="122">
        <f t="shared" si="33"/>
        <v>0</v>
      </c>
      <c r="AG160" s="122">
        <f t="shared" si="34"/>
        <v>0</v>
      </c>
      <c r="AI160" s="4"/>
      <c r="AJ160" s="4"/>
      <c r="AL160" s="4"/>
      <c r="AM160" s="4"/>
    </row>
    <row r="161" spans="2:39" x14ac:dyDescent="0.15">
      <c r="B161" s="4"/>
      <c r="C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122" t="str">
        <f t="shared" si="35"/>
        <v/>
      </c>
      <c r="P161" s="122" t="str">
        <f t="shared" si="29"/>
        <v/>
      </c>
      <c r="Q161" s="122">
        <f t="shared" si="30"/>
        <v>0</v>
      </c>
      <c r="R161" s="122">
        <f t="shared" si="31"/>
        <v>0</v>
      </c>
      <c r="T161" s="4"/>
      <c r="U161" s="4"/>
      <c r="V161" s="4"/>
      <c r="W161" s="22"/>
      <c r="X161" s="4"/>
      <c r="Y161" s="4"/>
      <c r="Z161" s="4"/>
      <c r="AA161" s="4"/>
      <c r="AB161" s="4"/>
      <c r="AC161" s="4"/>
      <c r="AD161" s="122">
        <f t="shared" si="36"/>
        <v>0</v>
      </c>
      <c r="AE161" s="122" t="str">
        <f t="shared" si="32"/>
        <v/>
      </c>
      <c r="AF161" s="122">
        <f t="shared" si="33"/>
        <v>0</v>
      </c>
      <c r="AG161" s="122">
        <f t="shared" si="34"/>
        <v>0</v>
      </c>
      <c r="AI161" s="4"/>
      <c r="AJ161" s="4"/>
      <c r="AL161" s="4"/>
      <c r="AM161" s="4"/>
    </row>
    <row r="162" spans="2:39" x14ac:dyDescent="0.15">
      <c r="B162" s="4"/>
      <c r="C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122" t="str">
        <f t="shared" si="35"/>
        <v/>
      </c>
      <c r="P162" s="122" t="str">
        <f t="shared" si="29"/>
        <v/>
      </c>
      <c r="Q162" s="122">
        <f t="shared" si="30"/>
        <v>0</v>
      </c>
      <c r="R162" s="122">
        <f t="shared" si="31"/>
        <v>0</v>
      </c>
      <c r="T162" s="4"/>
      <c r="U162" s="4"/>
      <c r="V162" s="4"/>
      <c r="W162" s="22"/>
      <c r="X162" s="4"/>
      <c r="Y162" s="4"/>
      <c r="Z162" s="4"/>
      <c r="AA162" s="4"/>
      <c r="AB162" s="4"/>
      <c r="AC162" s="4"/>
      <c r="AD162" s="122">
        <f t="shared" si="36"/>
        <v>0</v>
      </c>
      <c r="AE162" s="122" t="str">
        <f t="shared" si="32"/>
        <v/>
      </c>
      <c r="AF162" s="122">
        <f t="shared" si="33"/>
        <v>0</v>
      </c>
      <c r="AG162" s="122">
        <f t="shared" si="34"/>
        <v>0</v>
      </c>
      <c r="AI162" s="4"/>
      <c r="AJ162" s="4"/>
      <c r="AL162" s="4"/>
      <c r="AM162" s="4"/>
    </row>
    <row r="163" spans="2:39" x14ac:dyDescent="0.15">
      <c r="B163" s="4"/>
      <c r="C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122" t="str">
        <f t="shared" si="35"/>
        <v/>
      </c>
      <c r="P163" s="122" t="str">
        <f t="shared" si="29"/>
        <v/>
      </c>
      <c r="Q163" s="122">
        <f t="shared" si="30"/>
        <v>0</v>
      </c>
      <c r="R163" s="122">
        <f t="shared" si="31"/>
        <v>0</v>
      </c>
      <c r="T163" s="4"/>
      <c r="U163" s="4"/>
      <c r="V163" s="4"/>
      <c r="W163" s="22"/>
      <c r="X163" s="4"/>
      <c r="Y163" s="4"/>
      <c r="Z163" s="4"/>
      <c r="AA163" s="4"/>
      <c r="AB163" s="4"/>
      <c r="AC163" s="4"/>
      <c r="AD163" s="122">
        <f t="shared" si="36"/>
        <v>0</v>
      </c>
      <c r="AE163" s="122" t="str">
        <f t="shared" si="32"/>
        <v/>
      </c>
      <c r="AF163" s="122">
        <f t="shared" si="33"/>
        <v>0</v>
      </c>
      <c r="AG163" s="122">
        <f t="shared" si="34"/>
        <v>0</v>
      </c>
      <c r="AI163" s="4"/>
      <c r="AJ163" s="4"/>
      <c r="AL163" s="4"/>
      <c r="AM163" s="4"/>
    </row>
    <row r="164" spans="2:39" x14ac:dyDescent="0.15">
      <c r="B164" s="4"/>
      <c r="C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122" t="str">
        <f t="shared" si="35"/>
        <v/>
      </c>
      <c r="P164" s="122" t="str">
        <f t="shared" si="29"/>
        <v/>
      </c>
      <c r="Q164" s="122">
        <f t="shared" si="30"/>
        <v>0</v>
      </c>
      <c r="R164" s="122">
        <f t="shared" si="31"/>
        <v>0</v>
      </c>
      <c r="T164" s="4"/>
      <c r="U164" s="4"/>
      <c r="V164" s="4"/>
      <c r="W164" s="22"/>
      <c r="X164" s="4"/>
      <c r="Y164" s="4"/>
      <c r="Z164" s="4"/>
      <c r="AA164" s="4"/>
      <c r="AB164" s="4"/>
      <c r="AC164" s="4"/>
      <c r="AD164" s="122">
        <f t="shared" si="36"/>
        <v>0</v>
      </c>
      <c r="AE164" s="122" t="str">
        <f t="shared" si="32"/>
        <v/>
      </c>
      <c r="AF164" s="122">
        <f t="shared" si="33"/>
        <v>0</v>
      </c>
      <c r="AG164" s="122">
        <f t="shared" si="34"/>
        <v>0</v>
      </c>
      <c r="AI164" s="4"/>
      <c r="AJ164" s="4"/>
      <c r="AL164" s="4"/>
      <c r="AM164" s="4"/>
    </row>
    <row r="165" spans="2:39" x14ac:dyDescent="0.15">
      <c r="B165" s="4"/>
      <c r="C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122" t="str">
        <f t="shared" si="35"/>
        <v/>
      </c>
      <c r="P165" s="122" t="str">
        <f t="shared" si="29"/>
        <v/>
      </c>
      <c r="Q165" s="122">
        <f t="shared" si="30"/>
        <v>0</v>
      </c>
      <c r="R165" s="122">
        <f t="shared" si="31"/>
        <v>0</v>
      </c>
      <c r="T165" s="4"/>
      <c r="U165" s="4"/>
      <c r="V165" s="4"/>
      <c r="W165" s="22"/>
      <c r="X165" s="4"/>
      <c r="Y165" s="4"/>
      <c r="Z165" s="4"/>
      <c r="AA165" s="4"/>
      <c r="AB165" s="4"/>
      <c r="AC165" s="4"/>
      <c r="AD165" s="122">
        <f t="shared" si="36"/>
        <v>0</v>
      </c>
      <c r="AE165" s="122" t="str">
        <f t="shared" si="32"/>
        <v/>
      </c>
      <c r="AF165" s="122">
        <f t="shared" si="33"/>
        <v>0</v>
      </c>
      <c r="AG165" s="122">
        <f t="shared" si="34"/>
        <v>0</v>
      </c>
      <c r="AI165" s="4"/>
      <c r="AJ165" s="4"/>
      <c r="AL165" s="4"/>
      <c r="AM165" s="4"/>
    </row>
    <row r="166" spans="2:39" x14ac:dyDescent="0.15">
      <c r="B166" s="4"/>
      <c r="C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122" t="str">
        <f t="shared" si="35"/>
        <v/>
      </c>
      <c r="P166" s="122" t="str">
        <f t="shared" ref="P166:P197" si="37">IF(G166="","",VLOOKUP(G166,SeihinnTB,2,FALSE))</f>
        <v/>
      </c>
      <c r="Q166" s="122">
        <f t="shared" ref="Q166:Q197" si="38">IF(ISERROR(VLOOKUP(E166,SyukkaZ,2,FALSE)),0,VLOOKUP(E166,SyukkaZ,2,FALSE))</f>
        <v>0</v>
      </c>
      <c r="R166" s="122">
        <f t="shared" ref="R166:R197" si="39">I166-M166+Q166</f>
        <v>0</v>
      </c>
      <c r="T166" s="4"/>
      <c r="U166" s="4"/>
      <c r="V166" s="4"/>
      <c r="W166" s="22"/>
      <c r="X166" s="4"/>
      <c r="Y166" s="4"/>
      <c r="Z166" s="4"/>
      <c r="AA166" s="4"/>
      <c r="AB166" s="4"/>
      <c r="AC166" s="4"/>
      <c r="AD166" s="122">
        <f t="shared" si="36"/>
        <v>0</v>
      </c>
      <c r="AE166" s="122" t="str">
        <f t="shared" ref="AE166:AE197" si="40">IF(V166="","",VLOOKUP(V166,SeihinnTB,2,FALSE))</f>
        <v/>
      </c>
      <c r="AF166" s="122">
        <f t="shared" ref="AF166:AF197" si="41">IF(ISERROR(VLOOKUP(T166,SyukkaR,2,FALSE)),0,VLOOKUP(T166,SyukkaR,2,FALSE))</f>
        <v>0</v>
      </c>
      <c r="AG166" s="122">
        <f t="shared" ref="AG166:AG197" si="42">X166-AF166</f>
        <v>0</v>
      </c>
      <c r="AI166" s="4"/>
      <c r="AJ166" s="4"/>
      <c r="AL166" s="4"/>
      <c r="AM166" s="4"/>
    </row>
    <row r="167" spans="2:39" x14ac:dyDescent="0.15">
      <c r="B167" s="4"/>
      <c r="C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122" t="str">
        <f t="shared" si="35"/>
        <v/>
      </c>
      <c r="P167" s="122" t="str">
        <f t="shared" si="37"/>
        <v/>
      </c>
      <c r="Q167" s="122">
        <f t="shared" si="38"/>
        <v>0</v>
      </c>
      <c r="R167" s="122">
        <f t="shared" si="39"/>
        <v>0</v>
      </c>
      <c r="T167" s="4"/>
      <c r="U167" s="4"/>
      <c r="V167" s="4"/>
      <c r="W167" s="22"/>
      <c r="X167" s="4"/>
      <c r="Y167" s="4"/>
      <c r="Z167" s="4"/>
      <c r="AA167" s="4"/>
      <c r="AB167" s="4"/>
      <c r="AC167" s="4"/>
      <c r="AD167" s="122">
        <f t="shared" si="36"/>
        <v>0</v>
      </c>
      <c r="AE167" s="122" t="str">
        <f t="shared" si="40"/>
        <v/>
      </c>
      <c r="AF167" s="122">
        <f t="shared" si="41"/>
        <v>0</v>
      </c>
      <c r="AG167" s="122">
        <f t="shared" si="42"/>
        <v>0</v>
      </c>
      <c r="AI167" s="4"/>
      <c r="AJ167" s="4"/>
      <c r="AL167" s="4"/>
      <c r="AM167" s="4"/>
    </row>
    <row r="168" spans="2:39" x14ac:dyDescent="0.15">
      <c r="B168" s="4"/>
      <c r="C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122" t="str">
        <f t="shared" si="35"/>
        <v/>
      </c>
      <c r="P168" s="122" t="str">
        <f t="shared" si="37"/>
        <v/>
      </c>
      <c r="Q168" s="122">
        <f t="shared" si="38"/>
        <v>0</v>
      </c>
      <c r="R168" s="122">
        <f t="shared" si="39"/>
        <v>0</v>
      </c>
      <c r="T168" s="4"/>
      <c r="U168" s="4"/>
      <c r="V168" s="4"/>
      <c r="W168" s="22"/>
      <c r="X168" s="4"/>
      <c r="Y168" s="4"/>
      <c r="Z168" s="4"/>
      <c r="AA168" s="4"/>
      <c r="AB168" s="4"/>
      <c r="AC168" s="4"/>
      <c r="AD168" s="122">
        <f t="shared" si="36"/>
        <v>0</v>
      </c>
      <c r="AE168" s="122" t="str">
        <f t="shared" si="40"/>
        <v/>
      </c>
      <c r="AF168" s="122">
        <f t="shared" si="41"/>
        <v>0</v>
      </c>
      <c r="AG168" s="122">
        <f t="shared" si="42"/>
        <v>0</v>
      </c>
      <c r="AI168" s="4"/>
      <c r="AJ168" s="4"/>
      <c r="AL168" s="4"/>
      <c r="AM168" s="4"/>
    </row>
    <row r="169" spans="2:39" x14ac:dyDescent="0.15">
      <c r="B169" s="4"/>
      <c r="C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122" t="str">
        <f t="shared" si="35"/>
        <v/>
      </c>
      <c r="P169" s="122" t="str">
        <f t="shared" si="37"/>
        <v/>
      </c>
      <c r="Q169" s="122">
        <f t="shared" si="38"/>
        <v>0</v>
      </c>
      <c r="R169" s="122">
        <f t="shared" si="39"/>
        <v>0</v>
      </c>
      <c r="T169" s="4"/>
      <c r="U169" s="4"/>
      <c r="V169" s="4"/>
      <c r="W169" s="22"/>
      <c r="X169" s="4"/>
      <c r="Y169" s="4"/>
      <c r="Z169" s="4"/>
      <c r="AA169" s="4"/>
      <c r="AB169" s="4"/>
      <c r="AC169" s="4"/>
      <c r="AD169" s="122">
        <f t="shared" si="36"/>
        <v>0</v>
      </c>
      <c r="AE169" s="122" t="str">
        <f t="shared" si="40"/>
        <v/>
      </c>
      <c r="AF169" s="122">
        <f t="shared" si="41"/>
        <v>0</v>
      </c>
      <c r="AG169" s="122">
        <f t="shared" si="42"/>
        <v>0</v>
      </c>
      <c r="AI169" s="4"/>
      <c r="AJ169" s="4"/>
      <c r="AL169" s="4"/>
      <c r="AM169" s="4"/>
    </row>
    <row r="170" spans="2:39" x14ac:dyDescent="0.15">
      <c r="B170" s="4"/>
      <c r="C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122" t="str">
        <f t="shared" si="35"/>
        <v/>
      </c>
      <c r="P170" s="122" t="str">
        <f t="shared" si="37"/>
        <v/>
      </c>
      <c r="Q170" s="122">
        <f t="shared" si="38"/>
        <v>0</v>
      </c>
      <c r="R170" s="122">
        <f t="shared" si="39"/>
        <v>0</v>
      </c>
      <c r="T170" s="4"/>
      <c r="U170" s="4"/>
      <c r="V170" s="4"/>
      <c r="W170" s="22"/>
      <c r="X170" s="4"/>
      <c r="Y170" s="4"/>
      <c r="Z170" s="4"/>
      <c r="AA170" s="4"/>
      <c r="AB170" s="4"/>
      <c r="AC170" s="4"/>
      <c r="AD170" s="122">
        <f t="shared" si="36"/>
        <v>0</v>
      </c>
      <c r="AE170" s="122" t="str">
        <f t="shared" si="40"/>
        <v/>
      </c>
      <c r="AF170" s="122">
        <f t="shared" si="41"/>
        <v>0</v>
      </c>
      <c r="AG170" s="122">
        <f t="shared" si="42"/>
        <v>0</v>
      </c>
      <c r="AI170" s="4"/>
      <c r="AJ170" s="4"/>
      <c r="AL170" s="4"/>
      <c r="AM170" s="4"/>
    </row>
    <row r="171" spans="2:39" x14ac:dyDescent="0.15">
      <c r="B171" s="4"/>
      <c r="C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122" t="str">
        <f t="shared" si="35"/>
        <v/>
      </c>
      <c r="P171" s="122" t="str">
        <f t="shared" si="37"/>
        <v/>
      </c>
      <c r="Q171" s="122">
        <f t="shared" si="38"/>
        <v>0</v>
      </c>
      <c r="R171" s="122">
        <f t="shared" si="39"/>
        <v>0</v>
      </c>
      <c r="T171" s="4"/>
      <c r="U171" s="4"/>
      <c r="V171" s="4"/>
      <c r="W171" s="22"/>
      <c r="X171" s="4"/>
      <c r="Y171" s="4"/>
      <c r="Z171" s="4"/>
      <c r="AA171" s="4"/>
      <c r="AB171" s="4"/>
      <c r="AC171" s="4"/>
      <c r="AD171" s="122">
        <f t="shared" si="36"/>
        <v>0</v>
      </c>
      <c r="AE171" s="122" t="str">
        <f t="shared" si="40"/>
        <v/>
      </c>
      <c r="AF171" s="122">
        <f t="shared" si="41"/>
        <v>0</v>
      </c>
      <c r="AG171" s="122">
        <f t="shared" si="42"/>
        <v>0</v>
      </c>
      <c r="AI171" s="4"/>
      <c r="AJ171" s="4"/>
      <c r="AL171" s="4"/>
      <c r="AM171" s="4"/>
    </row>
    <row r="172" spans="2:39" x14ac:dyDescent="0.15">
      <c r="B172" s="4"/>
      <c r="C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122" t="str">
        <f t="shared" si="35"/>
        <v/>
      </c>
      <c r="P172" s="122" t="str">
        <f t="shared" si="37"/>
        <v/>
      </c>
      <c r="Q172" s="122">
        <f t="shared" si="38"/>
        <v>0</v>
      </c>
      <c r="R172" s="122">
        <f t="shared" si="39"/>
        <v>0</v>
      </c>
      <c r="T172" s="4"/>
      <c r="U172" s="4"/>
      <c r="V172" s="4"/>
      <c r="W172" s="22"/>
      <c r="X172" s="4"/>
      <c r="Y172" s="4"/>
      <c r="Z172" s="4"/>
      <c r="AA172" s="4"/>
      <c r="AB172" s="4"/>
      <c r="AC172" s="4"/>
      <c r="AD172" s="122">
        <f t="shared" si="36"/>
        <v>0</v>
      </c>
      <c r="AE172" s="122" t="str">
        <f t="shared" si="40"/>
        <v/>
      </c>
      <c r="AF172" s="122">
        <f t="shared" si="41"/>
        <v>0</v>
      </c>
      <c r="AG172" s="122">
        <f t="shared" si="42"/>
        <v>0</v>
      </c>
      <c r="AI172" s="4"/>
      <c r="AJ172" s="4"/>
      <c r="AL172" s="4"/>
      <c r="AM172" s="4"/>
    </row>
    <row r="173" spans="2:39" x14ac:dyDescent="0.15">
      <c r="B173" s="4"/>
      <c r="C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122" t="str">
        <f t="shared" si="35"/>
        <v/>
      </c>
      <c r="P173" s="122" t="str">
        <f t="shared" si="37"/>
        <v/>
      </c>
      <c r="Q173" s="122">
        <f t="shared" si="38"/>
        <v>0</v>
      </c>
      <c r="R173" s="122">
        <f t="shared" si="39"/>
        <v>0</v>
      </c>
      <c r="T173" s="4"/>
      <c r="U173" s="4"/>
      <c r="V173" s="4"/>
      <c r="W173" s="22"/>
      <c r="X173" s="4"/>
      <c r="Y173" s="4"/>
      <c r="Z173" s="4"/>
      <c r="AA173" s="4"/>
      <c r="AB173" s="4"/>
      <c r="AC173" s="4"/>
      <c r="AD173" s="122">
        <f t="shared" si="36"/>
        <v>0</v>
      </c>
      <c r="AE173" s="122" t="str">
        <f t="shared" si="40"/>
        <v/>
      </c>
      <c r="AF173" s="122">
        <f t="shared" si="41"/>
        <v>0</v>
      </c>
      <c r="AG173" s="122">
        <f t="shared" si="42"/>
        <v>0</v>
      </c>
      <c r="AI173" s="4"/>
      <c r="AJ173" s="4"/>
      <c r="AL173" s="4"/>
      <c r="AM173" s="4"/>
    </row>
    <row r="174" spans="2:39" x14ac:dyDescent="0.15">
      <c r="B174" s="4"/>
      <c r="C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122" t="str">
        <f t="shared" si="35"/>
        <v/>
      </c>
      <c r="P174" s="122" t="str">
        <f t="shared" si="37"/>
        <v/>
      </c>
      <c r="Q174" s="122">
        <f t="shared" si="38"/>
        <v>0</v>
      </c>
      <c r="R174" s="122">
        <f t="shared" si="39"/>
        <v>0</v>
      </c>
      <c r="T174" s="4"/>
      <c r="U174" s="4"/>
      <c r="V174" s="4"/>
      <c r="W174" s="22"/>
      <c r="X174" s="4"/>
      <c r="Y174" s="4"/>
      <c r="Z174" s="4"/>
      <c r="AA174" s="4"/>
      <c r="AB174" s="4"/>
      <c r="AC174" s="4"/>
      <c r="AD174" s="122">
        <f t="shared" si="36"/>
        <v>0</v>
      </c>
      <c r="AE174" s="122" t="str">
        <f t="shared" si="40"/>
        <v/>
      </c>
      <c r="AF174" s="122">
        <f t="shared" si="41"/>
        <v>0</v>
      </c>
      <c r="AG174" s="122">
        <f t="shared" si="42"/>
        <v>0</v>
      </c>
      <c r="AI174" s="4"/>
      <c r="AJ174" s="4"/>
      <c r="AL174" s="4"/>
      <c r="AM174" s="4"/>
    </row>
    <row r="175" spans="2:39" x14ac:dyDescent="0.15">
      <c r="B175" s="4"/>
      <c r="C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122" t="str">
        <f t="shared" si="35"/>
        <v/>
      </c>
      <c r="P175" s="122" t="str">
        <f t="shared" si="37"/>
        <v/>
      </c>
      <c r="Q175" s="122">
        <f t="shared" si="38"/>
        <v>0</v>
      </c>
      <c r="R175" s="122">
        <f t="shared" si="39"/>
        <v>0</v>
      </c>
      <c r="T175" s="4"/>
      <c r="U175" s="4"/>
      <c r="V175" s="4"/>
      <c r="W175" s="22"/>
      <c r="X175" s="4"/>
      <c r="Y175" s="4"/>
      <c r="Z175" s="4"/>
      <c r="AA175" s="4"/>
      <c r="AB175" s="4"/>
      <c r="AC175" s="4"/>
      <c r="AD175" s="122">
        <f t="shared" si="36"/>
        <v>0</v>
      </c>
      <c r="AE175" s="122" t="str">
        <f t="shared" si="40"/>
        <v/>
      </c>
      <c r="AF175" s="122">
        <f t="shared" si="41"/>
        <v>0</v>
      </c>
      <c r="AG175" s="122">
        <f t="shared" si="42"/>
        <v>0</v>
      </c>
      <c r="AI175" s="4"/>
      <c r="AJ175" s="4"/>
      <c r="AL175" s="4"/>
      <c r="AM175" s="4"/>
    </row>
    <row r="176" spans="2:39" x14ac:dyDescent="0.15">
      <c r="B176" s="4"/>
      <c r="C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122" t="str">
        <f t="shared" si="35"/>
        <v/>
      </c>
      <c r="P176" s="122" t="str">
        <f t="shared" si="37"/>
        <v/>
      </c>
      <c r="Q176" s="122">
        <f t="shared" si="38"/>
        <v>0</v>
      </c>
      <c r="R176" s="122">
        <f t="shared" si="39"/>
        <v>0</v>
      </c>
      <c r="T176" s="4"/>
      <c r="U176" s="4"/>
      <c r="V176" s="4"/>
      <c r="W176" s="22"/>
      <c r="X176" s="4"/>
      <c r="Y176" s="4"/>
      <c r="Z176" s="4"/>
      <c r="AA176" s="4"/>
      <c r="AB176" s="4"/>
      <c r="AC176" s="4"/>
      <c r="AD176" s="122">
        <f t="shared" si="36"/>
        <v>0</v>
      </c>
      <c r="AE176" s="122" t="str">
        <f t="shared" si="40"/>
        <v/>
      </c>
      <c r="AF176" s="122">
        <f t="shared" si="41"/>
        <v>0</v>
      </c>
      <c r="AG176" s="122">
        <f t="shared" si="42"/>
        <v>0</v>
      </c>
      <c r="AI176" s="4"/>
      <c r="AJ176" s="4"/>
      <c r="AL176" s="4"/>
      <c r="AM176" s="4"/>
    </row>
    <row r="177" spans="2:39" x14ac:dyDescent="0.15">
      <c r="B177" s="4"/>
      <c r="C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122" t="str">
        <f t="shared" si="35"/>
        <v/>
      </c>
      <c r="P177" s="122" t="str">
        <f t="shared" si="37"/>
        <v/>
      </c>
      <c r="Q177" s="122">
        <f t="shared" si="38"/>
        <v>0</v>
      </c>
      <c r="R177" s="122">
        <f t="shared" si="39"/>
        <v>0</v>
      </c>
      <c r="T177" s="4"/>
      <c r="U177" s="4"/>
      <c r="V177" s="4"/>
      <c r="W177" s="22"/>
      <c r="X177" s="4"/>
      <c r="Y177" s="4"/>
      <c r="Z177" s="4"/>
      <c r="AA177" s="4"/>
      <c r="AB177" s="4"/>
      <c r="AC177" s="4"/>
      <c r="AD177" s="122">
        <f t="shared" si="36"/>
        <v>0</v>
      </c>
      <c r="AE177" s="122" t="str">
        <f t="shared" si="40"/>
        <v/>
      </c>
      <c r="AF177" s="122">
        <f t="shared" si="41"/>
        <v>0</v>
      </c>
      <c r="AG177" s="122">
        <f t="shared" si="42"/>
        <v>0</v>
      </c>
      <c r="AI177" s="4"/>
      <c r="AJ177" s="4"/>
      <c r="AL177" s="4"/>
      <c r="AM177" s="4"/>
    </row>
    <row r="178" spans="2:39" x14ac:dyDescent="0.15">
      <c r="B178" s="4"/>
      <c r="C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122" t="str">
        <f t="shared" si="35"/>
        <v/>
      </c>
      <c r="P178" s="122" t="str">
        <f t="shared" si="37"/>
        <v/>
      </c>
      <c r="Q178" s="122">
        <f t="shared" si="38"/>
        <v>0</v>
      </c>
      <c r="R178" s="122">
        <f t="shared" si="39"/>
        <v>0</v>
      </c>
      <c r="T178" s="4"/>
      <c r="U178" s="4"/>
      <c r="V178" s="4"/>
      <c r="W178" s="22"/>
      <c r="X178" s="4"/>
      <c r="Y178" s="4"/>
      <c r="Z178" s="4"/>
      <c r="AA178" s="4"/>
      <c r="AB178" s="4"/>
      <c r="AC178" s="4"/>
      <c r="AD178" s="122">
        <f t="shared" si="36"/>
        <v>0</v>
      </c>
      <c r="AE178" s="122" t="str">
        <f t="shared" si="40"/>
        <v/>
      </c>
      <c r="AF178" s="122">
        <f t="shared" si="41"/>
        <v>0</v>
      </c>
      <c r="AG178" s="122">
        <f t="shared" si="42"/>
        <v>0</v>
      </c>
      <c r="AI178" s="4"/>
      <c r="AJ178" s="4"/>
      <c r="AL178" s="4"/>
      <c r="AM178" s="4"/>
    </row>
    <row r="179" spans="2:39" x14ac:dyDescent="0.15">
      <c r="B179" s="4"/>
      <c r="C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122" t="str">
        <f t="shared" si="35"/>
        <v/>
      </c>
      <c r="P179" s="122" t="str">
        <f t="shared" si="37"/>
        <v/>
      </c>
      <c r="Q179" s="122">
        <f t="shared" si="38"/>
        <v>0</v>
      </c>
      <c r="R179" s="122">
        <f t="shared" si="39"/>
        <v>0</v>
      </c>
      <c r="T179" s="4"/>
      <c r="U179" s="4"/>
      <c r="V179" s="4"/>
      <c r="W179" s="22"/>
      <c r="X179" s="4"/>
      <c r="Y179" s="4"/>
      <c r="Z179" s="4"/>
      <c r="AA179" s="4"/>
      <c r="AB179" s="4"/>
      <c r="AC179" s="4"/>
      <c r="AD179" s="122">
        <f t="shared" si="36"/>
        <v>0</v>
      </c>
      <c r="AE179" s="122" t="str">
        <f t="shared" si="40"/>
        <v/>
      </c>
      <c r="AF179" s="122">
        <f t="shared" si="41"/>
        <v>0</v>
      </c>
      <c r="AG179" s="122">
        <f t="shared" si="42"/>
        <v>0</v>
      </c>
      <c r="AI179" s="4"/>
      <c r="AJ179" s="4"/>
      <c r="AL179" s="4"/>
      <c r="AM179" s="4"/>
    </row>
    <row r="180" spans="2:39" x14ac:dyDescent="0.15">
      <c r="B180" s="4"/>
      <c r="C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122" t="str">
        <f t="shared" si="35"/>
        <v/>
      </c>
      <c r="P180" s="122" t="str">
        <f t="shared" si="37"/>
        <v/>
      </c>
      <c r="Q180" s="122">
        <f t="shared" si="38"/>
        <v>0</v>
      </c>
      <c r="R180" s="122">
        <f t="shared" si="39"/>
        <v>0</v>
      </c>
      <c r="T180" s="4"/>
      <c r="U180" s="4"/>
      <c r="V180" s="4"/>
      <c r="W180" s="22"/>
      <c r="X180" s="4"/>
      <c r="Y180" s="4"/>
      <c r="Z180" s="4"/>
      <c r="AA180" s="4"/>
      <c r="AB180" s="4"/>
      <c r="AC180" s="4"/>
      <c r="AD180" s="122">
        <f t="shared" si="36"/>
        <v>0</v>
      </c>
      <c r="AE180" s="122" t="str">
        <f t="shared" si="40"/>
        <v/>
      </c>
      <c r="AF180" s="122">
        <f t="shared" si="41"/>
        <v>0</v>
      </c>
      <c r="AG180" s="122">
        <f t="shared" si="42"/>
        <v>0</v>
      </c>
      <c r="AI180" s="4"/>
      <c r="AJ180" s="4"/>
      <c r="AL180" s="4"/>
      <c r="AM180" s="4"/>
    </row>
    <row r="181" spans="2:39" x14ac:dyDescent="0.15">
      <c r="B181" s="4"/>
      <c r="C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122" t="str">
        <f t="shared" si="35"/>
        <v/>
      </c>
      <c r="P181" s="122" t="str">
        <f t="shared" si="37"/>
        <v/>
      </c>
      <c r="Q181" s="122">
        <f t="shared" si="38"/>
        <v>0</v>
      </c>
      <c r="R181" s="122">
        <f t="shared" si="39"/>
        <v>0</v>
      </c>
      <c r="T181" s="4"/>
      <c r="U181" s="4"/>
      <c r="V181" s="4"/>
      <c r="W181" s="22"/>
      <c r="X181" s="4"/>
      <c r="Y181" s="4"/>
      <c r="Z181" s="4"/>
      <c r="AA181" s="4"/>
      <c r="AB181" s="4"/>
      <c r="AC181" s="4"/>
      <c r="AD181" s="122">
        <f t="shared" si="36"/>
        <v>0</v>
      </c>
      <c r="AE181" s="122" t="str">
        <f t="shared" si="40"/>
        <v/>
      </c>
      <c r="AF181" s="122">
        <f t="shared" si="41"/>
        <v>0</v>
      </c>
      <c r="AG181" s="122">
        <f t="shared" si="42"/>
        <v>0</v>
      </c>
      <c r="AI181" s="4"/>
      <c r="AJ181" s="4"/>
      <c r="AL181" s="4"/>
      <c r="AM181" s="4"/>
    </row>
    <row r="182" spans="2:39" x14ac:dyDescent="0.15">
      <c r="B182" s="4"/>
      <c r="C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122" t="str">
        <f t="shared" si="35"/>
        <v/>
      </c>
      <c r="P182" s="122" t="str">
        <f t="shared" si="37"/>
        <v/>
      </c>
      <c r="Q182" s="122">
        <f t="shared" si="38"/>
        <v>0</v>
      </c>
      <c r="R182" s="122">
        <f t="shared" si="39"/>
        <v>0</v>
      </c>
      <c r="T182" s="4"/>
      <c r="U182" s="4"/>
      <c r="V182" s="4"/>
      <c r="W182" s="22"/>
      <c r="X182" s="4"/>
      <c r="Y182" s="4"/>
      <c r="Z182" s="4"/>
      <c r="AA182" s="4"/>
      <c r="AB182" s="4"/>
      <c r="AC182" s="4"/>
      <c r="AD182" s="122">
        <f t="shared" si="36"/>
        <v>0</v>
      </c>
      <c r="AE182" s="122" t="str">
        <f t="shared" si="40"/>
        <v/>
      </c>
      <c r="AF182" s="122">
        <f t="shared" si="41"/>
        <v>0</v>
      </c>
      <c r="AG182" s="122">
        <f t="shared" si="42"/>
        <v>0</v>
      </c>
      <c r="AI182" s="4"/>
      <c r="AJ182" s="4"/>
      <c r="AL182" s="4"/>
      <c r="AM182" s="4"/>
    </row>
    <row r="183" spans="2:39" x14ac:dyDescent="0.15">
      <c r="B183" s="4"/>
      <c r="C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122" t="str">
        <f t="shared" si="35"/>
        <v/>
      </c>
      <c r="P183" s="122" t="str">
        <f t="shared" si="37"/>
        <v/>
      </c>
      <c r="Q183" s="122">
        <f t="shared" si="38"/>
        <v>0</v>
      </c>
      <c r="R183" s="122">
        <f t="shared" si="39"/>
        <v>0</v>
      </c>
      <c r="T183" s="4"/>
      <c r="U183" s="4"/>
      <c r="V183" s="4"/>
      <c r="W183" s="22"/>
      <c r="X183" s="4"/>
      <c r="Y183" s="4"/>
      <c r="Z183" s="4"/>
      <c r="AA183" s="4"/>
      <c r="AB183" s="4"/>
      <c r="AC183" s="4"/>
      <c r="AD183" s="122">
        <f t="shared" si="36"/>
        <v>0</v>
      </c>
      <c r="AE183" s="122" t="str">
        <f t="shared" si="40"/>
        <v/>
      </c>
      <c r="AF183" s="122">
        <f t="shared" si="41"/>
        <v>0</v>
      </c>
      <c r="AG183" s="122">
        <f t="shared" si="42"/>
        <v>0</v>
      </c>
      <c r="AI183" s="4"/>
      <c r="AJ183" s="4"/>
      <c r="AL183" s="4"/>
      <c r="AM183" s="4"/>
    </row>
    <row r="184" spans="2:39" x14ac:dyDescent="0.15">
      <c r="B184" s="4"/>
      <c r="C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122" t="str">
        <f t="shared" si="35"/>
        <v/>
      </c>
      <c r="P184" s="122" t="str">
        <f t="shared" si="37"/>
        <v/>
      </c>
      <c r="Q184" s="122">
        <f t="shared" si="38"/>
        <v>0</v>
      </c>
      <c r="R184" s="122">
        <f t="shared" si="39"/>
        <v>0</v>
      </c>
      <c r="T184" s="4"/>
      <c r="U184" s="4"/>
      <c r="V184" s="4"/>
      <c r="W184" s="22"/>
      <c r="X184" s="4"/>
      <c r="Y184" s="4"/>
      <c r="Z184" s="4"/>
      <c r="AA184" s="4"/>
      <c r="AB184" s="4"/>
      <c r="AC184" s="4"/>
      <c r="AD184" s="122">
        <f t="shared" si="36"/>
        <v>0</v>
      </c>
      <c r="AE184" s="122" t="str">
        <f t="shared" si="40"/>
        <v/>
      </c>
      <c r="AF184" s="122">
        <f t="shared" si="41"/>
        <v>0</v>
      </c>
      <c r="AG184" s="122">
        <f t="shared" si="42"/>
        <v>0</v>
      </c>
      <c r="AI184" s="4"/>
      <c r="AJ184" s="4"/>
      <c r="AL184" s="4"/>
      <c r="AM184" s="4"/>
    </row>
    <row r="185" spans="2:39" x14ac:dyDescent="0.15">
      <c r="B185" s="4"/>
      <c r="C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122" t="str">
        <f t="shared" si="35"/>
        <v/>
      </c>
      <c r="P185" s="122" t="str">
        <f t="shared" si="37"/>
        <v/>
      </c>
      <c r="Q185" s="122">
        <f t="shared" si="38"/>
        <v>0</v>
      </c>
      <c r="R185" s="122">
        <f t="shared" si="39"/>
        <v>0</v>
      </c>
      <c r="T185" s="4"/>
      <c r="U185" s="4"/>
      <c r="V185" s="4"/>
      <c r="W185" s="22"/>
      <c r="X185" s="4"/>
      <c r="Y185" s="4"/>
      <c r="Z185" s="4"/>
      <c r="AA185" s="4"/>
      <c r="AB185" s="4"/>
      <c r="AC185" s="4"/>
      <c r="AD185" s="122">
        <f t="shared" si="36"/>
        <v>0</v>
      </c>
      <c r="AE185" s="122" t="str">
        <f t="shared" si="40"/>
        <v/>
      </c>
      <c r="AF185" s="122">
        <f t="shared" si="41"/>
        <v>0</v>
      </c>
      <c r="AG185" s="122">
        <f t="shared" si="42"/>
        <v>0</v>
      </c>
      <c r="AI185" s="4"/>
      <c r="AJ185" s="4"/>
      <c r="AL185" s="4"/>
      <c r="AM185" s="4"/>
    </row>
    <row r="186" spans="2:39" x14ac:dyDescent="0.15">
      <c r="B186" s="4"/>
      <c r="C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122" t="str">
        <f t="shared" si="35"/>
        <v/>
      </c>
      <c r="P186" s="122" t="str">
        <f t="shared" si="37"/>
        <v/>
      </c>
      <c r="Q186" s="122">
        <f t="shared" si="38"/>
        <v>0</v>
      </c>
      <c r="R186" s="122">
        <f t="shared" si="39"/>
        <v>0</v>
      </c>
      <c r="T186" s="4"/>
      <c r="U186" s="4"/>
      <c r="V186" s="4"/>
      <c r="W186" s="22"/>
      <c r="X186" s="4"/>
      <c r="Y186" s="4"/>
      <c r="Z186" s="4"/>
      <c r="AA186" s="4"/>
      <c r="AB186" s="4"/>
      <c r="AC186" s="4"/>
      <c r="AD186" s="122">
        <f t="shared" si="36"/>
        <v>0</v>
      </c>
      <c r="AE186" s="122" t="str">
        <f t="shared" si="40"/>
        <v/>
      </c>
      <c r="AF186" s="122">
        <f t="shared" si="41"/>
        <v>0</v>
      </c>
      <c r="AG186" s="122">
        <f t="shared" si="42"/>
        <v>0</v>
      </c>
      <c r="AI186" s="4"/>
      <c r="AJ186" s="4"/>
      <c r="AL186" s="4"/>
      <c r="AM186" s="4"/>
    </row>
    <row r="187" spans="2:39" x14ac:dyDescent="0.15">
      <c r="B187" s="4"/>
      <c r="C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122" t="str">
        <f t="shared" si="35"/>
        <v/>
      </c>
      <c r="P187" s="122" t="str">
        <f t="shared" si="37"/>
        <v/>
      </c>
      <c r="Q187" s="122">
        <f t="shared" si="38"/>
        <v>0</v>
      </c>
      <c r="R187" s="122">
        <f t="shared" si="39"/>
        <v>0</v>
      </c>
      <c r="T187" s="4"/>
      <c r="U187" s="4"/>
      <c r="V187" s="4"/>
      <c r="W187" s="22"/>
      <c r="X187" s="4"/>
      <c r="Y187" s="4"/>
      <c r="Z187" s="4"/>
      <c r="AA187" s="4"/>
      <c r="AB187" s="4"/>
      <c r="AC187" s="4"/>
      <c r="AD187" s="122">
        <f t="shared" si="36"/>
        <v>0</v>
      </c>
      <c r="AE187" s="122" t="str">
        <f t="shared" si="40"/>
        <v/>
      </c>
      <c r="AF187" s="122">
        <f t="shared" si="41"/>
        <v>0</v>
      </c>
      <c r="AG187" s="122">
        <f t="shared" si="42"/>
        <v>0</v>
      </c>
      <c r="AI187" s="4"/>
      <c r="AJ187" s="4"/>
      <c r="AL187" s="4"/>
      <c r="AM187" s="4"/>
    </row>
    <row r="188" spans="2:39" x14ac:dyDescent="0.15">
      <c r="B188" s="4"/>
      <c r="C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122" t="str">
        <f t="shared" si="35"/>
        <v/>
      </c>
      <c r="P188" s="122" t="str">
        <f t="shared" si="37"/>
        <v/>
      </c>
      <c r="Q188" s="122">
        <f t="shared" si="38"/>
        <v>0</v>
      </c>
      <c r="R188" s="122">
        <f t="shared" si="39"/>
        <v>0</v>
      </c>
      <c r="T188" s="4"/>
      <c r="U188" s="4"/>
      <c r="V188" s="4"/>
      <c r="W188" s="22"/>
      <c r="X188" s="4"/>
      <c r="Y188" s="4"/>
      <c r="Z188" s="4"/>
      <c r="AA188" s="4"/>
      <c r="AB188" s="4"/>
      <c r="AC188" s="4"/>
      <c r="AD188" s="122">
        <f t="shared" si="36"/>
        <v>0</v>
      </c>
      <c r="AE188" s="122" t="str">
        <f t="shared" si="40"/>
        <v/>
      </c>
      <c r="AF188" s="122">
        <f t="shared" si="41"/>
        <v>0</v>
      </c>
      <c r="AG188" s="122">
        <f t="shared" si="42"/>
        <v>0</v>
      </c>
      <c r="AI188" s="4"/>
      <c r="AJ188" s="4"/>
      <c r="AL188" s="4"/>
      <c r="AM188" s="4"/>
    </row>
    <row r="189" spans="2:39" x14ac:dyDescent="0.15">
      <c r="B189" s="4"/>
      <c r="C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122" t="str">
        <f t="shared" si="35"/>
        <v/>
      </c>
      <c r="P189" s="122" t="str">
        <f t="shared" si="37"/>
        <v/>
      </c>
      <c r="Q189" s="122">
        <f t="shared" si="38"/>
        <v>0</v>
      </c>
      <c r="R189" s="122">
        <f t="shared" si="39"/>
        <v>0</v>
      </c>
      <c r="T189" s="4"/>
      <c r="U189" s="4"/>
      <c r="V189" s="4"/>
      <c r="W189" s="22"/>
      <c r="X189" s="4"/>
      <c r="Y189" s="4"/>
      <c r="Z189" s="4"/>
      <c r="AA189" s="4"/>
      <c r="AB189" s="4"/>
      <c r="AC189" s="4"/>
      <c r="AD189" s="122">
        <f t="shared" si="36"/>
        <v>0</v>
      </c>
      <c r="AE189" s="122" t="str">
        <f t="shared" si="40"/>
        <v/>
      </c>
      <c r="AF189" s="122">
        <f t="shared" si="41"/>
        <v>0</v>
      </c>
      <c r="AG189" s="122">
        <f t="shared" si="42"/>
        <v>0</v>
      </c>
      <c r="AI189" s="4"/>
      <c r="AJ189" s="4"/>
      <c r="AL189" s="4"/>
      <c r="AM189" s="4"/>
    </row>
    <row r="190" spans="2:39" x14ac:dyDescent="0.15">
      <c r="B190" s="4"/>
      <c r="C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122" t="str">
        <f t="shared" si="35"/>
        <v/>
      </c>
      <c r="P190" s="122" t="str">
        <f t="shared" si="37"/>
        <v/>
      </c>
      <c r="Q190" s="122">
        <f t="shared" si="38"/>
        <v>0</v>
      </c>
      <c r="R190" s="122">
        <f t="shared" si="39"/>
        <v>0</v>
      </c>
      <c r="T190" s="4"/>
      <c r="U190" s="4"/>
      <c r="V190" s="4"/>
      <c r="W190" s="22"/>
      <c r="X190" s="4"/>
      <c r="Y190" s="4"/>
      <c r="Z190" s="4"/>
      <c r="AA190" s="4"/>
      <c r="AB190" s="4"/>
      <c r="AC190" s="4"/>
      <c r="AD190" s="122">
        <f t="shared" si="36"/>
        <v>0</v>
      </c>
      <c r="AE190" s="122" t="str">
        <f t="shared" si="40"/>
        <v/>
      </c>
      <c r="AF190" s="122">
        <f t="shared" si="41"/>
        <v>0</v>
      </c>
      <c r="AG190" s="122">
        <f t="shared" si="42"/>
        <v>0</v>
      </c>
      <c r="AI190" s="4"/>
      <c r="AJ190" s="4"/>
      <c r="AL190" s="4"/>
      <c r="AM190" s="4"/>
    </row>
    <row r="191" spans="2:39" x14ac:dyDescent="0.15">
      <c r="B191" s="4"/>
      <c r="C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122" t="str">
        <f t="shared" si="35"/>
        <v/>
      </c>
      <c r="P191" s="122" t="str">
        <f t="shared" si="37"/>
        <v/>
      </c>
      <c r="Q191" s="122">
        <f t="shared" si="38"/>
        <v>0</v>
      </c>
      <c r="R191" s="122">
        <f t="shared" si="39"/>
        <v>0</v>
      </c>
      <c r="T191" s="4"/>
      <c r="U191" s="4"/>
      <c r="V191" s="4"/>
      <c r="W191" s="22"/>
      <c r="X191" s="4"/>
      <c r="Y191" s="4"/>
      <c r="Z191" s="4"/>
      <c r="AA191" s="4"/>
      <c r="AB191" s="4"/>
      <c r="AC191" s="4"/>
      <c r="AD191" s="122">
        <f t="shared" si="36"/>
        <v>0</v>
      </c>
      <c r="AE191" s="122" t="str">
        <f t="shared" si="40"/>
        <v/>
      </c>
      <c r="AF191" s="122">
        <f t="shared" si="41"/>
        <v>0</v>
      </c>
      <c r="AG191" s="122">
        <f t="shared" si="42"/>
        <v>0</v>
      </c>
      <c r="AI191" s="4"/>
      <c r="AJ191" s="4"/>
      <c r="AL191" s="4"/>
      <c r="AM191" s="4"/>
    </row>
    <row r="192" spans="2:39" x14ac:dyDescent="0.15">
      <c r="B192" s="4"/>
      <c r="C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122" t="str">
        <f t="shared" si="35"/>
        <v/>
      </c>
      <c r="P192" s="122" t="str">
        <f t="shared" si="37"/>
        <v/>
      </c>
      <c r="Q192" s="122">
        <f t="shared" si="38"/>
        <v>0</v>
      </c>
      <c r="R192" s="122">
        <f t="shared" si="39"/>
        <v>0</v>
      </c>
      <c r="T192" s="4"/>
      <c r="U192" s="4"/>
      <c r="V192" s="4"/>
      <c r="W192" s="22"/>
      <c r="X192" s="4"/>
      <c r="Y192" s="4"/>
      <c r="Z192" s="4"/>
      <c r="AA192" s="4"/>
      <c r="AB192" s="4"/>
      <c r="AC192" s="4"/>
      <c r="AD192" s="122">
        <f t="shared" si="36"/>
        <v>0</v>
      </c>
      <c r="AE192" s="122" t="str">
        <f t="shared" si="40"/>
        <v/>
      </c>
      <c r="AF192" s="122">
        <f t="shared" si="41"/>
        <v>0</v>
      </c>
      <c r="AG192" s="122">
        <f t="shared" si="42"/>
        <v>0</v>
      </c>
      <c r="AI192" s="4"/>
      <c r="AJ192" s="4"/>
      <c r="AL192" s="4"/>
      <c r="AM192" s="4"/>
    </row>
    <row r="193" spans="2:39" x14ac:dyDescent="0.15">
      <c r="B193" s="4"/>
      <c r="C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122" t="str">
        <f t="shared" si="35"/>
        <v/>
      </c>
      <c r="P193" s="122" t="str">
        <f t="shared" si="37"/>
        <v/>
      </c>
      <c r="Q193" s="122">
        <f t="shared" si="38"/>
        <v>0</v>
      </c>
      <c r="R193" s="122">
        <f t="shared" si="39"/>
        <v>0</v>
      </c>
      <c r="T193" s="4"/>
      <c r="U193" s="4"/>
      <c r="V193" s="4"/>
      <c r="W193" s="22"/>
      <c r="X193" s="4"/>
      <c r="Y193" s="4"/>
      <c r="Z193" s="4"/>
      <c r="AA193" s="4"/>
      <c r="AB193" s="4"/>
      <c r="AC193" s="4"/>
      <c r="AD193" s="122">
        <f t="shared" si="36"/>
        <v>0</v>
      </c>
      <c r="AE193" s="122" t="str">
        <f t="shared" si="40"/>
        <v/>
      </c>
      <c r="AF193" s="122">
        <f t="shared" si="41"/>
        <v>0</v>
      </c>
      <c r="AG193" s="122">
        <f t="shared" si="42"/>
        <v>0</v>
      </c>
      <c r="AI193" s="4"/>
      <c r="AJ193" s="4"/>
      <c r="AL193" s="4"/>
      <c r="AM193" s="4"/>
    </row>
    <row r="194" spans="2:39" x14ac:dyDescent="0.15">
      <c r="B194" s="4"/>
      <c r="C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122" t="str">
        <f t="shared" si="35"/>
        <v/>
      </c>
      <c r="P194" s="122" t="str">
        <f t="shared" si="37"/>
        <v/>
      </c>
      <c r="Q194" s="122">
        <f t="shared" si="38"/>
        <v>0</v>
      </c>
      <c r="R194" s="122">
        <f t="shared" si="39"/>
        <v>0</v>
      </c>
      <c r="T194" s="4"/>
      <c r="U194" s="4"/>
      <c r="V194" s="4"/>
      <c r="W194" s="22"/>
      <c r="X194" s="4"/>
      <c r="Y194" s="4"/>
      <c r="Z194" s="4"/>
      <c r="AA194" s="4"/>
      <c r="AB194" s="4"/>
      <c r="AC194" s="4"/>
      <c r="AD194" s="122">
        <f t="shared" si="36"/>
        <v>0</v>
      </c>
      <c r="AE194" s="122" t="str">
        <f t="shared" si="40"/>
        <v/>
      </c>
      <c r="AF194" s="122">
        <f t="shared" si="41"/>
        <v>0</v>
      </c>
      <c r="AG194" s="122">
        <f t="shared" si="42"/>
        <v>0</v>
      </c>
      <c r="AI194" s="4"/>
      <c r="AJ194" s="4"/>
      <c r="AL194" s="4"/>
      <c r="AM194" s="4"/>
    </row>
    <row r="195" spans="2:39" x14ac:dyDescent="0.15">
      <c r="B195" s="4"/>
      <c r="C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122" t="str">
        <f t="shared" si="35"/>
        <v/>
      </c>
      <c r="P195" s="122" t="str">
        <f t="shared" si="37"/>
        <v/>
      </c>
      <c r="Q195" s="122">
        <f t="shared" si="38"/>
        <v>0</v>
      </c>
      <c r="R195" s="122">
        <f t="shared" si="39"/>
        <v>0</v>
      </c>
      <c r="T195" s="4"/>
      <c r="U195" s="4"/>
      <c r="V195" s="4"/>
      <c r="W195" s="22"/>
      <c r="X195" s="4"/>
      <c r="Y195" s="4"/>
      <c r="Z195" s="4"/>
      <c r="AA195" s="4"/>
      <c r="AB195" s="4"/>
      <c r="AC195" s="4"/>
      <c r="AD195" s="122">
        <f t="shared" si="36"/>
        <v>0</v>
      </c>
      <c r="AE195" s="122" t="str">
        <f t="shared" si="40"/>
        <v/>
      </c>
      <c r="AF195" s="122">
        <f t="shared" si="41"/>
        <v>0</v>
      </c>
      <c r="AG195" s="122">
        <f t="shared" si="42"/>
        <v>0</v>
      </c>
      <c r="AI195" s="4"/>
      <c r="AJ195" s="4"/>
      <c r="AL195" s="4"/>
      <c r="AM195" s="4"/>
    </row>
    <row r="196" spans="2:39" x14ac:dyDescent="0.15">
      <c r="B196" s="4"/>
      <c r="C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122" t="str">
        <f t="shared" si="35"/>
        <v/>
      </c>
      <c r="P196" s="122" t="str">
        <f t="shared" si="37"/>
        <v/>
      </c>
      <c r="Q196" s="122">
        <f t="shared" si="38"/>
        <v>0</v>
      </c>
      <c r="R196" s="122">
        <f t="shared" si="39"/>
        <v>0</v>
      </c>
      <c r="T196" s="4"/>
      <c r="U196" s="4"/>
      <c r="V196" s="4"/>
      <c r="W196" s="22"/>
      <c r="X196" s="4"/>
      <c r="Y196" s="4"/>
      <c r="Z196" s="4"/>
      <c r="AA196" s="4"/>
      <c r="AB196" s="4"/>
      <c r="AC196" s="4"/>
      <c r="AD196" s="122">
        <f t="shared" si="36"/>
        <v>0</v>
      </c>
      <c r="AE196" s="122" t="str">
        <f t="shared" si="40"/>
        <v/>
      </c>
      <c r="AF196" s="122">
        <f t="shared" si="41"/>
        <v>0</v>
      </c>
      <c r="AG196" s="122">
        <f t="shared" si="42"/>
        <v>0</v>
      </c>
      <c r="AI196" s="4"/>
      <c r="AJ196" s="4"/>
      <c r="AL196" s="4"/>
      <c r="AM196" s="4"/>
    </row>
    <row r="197" spans="2:39" x14ac:dyDescent="0.15">
      <c r="B197" s="4"/>
      <c r="C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122" t="str">
        <f t="shared" si="35"/>
        <v/>
      </c>
      <c r="P197" s="122" t="str">
        <f t="shared" si="37"/>
        <v/>
      </c>
      <c r="Q197" s="122">
        <f t="shared" si="38"/>
        <v>0</v>
      </c>
      <c r="R197" s="122">
        <f t="shared" si="39"/>
        <v>0</v>
      </c>
      <c r="T197" s="4"/>
      <c r="U197" s="4"/>
      <c r="V197" s="4"/>
      <c r="W197" s="22"/>
      <c r="X197" s="4"/>
      <c r="Y197" s="4"/>
      <c r="Z197" s="4"/>
      <c r="AA197" s="4"/>
      <c r="AB197" s="4"/>
      <c r="AC197" s="4"/>
      <c r="AD197" s="122">
        <f t="shared" si="36"/>
        <v>0</v>
      </c>
      <c r="AE197" s="122" t="str">
        <f t="shared" si="40"/>
        <v/>
      </c>
      <c r="AF197" s="122">
        <f t="shared" si="41"/>
        <v>0</v>
      </c>
      <c r="AG197" s="122">
        <f t="shared" si="42"/>
        <v>0</v>
      </c>
      <c r="AI197" s="4"/>
      <c r="AJ197" s="4"/>
      <c r="AL197" s="4"/>
      <c r="AM197" s="4"/>
    </row>
    <row r="198" spans="2:39" x14ac:dyDescent="0.15">
      <c r="B198" s="4"/>
      <c r="C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122" t="str">
        <f t="shared" si="35"/>
        <v/>
      </c>
      <c r="P198" s="122" t="str">
        <f t="shared" ref="P198:P205" si="43">IF(G198="","",VLOOKUP(G198,SeihinnTB,2,FALSE))</f>
        <v/>
      </c>
      <c r="Q198" s="122">
        <f t="shared" ref="Q198:Q205" si="44">IF(ISERROR(VLOOKUP(E198,SyukkaZ,2,FALSE)),0,VLOOKUP(E198,SyukkaZ,2,FALSE))</f>
        <v>0</v>
      </c>
      <c r="R198" s="122">
        <f t="shared" ref="R198:R205" si="45">I198-M198+Q198</f>
        <v>0</v>
      </c>
      <c r="T198" s="4"/>
      <c r="U198" s="4"/>
      <c r="V198" s="4"/>
      <c r="W198" s="22"/>
      <c r="X198" s="4"/>
      <c r="Y198" s="4"/>
      <c r="Z198" s="4"/>
      <c r="AA198" s="4"/>
      <c r="AB198" s="4"/>
      <c r="AC198" s="4"/>
      <c r="AD198" s="122">
        <f t="shared" si="36"/>
        <v>0</v>
      </c>
      <c r="AE198" s="122" t="str">
        <f t="shared" ref="AE198:AE205" si="46">IF(V198="","",VLOOKUP(V198,SeihinnTB,2,FALSE))</f>
        <v/>
      </c>
      <c r="AF198" s="122">
        <f t="shared" ref="AF198:AF205" si="47">IF(ISERROR(VLOOKUP(T198,SyukkaR,2,FALSE)),0,VLOOKUP(T198,SyukkaR,2,FALSE))</f>
        <v>0</v>
      </c>
      <c r="AG198" s="122">
        <f t="shared" ref="AG198:AG205" si="48">X198-AF198</f>
        <v>0</v>
      </c>
      <c r="AI198" s="4"/>
      <c r="AJ198" s="4"/>
      <c r="AL198" s="4"/>
      <c r="AM198" s="4"/>
    </row>
    <row r="199" spans="2:39" x14ac:dyDescent="0.15">
      <c r="B199" s="4"/>
      <c r="C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122" t="str">
        <f t="shared" ref="O199:O205" si="49">IF(E199="","",I199-R199)</f>
        <v/>
      </c>
      <c r="P199" s="122" t="str">
        <f t="shared" si="43"/>
        <v/>
      </c>
      <c r="Q199" s="122">
        <f t="shared" si="44"/>
        <v>0</v>
      </c>
      <c r="R199" s="122">
        <f t="shared" si="45"/>
        <v>0</v>
      </c>
      <c r="T199" s="4"/>
      <c r="U199" s="4"/>
      <c r="V199" s="4"/>
      <c r="W199" s="22"/>
      <c r="X199" s="4"/>
      <c r="Y199" s="4"/>
      <c r="Z199" s="4"/>
      <c r="AA199" s="4"/>
      <c r="AB199" s="4"/>
      <c r="AC199" s="4"/>
      <c r="AD199" s="122">
        <f t="shared" ref="AD199:AD205" si="50">X199-AG199</f>
        <v>0</v>
      </c>
      <c r="AE199" s="122" t="str">
        <f t="shared" si="46"/>
        <v/>
      </c>
      <c r="AF199" s="122">
        <f t="shared" si="47"/>
        <v>0</v>
      </c>
      <c r="AG199" s="122">
        <f t="shared" si="48"/>
        <v>0</v>
      </c>
      <c r="AI199" s="4"/>
      <c r="AJ199" s="4"/>
      <c r="AL199" s="4"/>
      <c r="AM199" s="4"/>
    </row>
    <row r="200" spans="2:39" x14ac:dyDescent="0.15">
      <c r="B200" s="4"/>
      <c r="C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122" t="str">
        <f t="shared" si="49"/>
        <v/>
      </c>
      <c r="P200" s="122" t="str">
        <f t="shared" si="43"/>
        <v/>
      </c>
      <c r="Q200" s="122">
        <f t="shared" si="44"/>
        <v>0</v>
      </c>
      <c r="R200" s="122">
        <f t="shared" si="45"/>
        <v>0</v>
      </c>
      <c r="T200" s="4"/>
      <c r="U200" s="4"/>
      <c r="V200" s="4"/>
      <c r="W200" s="22"/>
      <c r="X200" s="4"/>
      <c r="Y200" s="4"/>
      <c r="Z200" s="4"/>
      <c r="AA200" s="4"/>
      <c r="AB200" s="4"/>
      <c r="AC200" s="4"/>
      <c r="AD200" s="122">
        <f t="shared" si="50"/>
        <v>0</v>
      </c>
      <c r="AE200" s="122" t="str">
        <f t="shared" si="46"/>
        <v/>
      </c>
      <c r="AF200" s="122">
        <f t="shared" si="47"/>
        <v>0</v>
      </c>
      <c r="AG200" s="122">
        <f t="shared" si="48"/>
        <v>0</v>
      </c>
      <c r="AI200" s="4"/>
      <c r="AJ200" s="4"/>
      <c r="AL200" s="4"/>
      <c r="AM200" s="4"/>
    </row>
    <row r="201" spans="2:39" x14ac:dyDescent="0.15">
      <c r="B201" s="4"/>
      <c r="C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122" t="str">
        <f t="shared" si="49"/>
        <v/>
      </c>
      <c r="P201" s="122" t="str">
        <f t="shared" si="43"/>
        <v/>
      </c>
      <c r="Q201" s="122">
        <f t="shared" si="44"/>
        <v>0</v>
      </c>
      <c r="R201" s="122">
        <f t="shared" si="45"/>
        <v>0</v>
      </c>
      <c r="T201" s="4"/>
      <c r="U201" s="4"/>
      <c r="V201" s="4"/>
      <c r="W201" s="22"/>
      <c r="X201" s="4"/>
      <c r="Y201" s="4"/>
      <c r="Z201" s="4"/>
      <c r="AA201" s="4"/>
      <c r="AB201" s="4"/>
      <c r="AC201" s="4"/>
      <c r="AD201" s="122">
        <f t="shared" si="50"/>
        <v>0</v>
      </c>
      <c r="AE201" s="122" t="str">
        <f t="shared" si="46"/>
        <v/>
      </c>
      <c r="AF201" s="122">
        <f t="shared" si="47"/>
        <v>0</v>
      </c>
      <c r="AG201" s="122">
        <f t="shared" si="48"/>
        <v>0</v>
      </c>
      <c r="AI201" s="4"/>
      <c r="AJ201" s="4"/>
      <c r="AL201" s="4"/>
      <c r="AM201" s="4"/>
    </row>
    <row r="202" spans="2:39" x14ac:dyDescent="0.15">
      <c r="B202" s="4"/>
      <c r="C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122" t="str">
        <f t="shared" si="49"/>
        <v/>
      </c>
      <c r="P202" s="122" t="str">
        <f t="shared" si="43"/>
        <v/>
      </c>
      <c r="Q202" s="122">
        <f t="shared" si="44"/>
        <v>0</v>
      </c>
      <c r="R202" s="122">
        <f t="shared" si="45"/>
        <v>0</v>
      </c>
      <c r="T202" s="4"/>
      <c r="U202" s="4"/>
      <c r="V202" s="4"/>
      <c r="W202" s="22"/>
      <c r="X202" s="4"/>
      <c r="Y202" s="4"/>
      <c r="Z202" s="4"/>
      <c r="AA202" s="4"/>
      <c r="AB202" s="4"/>
      <c r="AC202" s="4"/>
      <c r="AD202" s="122">
        <f t="shared" si="50"/>
        <v>0</v>
      </c>
      <c r="AE202" s="122" t="str">
        <f t="shared" si="46"/>
        <v/>
      </c>
      <c r="AF202" s="122">
        <f t="shared" si="47"/>
        <v>0</v>
      </c>
      <c r="AG202" s="122">
        <f t="shared" si="48"/>
        <v>0</v>
      </c>
      <c r="AI202" s="4"/>
      <c r="AJ202" s="4"/>
      <c r="AL202" s="4"/>
      <c r="AM202" s="4"/>
    </row>
    <row r="203" spans="2:39" x14ac:dyDescent="0.15">
      <c r="B203" s="4"/>
      <c r="C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122" t="str">
        <f t="shared" si="49"/>
        <v/>
      </c>
      <c r="P203" s="122" t="str">
        <f t="shared" si="43"/>
        <v/>
      </c>
      <c r="Q203" s="122">
        <f t="shared" si="44"/>
        <v>0</v>
      </c>
      <c r="R203" s="122">
        <f t="shared" si="45"/>
        <v>0</v>
      </c>
      <c r="T203" s="4"/>
      <c r="U203" s="4"/>
      <c r="V203" s="4"/>
      <c r="W203" s="22"/>
      <c r="X203" s="4"/>
      <c r="Y203" s="4"/>
      <c r="Z203" s="4"/>
      <c r="AA203" s="4"/>
      <c r="AB203" s="4"/>
      <c r="AC203" s="4"/>
      <c r="AD203" s="122">
        <f t="shared" si="50"/>
        <v>0</v>
      </c>
      <c r="AE203" s="122" t="str">
        <f t="shared" si="46"/>
        <v/>
      </c>
      <c r="AF203" s="122">
        <f t="shared" si="47"/>
        <v>0</v>
      </c>
      <c r="AG203" s="122">
        <f t="shared" si="48"/>
        <v>0</v>
      </c>
      <c r="AI203" s="4"/>
      <c r="AJ203" s="4"/>
      <c r="AL203" s="4"/>
      <c r="AM203" s="4"/>
    </row>
    <row r="204" spans="2:39" x14ac:dyDescent="0.15">
      <c r="B204" s="4"/>
      <c r="C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122" t="str">
        <f t="shared" si="49"/>
        <v/>
      </c>
      <c r="P204" s="122" t="str">
        <f t="shared" si="43"/>
        <v/>
      </c>
      <c r="Q204" s="122">
        <f t="shared" si="44"/>
        <v>0</v>
      </c>
      <c r="R204" s="122">
        <f t="shared" si="45"/>
        <v>0</v>
      </c>
      <c r="T204" s="4"/>
      <c r="U204" s="4"/>
      <c r="V204" s="4"/>
      <c r="W204" s="22"/>
      <c r="X204" s="4"/>
      <c r="Y204" s="4"/>
      <c r="Z204" s="4"/>
      <c r="AA204" s="4"/>
      <c r="AB204" s="4"/>
      <c r="AC204" s="4"/>
      <c r="AD204" s="122">
        <f t="shared" si="50"/>
        <v>0</v>
      </c>
      <c r="AE204" s="122" t="str">
        <f t="shared" si="46"/>
        <v/>
      </c>
      <c r="AF204" s="122">
        <f t="shared" si="47"/>
        <v>0</v>
      </c>
      <c r="AG204" s="122">
        <f t="shared" si="48"/>
        <v>0</v>
      </c>
      <c r="AI204" s="4"/>
      <c r="AJ204" s="4"/>
      <c r="AL204" s="4"/>
      <c r="AM204" s="4"/>
    </row>
    <row r="205" spans="2:39" x14ac:dyDescent="0.15">
      <c r="B205" s="4"/>
      <c r="C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122" t="str">
        <f t="shared" si="49"/>
        <v/>
      </c>
      <c r="P205" s="122" t="str">
        <f t="shared" si="43"/>
        <v/>
      </c>
      <c r="Q205" s="122">
        <f t="shared" si="44"/>
        <v>0</v>
      </c>
      <c r="R205" s="122">
        <f t="shared" si="45"/>
        <v>0</v>
      </c>
      <c r="T205" s="4"/>
      <c r="U205" s="4"/>
      <c r="V205" s="4"/>
      <c r="W205" s="22"/>
      <c r="X205" s="4"/>
      <c r="Y205" s="4"/>
      <c r="Z205" s="4"/>
      <c r="AA205" s="4"/>
      <c r="AB205" s="4"/>
      <c r="AC205" s="4"/>
      <c r="AD205" s="122">
        <f t="shared" si="50"/>
        <v>0</v>
      </c>
      <c r="AE205" s="122" t="str">
        <f t="shared" si="46"/>
        <v/>
      </c>
      <c r="AF205" s="122">
        <f t="shared" si="47"/>
        <v>0</v>
      </c>
      <c r="AG205" s="122">
        <f t="shared" si="48"/>
        <v>0</v>
      </c>
      <c r="AI205" s="4"/>
      <c r="AJ205" s="4"/>
      <c r="AL205" s="4"/>
      <c r="AM205" s="4"/>
    </row>
    <row r="206" spans="2:39" x14ac:dyDescent="0.15">
      <c r="B206" s="4"/>
      <c r="C206" s="4"/>
      <c r="AH206" s="6"/>
      <c r="AI206" s="4"/>
      <c r="AJ206" s="4"/>
      <c r="AL206" s="4"/>
      <c r="AM206" s="4"/>
    </row>
    <row r="207" spans="2:39" x14ac:dyDescent="0.15">
      <c r="B207" s="4"/>
      <c r="C207" s="4"/>
      <c r="AH207" s="6"/>
      <c r="AI207" s="4"/>
      <c r="AJ207" s="4"/>
      <c r="AL207" s="4"/>
      <c r="AM207" s="4"/>
    </row>
    <row r="208" spans="2:39" x14ac:dyDescent="0.15">
      <c r="B208" s="4"/>
      <c r="C208" s="4"/>
      <c r="AH208" s="6"/>
      <c r="AI208" s="4"/>
      <c r="AJ208" s="4"/>
      <c r="AL208" s="4"/>
      <c r="AM208" s="4"/>
    </row>
    <row r="209" spans="2:39" x14ac:dyDescent="0.15">
      <c r="B209" s="4"/>
      <c r="C209" s="4"/>
      <c r="AH209" s="6"/>
      <c r="AI209" s="4"/>
      <c r="AJ209" s="4"/>
      <c r="AL209" s="4"/>
      <c r="AM209" s="4"/>
    </row>
    <row r="210" spans="2:39" x14ac:dyDescent="0.15">
      <c r="B210" s="4"/>
      <c r="C210" s="4"/>
      <c r="AH210" s="6"/>
      <c r="AI210" s="4"/>
      <c r="AJ210" s="4"/>
      <c r="AL210" s="4"/>
      <c r="AM210" s="4"/>
    </row>
    <row r="211" spans="2:39" x14ac:dyDescent="0.15">
      <c r="B211" s="4"/>
      <c r="C211" s="4"/>
      <c r="AH211" s="6"/>
      <c r="AI211" s="4"/>
      <c r="AJ211" s="4"/>
      <c r="AL211" s="4"/>
      <c r="AM211" s="4"/>
    </row>
    <row r="212" spans="2:39" x14ac:dyDescent="0.15">
      <c r="B212" s="4"/>
      <c r="C212" s="4"/>
      <c r="AH212" s="6"/>
      <c r="AI212" s="4"/>
      <c r="AJ212" s="4"/>
      <c r="AL212" s="4"/>
      <c r="AM212" s="4"/>
    </row>
    <row r="213" spans="2:39" x14ac:dyDescent="0.15">
      <c r="B213" s="4"/>
      <c r="C213" s="4"/>
      <c r="AH213" s="6"/>
      <c r="AI213" s="4"/>
      <c r="AJ213" s="4"/>
      <c r="AL213" s="4"/>
      <c r="AM213" s="4"/>
    </row>
    <row r="214" spans="2:39" x14ac:dyDescent="0.15">
      <c r="B214" s="4"/>
      <c r="C214" s="4"/>
      <c r="AH214" s="6"/>
      <c r="AI214" s="4"/>
      <c r="AJ214" s="4"/>
      <c r="AL214" s="4"/>
      <c r="AM214" s="4"/>
    </row>
    <row r="215" spans="2:39" x14ac:dyDescent="0.15">
      <c r="B215" s="4"/>
      <c r="C215" s="4"/>
      <c r="AH215" s="6"/>
      <c r="AI215" s="4"/>
      <c r="AJ215" s="4"/>
      <c r="AL215" s="4"/>
      <c r="AM215" s="4"/>
    </row>
    <row r="216" spans="2:39" x14ac:dyDescent="0.15">
      <c r="B216" s="4"/>
      <c r="C216" s="4"/>
      <c r="AH216" s="6"/>
      <c r="AI216" s="4"/>
      <c r="AJ216" s="4"/>
      <c r="AL216" s="4"/>
      <c r="AM216" s="4"/>
    </row>
    <row r="217" spans="2:39" x14ac:dyDescent="0.15">
      <c r="B217" s="4"/>
      <c r="C217" s="4"/>
      <c r="AH217" s="6"/>
      <c r="AI217" s="4"/>
      <c r="AJ217" s="4"/>
      <c r="AL217" s="4"/>
      <c r="AM217" s="4"/>
    </row>
    <row r="218" spans="2:39" x14ac:dyDescent="0.15">
      <c r="B218" s="4"/>
      <c r="C218" s="4"/>
      <c r="AH218" s="6"/>
      <c r="AI218" s="4"/>
      <c r="AJ218" s="4"/>
      <c r="AL218" s="4"/>
      <c r="AM218" s="4"/>
    </row>
    <row r="219" spans="2:39" x14ac:dyDescent="0.15">
      <c r="B219" s="4"/>
      <c r="C219" s="4"/>
      <c r="AH219" s="6"/>
      <c r="AI219" s="4"/>
      <c r="AJ219" s="4"/>
      <c r="AL219" s="4"/>
      <c r="AM219" s="4"/>
    </row>
    <row r="220" spans="2:39" x14ac:dyDescent="0.15">
      <c r="B220" s="4"/>
      <c r="C220" s="4"/>
      <c r="AH220" s="6"/>
      <c r="AI220" s="4"/>
      <c r="AJ220" s="4"/>
      <c r="AL220" s="4"/>
      <c r="AM220" s="4"/>
    </row>
    <row r="221" spans="2:39" x14ac:dyDescent="0.15">
      <c r="B221" s="4"/>
      <c r="C221" s="4"/>
      <c r="AH221" s="6"/>
      <c r="AI221" s="4"/>
      <c r="AJ221" s="4"/>
      <c r="AL221" s="4"/>
      <c r="AM221" s="4"/>
    </row>
    <row r="222" spans="2:39" x14ac:dyDescent="0.15">
      <c r="B222" s="4"/>
      <c r="C222" s="4"/>
      <c r="AH222" s="6"/>
      <c r="AI222" s="4"/>
      <c r="AJ222" s="4"/>
      <c r="AL222" s="4"/>
      <c r="AM222" s="4"/>
    </row>
    <row r="223" spans="2:39" x14ac:dyDescent="0.15">
      <c r="B223" s="4"/>
      <c r="C223" s="4"/>
      <c r="AH223" s="6"/>
      <c r="AI223" s="4"/>
      <c r="AJ223" s="4"/>
      <c r="AL223" s="4"/>
      <c r="AM223" s="4"/>
    </row>
    <row r="224" spans="2:39" x14ac:dyDescent="0.15">
      <c r="B224" s="4"/>
      <c r="C224" s="4"/>
      <c r="AH224" s="6"/>
      <c r="AI224" s="4"/>
      <c r="AJ224" s="4"/>
      <c r="AL224" s="4"/>
      <c r="AM224" s="4"/>
    </row>
    <row r="225" spans="2:39" x14ac:dyDescent="0.15">
      <c r="B225" s="4"/>
      <c r="C225" s="4"/>
      <c r="AH225" s="6"/>
      <c r="AI225" s="4"/>
      <c r="AJ225" s="4"/>
      <c r="AL225" s="4"/>
      <c r="AM225" s="4"/>
    </row>
    <row r="226" spans="2:39" x14ac:dyDescent="0.15">
      <c r="B226" s="4"/>
      <c r="C226" s="4"/>
      <c r="AH226" s="6"/>
      <c r="AI226" s="4"/>
      <c r="AJ226" s="4"/>
      <c r="AL226" s="4"/>
      <c r="AM226" s="4"/>
    </row>
    <row r="227" spans="2:39" x14ac:dyDescent="0.15">
      <c r="B227" s="4"/>
      <c r="C227" s="4"/>
      <c r="AH227" s="6"/>
      <c r="AI227" s="4"/>
      <c r="AJ227" s="4"/>
      <c r="AL227" s="4"/>
      <c r="AM227" s="4"/>
    </row>
    <row r="228" spans="2:39" x14ac:dyDescent="0.15">
      <c r="B228" s="4"/>
      <c r="C228" s="4"/>
      <c r="AH228" s="6"/>
      <c r="AI228" s="4"/>
      <c r="AJ228" s="4"/>
      <c r="AL228" s="4"/>
      <c r="AM228" s="4"/>
    </row>
    <row r="229" spans="2:39" x14ac:dyDescent="0.15">
      <c r="B229" s="4"/>
      <c r="C229" s="4"/>
      <c r="AH229" s="6"/>
      <c r="AI229" s="4"/>
      <c r="AJ229" s="4"/>
      <c r="AL229" s="4"/>
      <c r="AM229" s="4"/>
    </row>
    <row r="230" spans="2:39" x14ac:dyDescent="0.15">
      <c r="B230" s="4"/>
      <c r="C230" s="4"/>
      <c r="AH230" s="6"/>
      <c r="AI230" s="4"/>
      <c r="AJ230" s="4"/>
      <c r="AL230" s="4"/>
      <c r="AM230" s="4"/>
    </row>
    <row r="231" spans="2:39" x14ac:dyDescent="0.15">
      <c r="B231" s="4"/>
      <c r="C231" s="4"/>
      <c r="AH231" s="6"/>
      <c r="AI231" s="4"/>
      <c r="AJ231" s="4"/>
      <c r="AL231" s="4"/>
      <c r="AM231" s="4"/>
    </row>
    <row r="232" spans="2:39" x14ac:dyDescent="0.15">
      <c r="B232" s="4"/>
      <c r="C232" s="4"/>
      <c r="AH232" s="6"/>
      <c r="AI232" s="4"/>
      <c r="AJ232" s="4"/>
      <c r="AL232" s="4"/>
      <c r="AM232" s="4"/>
    </row>
    <row r="233" spans="2:39" x14ac:dyDescent="0.15">
      <c r="B233" s="4"/>
      <c r="C233" s="4"/>
      <c r="AH233" s="6"/>
      <c r="AI233" s="4"/>
      <c r="AJ233" s="4"/>
      <c r="AL233" s="4"/>
      <c r="AM233" s="4"/>
    </row>
    <row r="234" spans="2:39" x14ac:dyDescent="0.15">
      <c r="B234" s="4"/>
      <c r="C234" s="4"/>
      <c r="AH234" s="6"/>
      <c r="AI234" s="4"/>
      <c r="AJ234" s="4"/>
      <c r="AL234" s="4"/>
      <c r="AM234" s="4"/>
    </row>
    <row r="235" spans="2:39" x14ac:dyDescent="0.15">
      <c r="B235" s="4"/>
      <c r="C235" s="4"/>
      <c r="AH235" s="6"/>
      <c r="AI235" s="4"/>
      <c r="AJ235" s="4"/>
      <c r="AL235" s="4"/>
      <c r="AM235" s="4"/>
    </row>
    <row r="236" spans="2:39" x14ac:dyDescent="0.15">
      <c r="B236" s="4"/>
      <c r="C236" s="4"/>
      <c r="AH236" s="6"/>
      <c r="AI236" s="4"/>
      <c r="AJ236" s="4"/>
      <c r="AL236" s="4"/>
      <c r="AM236" s="4"/>
    </row>
    <row r="237" spans="2:39" x14ac:dyDescent="0.15">
      <c r="B237" s="4"/>
      <c r="C237" s="4"/>
      <c r="AH237" s="6"/>
      <c r="AI237" s="4"/>
      <c r="AJ237" s="4"/>
      <c r="AL237" s="4"/>
      <c r="AM237" s="4"/>
    </row>
    <row r="238" spans="2:39" x14ac:dyDescent="0.15">
      <c r="B238" s="4"/>
      <c r="C238" s="4"/>
      <c r="AH238" s="6"/>
      <c r="AI238" s="4"/>
      <c r="AJ238" s="4"/>
      <c r="AL238" s="4"/>
      <c r="AM238" s="4"/>
    </row>
    <row r="239" spans="2:39" x14ac:dyDescent="0.15">
      <c r="B239" s="4"/>
      <c r="C239" s="4"/>
      <c r="AH239" s="6"/>
      <c r="AI239" s="4"/>
      <c r="AJ239" s="4"/>
      <c r="AL239" s="4"/>
      <c r="AM239" s="4"/>
    </row>
    <row r="240" spans="2:39" x14ac:dyDescent="0.15">
      <c r="B240" s="4"/>
      <c r="C240" s="4"/>
      <c r="AH240" s="6"/>
      <c r="AI240" s="4"/>
      <c r="AJ240" s="4"/>
      <c r="AL240" s="4"/>
      <c r="AM240" s="4"/>
    </row>
    <row r="241" spans="2:39" x14ac:dyDescent="0.15">
      <c r="B241" s="4"/>
      <c r="C241" s="4"/>
      <c r="AH241" s="6"/>
      <c r="AI241" s="4"/>
      <c r="AJ241" s="4"/>
      <c r="AL241" s="4"/>
      <c r="AM241" s="4"/>
    </row>
    <row r="242" spans="2:39" x14ac:dyDescent="0.15">
      <c r="B242" s="4"/>
      <c r="C242" s="4"/>
      <c r="AH242" s="6"/>
      <c r="AI242" s="4"/>
      <c r="AJ242" s="4"/>
      <c r="AL242" s="4"/>
      <c r="AM242" s="4"/>
    </row>
    <row r="243" spans="2:39" x14ac:dyDescent="0.15">
      <c r="B243" s="4"/>
      <c r="C243" s="4"/>
      <c r="AH243" s="6"/>
      <c r="AI243" s="4"/>
      <c r="AJ243" s="4"/>
      <c r="AL243" s="4"/>
      <c r="AM243" s="4"/>
    </row>
    <row r="244" spans="2:39" x14ac:dyDescent="0.15">
      <c r="B244" s="4"/>
      <c r="C244" s="4"/>
      <c r="AH244" s="6"/>
      <c r="AI244" s="4"/>
      <c r="AJ244" s="4"/>
      <c r="AL244" s="4"/>
      <c r="AM244" s="4"/>
    </row>
    <row r="245" spans="2:39" x14ac:dyDescent="0.15">
      <c r="B245" s="4"/>
      <c r="C245" s="4"/>
      <c r="AH245" s="6"/>
      <c r="AI245" s="4"/>
      <c r="AJ245" s="4"/>
      <c r="AL245" s="4"/>
      <c r="AM245" s="4"/>
    </row>
    <row r="246" spans="2:39" x14ac:dyDescent="0.15">
      <c r="B246" s="4"/>
      <c r="C246" s="4"/>
      <c r="AH246" s="6"/>
      <c r="AI246" s="4"/>
      <c r="AJ246" s="4"/>
      <c r="AL246" s="4"/>
      <c r="AM246" s="4"/>
    </row>
    <row r="247" spans="2:39" x14ac:dyDescent="0.15">
      <c r="B247" s="4"/>
      <c r="C247" s="4"/>
      <c r="AH247" s="6"/>
      <c r="AI247" s="4"/>
      <c r="AJ247" s="4"/>
      <c r="AL247" s="4"/>
      <c r="AM247" s="4"/>
    </row>
    <row r="248" spans="2:39" x14ac:dyDescent="0.15">
      <c r="B248" s="4"/>
      <c r="C248" s="4"/>
      <c r="AH248" s="6"/>
      <c r="AI248" s="4"/>
      <c r="AJ248" s="4"/>
      <c r="AL248" s="4"/>
      <c r="AM248" s="4"/>
    </row>
    <row r="249" spans="2:39" x14ac:dyDescent="0.15">
      <c r="B249" s="4"/>
      <c r="C249" s="4"/>
      <c r="AH249" s="6"/>
      <c r="AI249" s="4"/>
      <c r="AJ249" s="4"/>
      <c r="AL249" s="4"/>
      <c r="AM249" s="4"/>
    </row>
    <row r="250" spans="2:39" x14ac:dyDescent="0.15">
      <c r="B250" s="4"/>
      <c r="C250" s="4"/>
      <c r="AH250" s="6"/>
      <c r="AI250" s="4"/>
      <c r="AJ250" s="4"/>
      <c r="AL250" s="4"/>
      <c r="AM250" s="4"/>
    </row>
    <row r="251" spans="2:39" x14ac:dyDescent="0.15">
      <c r="B251" s="4"/>
      <c r="C251" s="4"/>
      <c r="AH251" s="6"/>
      <c r="AI251" s="4"/>
      <c r="AJ251" s="4"/>
      <c r="AL251" s="4"/>
      <c r="AM251" s="4"/>
    </row>
    <row r="252" spans="2:39" x14ac:dyDescent="0.15">
      <c r="B252" s="4"/>
      <c r="C252" s="4"/>
      <c r="AH252" s="6"/>
      <c r="AI252" s="4"/>
      <c r="AJ252" s="4"/>
      <c r="AL252" s="4"/>
      <c r="AM252" s="4"/>
    </row>
    <row r="253" spans="2:39" x14ac:dyDescent="0.15">
      <c r="B253" s="4"/>
      <c r="C253" s="4"/>
      <c r="AH253" s="6"/>
      <c r="AI253" s="4"/>
      <c r="AJ253" s="4"/>
      <c r="AL253" s="4"/>
      <c r="AM253" s="4"/>
    </row>
    <row r="254" spans="2:39" x14ac:dyDescent="0.15">
      <c r="B254" s="4"/>
      <c r="C254" s="4"/>
      <c r="AH254" s="6"/>
      <c r="AI254" s="4"/>
      <c r="AJ254" s="4"/>
      <c r="AL254" s="4"/>
      <c r="AM254" s="4"/>
    </row>
    <row r="255" spans="2:39" x14ac:dyDescent="0.15">
      <c r="B255" s="4"/>
      <c r="C255" s="4"/>
      <c r="AH255" s="6"/>
      <c r="AI255" s="4"/>
      <c r="AJ255" s="4"/>
      <c r="AL255" s="4"/>
      <c r="AM255" s="4"/>
    </row>
    <row r="256" spans="2:39" x14ac:dyDescent="0.15">
      <c r="B256" s="4"/>
      <c r="C256" s="4"/>
      <c r="AH256" s="6"/>
      <c r="AI256" s="4"/>
      <c r="AJ256" s="4"/>
      <c r="AL256" s="4"/>
      <c r="AM256" s="4"/>
    </row>
    <row r="257" spans="2:39" x14ac:dyDescent="0.15">
      <c r="B257" s="4"/>
      <c r="C257" s="4"/>
      <c r="AH257" s="6"/>
      <c r="AI257" s="4"/>
      <c r="AJ257" s="4"/>
      <c r="AL257" s="4"/>
      <c r="AM257" s="4"/>
    </row>
    <row r="258" spans="2:39" x14ac:dyDescent="0.15">
      <c r="B258" s="4"/>
      <c r="C258" s="4"/>
      <c r="AH258" s="6"/>
      <c r="AI258" s="4"/>
      <c r="AJ258" s="4"/>
      <c r="AL258" s="4"/>
      <c r="AM258" s="4"/>
    </row>
    <row r="259" spans="2:39" x14ac:dyDescent="0.15">
      <c r="B259" s="4"/>
      <c r="C259" s="4"/>
      <c r="AH259" s="6"/>
      <c r="AI259" s="4"/>
      <c r="AJ259" s="4"/>
      <c r="AL259" s="4"/>
      <c r="AM259" s="4"/>
    </row>
    <row r="260" spans="2:39" x14ac:dyDescent="0.15">
      <c r="B260" s="4"/>
      <c r="C260" s="4"/>
      <c r="AH260" s="6"/>
      <c r="AI260" s="4"/>
      <c r="AJ260" s="4"/>
      <c r="AL260" s="4"/>
      <c r="AM260" s="4"/>
    </row>
    <row r="261" spans="2:39" x14ac:dyDescent="0.15">
      <c r="B261" s="4"/>
      <c r="C261" s="4"/>
      <c r="AH261" s="6"/>
      <c r="AI261" s="4"/>
      <c r="AJ261" s="4"/>
      <c r="AL261" s="4"/>
      <c r="AM261" s="4"/>
    </row>
    <row r="262" spans="2:39" x14ac:dyDescent="0.15">
      <c r="B262" s="4"/>
      <c r="C262" s="4"/>
      <c r="AH262" s="6"/>
      <c r="AI262" s="4"/>
      <c r="AJ262" s="4"/>
      <c r="AL262" s="4"/>
      <c r="AM262" s="4"/>
    </row>
    <row r="263" spans="2:39" x14ac:dyDescent="0.15">
      <c r="B263" s="4"/>
      <c r="C263" s="4"/>
      <c r="AH263" s="6"/>
      <c r="AI263" s="4"/>
      <c r="AJ263" s="4"/>
      <c r="AL263" s="4"/>
      <c r="AM263" s="4"/>
    </row>
    <row r="264" spans="2:39" x14ac:dyDescent="0.15">
      <c r="B264" s="4"/>
      <c r="C264" s="4"/>
      <c r="AH264" s="6"/>
      <c r="AI264" s="4"/>
      <c r="AJ264" s="4"/>
      <c r="AL264" s="4"/>
      <c r="AM264" s="4"/>
    </row>
    <row r="265" spans="2:39" x14ac:dyDescent="0.15">
      <c r="B265" s="4"/>
      <c r="C265" s="4"/>
      <c r="AH265" s="6"/>
      <c r="AI265" s="4"/>
      <c r="AJ265" s="4"/>
      <c r="AL265" s="4"/>
      <c r="AM265" s="4"/>
    </row>
    <row r="266" spans="2:39" x14ac:dyDescent="0.15">
      <c r="B266" s="4"/>
      <c r="C266" s="4"/>
      <c r="AH266" s="6"/>
      <c r="AI266" s="4"/>
      <c r="AJ266" s="4"/>
      <c r="AL266" s="4"/>
      <c r="AM266" s="4"/>
    </row>
    <row r="267" spans="2:39" x14ac:dyDescent="0.15">
      <c r="B267" s="4"/>
      <c r="C267" s="4"/>
      <c r="AH267" s="6"/>
      <c r="AI267" s="4"/>
      <c r="AJ267" s="4"/>
      <c r="AL267" s="4"/>
      <c r="AM267" s="4"/>
    </row>
    <row r="268" spans="2:39" x14ac:dyDescent="0.15">
      <c r="B268" s="4"/>
      <c r="C268" s="4"/>
      <c r="AH268" s="6"/>
      <c r="AI268" s="4"/>
      <c r="AJ268" s="4"/>
      <c r="AL268" s="4"/>
      <c r="AM268" s="4"/>
    </row>
    <row r="269" spans="2:39" x14ac:dyDescent="0.15">
      <c r="B269" s="4"/>
      <c r="C269" s="4"/>
      <c r="AH269" s="6"/>
      <c r="AI269" s="4"/>
      <c r="AJ269" s="4"/>
      <c r="AL269" s="4"/>
      <c r="AM269" s="4"/>
    </row>
    <row r="270" spans="2:39" x14ac:dyDescent="0.15">
      <c r="B270" s="4"/>
      <c r="C270" s="4"/>
      <c r="AH270" s="6"/>
      <c r="AI270" s="4"/>
      <c r="AJ270" s="4"/>
      <c r="AL270" s="4"/>
      <c r="AM270" s="4"/>
    </row>
    <row r="271" spans="2:39" x14ac:dyDescent="0.15">
      <c r="B271" s="4"/>
      <c r="C271" s="4"/>
      <c r="AH271" s="6"/>
      <c r="AI271" s="4"/>
      <c r="AJ271" s="4"/>
      <c r="AL271" s="4"/>
      <c r="AM271" s="4"/>
    </row>
    <row r="272" spans="2:39" x14ac:dyDescent="0.15">
      <c r="B272" s="4"/>
      <c r="C272" s="4"/>
      <c r="AH272" s="6"/>
      <c r="AI272" s="4"/>
      <c r="AJ272" s="4"/>
      <c r="AL272" s="4"/>
      <c r="AM272" s="4"/>
    </row>
    <row r="273" spans="2:39" x14ac:dyDescent="0.15">
      <c r="B273" s="4"/>
      <c r="C273" s="4"/>
      <c r="AH273" s="6"/>
      <c r="AI273" s="4"/>
      <c r="AJ273" s="4"/>
      <c r="AL273" s="4"/>
      <c r="AM273" s="4"/>
    </row>
    <row r="274" spans="2:39" x14ac:dyDescent="0.15">
      <c r="B274" s="4"/>
      <c r="C274" s="4"/>
      <c r="AH274" s="6"/>
      <c r="AI274" s="4"/>
      <c r="AJ274" s="4"/>
      <c r="AL274" s="4"/>
      <c r="AM274" s="4"/>
    </row>
    <row r="275" spans="2:39" x14ac:dyDescent="0.15">
      <c r="B275" s="4"/>
      <c r="C275" s="4"/>
      <c r="AH275" s="6"/>
      <c r="AI275" s="4"/>
      <c r="AJ275" s="4"/>
      <c r="AL275" s="4"/>
      <c r="AM275" s="4"/>
    </row>
    <row r="276" spans="2:39" x14ac:dyDescent="0.15">
      <c r="B276" s="4"/>
      <c r="C276" s="4"/>
      <c r="AH276" s="6"/>
      <c r="AI276" s="4"/>
      <c r="AJ276" s="4"/>
      <c r="AL276" s="4"/>
      <c r="AM276" s="4"/>
    </row>
    <row r="277" spans="2:39" x14ac:dyDescent="0.15">
      <c r="B277" s="4"/>
      <c r="C277" s="4"/>
      <c r="AH277" s="6"/>
      <c r="AI277" s="4"/>
      <c r="AJ277" s="4"/>
      <c r="AL277" s="4"/>
      <c r="AM277" s="4"/>
    </row>
    <row r="278" spans="2:39" x14ac:dyDescent="0.15">
      <c r="B278" s="4"/>
      <c r="C278" s="4"/>
      <c r="AH278" s="6"/>
      <c r="AI278" s="4"/>
      <c r="AJ278" s="4"/>
      <c r="AL278" s="4"/>
      <c r="AM278" s="4"/>
    </row>
    <row r="279" spans="2:39" x14ac:dyDescent="0.15">
      <c r="B279" s="4"/>
      <c r="C279" s="4"/>
      <c r="AH279" s="6"/>
      <c r="AI279" s="4"/>
      <c r="AJ279" s="4"/>
      <c r="AL279" s="4"/>
      <c r="AM279" s="4"/>
    </row>
    <row r="280" spans="2:39" x14ac:dyDescent="0.15">
      <c r="B280" s="4"/>
      <c r="C280" s="4"/>
      <c r="AH280" s="6"/>
      <c r="AI280" s="4"/>
      <c r="AJ280" s="4"/>
      <c r="AL280" s="4"/>
      <c r="AM280" s="4"/>
    </row>
    <row r="281" spans="2:39" x14ac:dyDescent="0.15">
      <c r="B281" s="4"/>
      <c r="C281" s="4"/>
      <c r="AH281" s="6"/>
      <c r="AI281" s="4"/>
      <c r="AJ281" s="4"/>
      <c r="AL281" s="4"/>
      <c r="AM281" s="4"/>
    </row>
    <row r="282" spans="2:39" x14ac:dyDescent="0.15">
      <c r="B282" s="4"/>
      <c r="C282" s="4"/>
      <c r="AH282" s="6"/>
      <c r="AI282" s="4"/>
      <c r="AJ282" s="4"/>
      <c r="AL282" s="4"/>
      <c r="AM282" s="4"/>
    </row>
    <row r="283" spans="2:39" x14ac:dyDescent="0.15">
      <c r="B283" s="4"/>
      <c r="C283" s="4"/>
      <c r="AH283" s="6"/>
      <c r="AI283" s="4"/>
      <c r="AJ283" s="4"/>
      <c r="AL283" s="4"/>
      <c r="AM283" s="4"/>
    </row>
    <row r="284" spans="2:39" x14ac:dyDescent="0.15">
      <c r="B284" s="4"/>
      <c r="C284" s="4"/>
      <c r="AH284" s="6"/>
      <c r="AI284" s="4"/>
      <c r="AJ284" s="4"/>
      <c r="AL284" s="4"/>
      <c r="AM284" s="4"/>
    </row>
    <row r="285" spans="2:39" x14ac:dyDescent="0.15">
      <c r="B285" s="4"/>
      <c r="C285" s="4"/>
      <c r="AH285" s="6"/>
      <c r="AI285" s="4"/>
      <c r="AJ285" s="4"/>
      <c r="AL285" s="4"/>
      <c r="AM285" s="4"/>
    </row>
    <row r="286" spans="2:39" x14ac:dyDescent="0.15">
      <c r="B286" s="4"/>
      <c r="C286" s="4"/>
      <c r="AH286" s="6"/>
      <c r="AI286" s="4"/>
      <c r="AJ286" s="4"/>
      <c r="AL286" s="4"/>
      <c r="AM286" s="4"/>
    </row>
    <row r="287" spans="2:39" x14ac:dyDescent="0.15">
      <c r="B287" s="4"/>
      <c r="C287" s="4"/>
      <c r="AH287" s="6"/>
      <c r="AI287" s="4"/>
      <c r="AJ287" s="4"/>
      <c r="AL287" s="4"/>
      <c r="AM287" s="4"/>
    </row>
    <row r="288" spans="2:39" x14ac:dyDescent="0.15">
      <c r="B288" s="4"/>
      <c r="C288" s="4"/>
      <c r="AH288" s="6"/>
      <c r="AI288" s="4"/>
      <c r="AJ288" s="4"/>
      <c r="AL288" s="4"/>
      <c r="AM288" s="4"/>
    </row>
    <row r="289" spans="2:39" x14ac:dyDescent="0.15">
      <c r="B289" s="4"/>
      <c r="C289" s="4"/>
      <c r="AH289" s="6"/>
      <c r="AI289" s="4"/>
      <c r="AJ289" s="4"/>
      <c r="AL289" s="4"/>
      <c r="AM289" s="4"/>
    </row>
    <row r="290" spans="2:39" x14ac:dyDescent="0.15">
      <c r="B290" s="4"/>
      <c r="C290" s="4"/>
      <c r="AH290" s="6"/>
      <c r="AI290" s="4"/>
      <c r="AJ290" s="4"/>
      <c r="AL290" s="4"/>
      <c r="AM290" s="4"/>
    </row>
    <row r="291" spans="2:39" x14ac:dyDescent="0.15">
      <c r="B291" s="4"/>
      <c r="C291" s="4"/>
      <c r="AH291" s="6"/>
      <c r="AI291" s="4"/>
      <c r="AJ291" s="4"/>
      <c r="AL291" s="4"/>
      <c r="AM291" s="4"/>
    </row>
    <row r="292" spans="2:39" x14ac:dyDescent="0.15">
      <c r="B292" s="4"/>
      <c r="C292" s="4"/>
      <c r="AH292" s="6"/>
      <c r="AI292" s="4"/>
      <c r="AJ292" s="4"/>
      <c r="AL292" s="4"/>
      <c r="AM292" s="4"/>
    </row>
    <row r="293" spans="2:39" x14ac:dyDescent="0.15">
      <c r="B293" s="4"/>
      <c r="C293" s="4"/>
      <c r="AH293" s="6"/>
      <c r="AI293" s="4"/>
      <c r="AJ293" s="4"/>
      <c r="AL293" s="4"/>
      <c r="AM293" s="4"/>
    </row>
    <row r="294" spans="2:39" x14ac:dyDescent="0.15">
      <c r="B294" s="4"/>
      <c r="C294" s="4"/>
      <c r="AH294" s="6"/>
      <c r="AI294" s="4"/>
      <c r="AJ294" s="4"/>
      <c r="AL294" s="4"/>
      <c r="AM294" s="4"/>
    </row>
    <row r="295" spans="2:39" x14ac:dyDescent="0.15">
      <c r="B295" s="4"/>
      <c r="C295" s="4"/>
      <c r="AH295" s="6"/>
      <c r="AI295" s="4"/>
      <c r="AJ295" s="4"/>
      <c r="AL295" s="4"/>
      <c r="AM295" s="4"/>
    </row>
    <row r="296" spans="2:39" x14ac:dyDescent="0.15">
      <c r="B296" s="4"/>
      <c r="C296" s="4"/>
      <c r="AH296" s="6"/>
      <c r="AI296" s="4"/>
      <c r="AJ296" s="4"/>
      <c r="AL296" s="4"/>
      <c r="AM296" s="4"/>
    </row>
    <row r="297" spans="2:39" x14ac:dyDescent="0.15">
      <c r="B297" s="4"/>
      <c r="C297" s="4"/>
      <c r="AH297" s="6"/>
      <c r="AI297" s="4"/>
      <c r="AJ297" s="4"/>
      <c r="AL297" s="4"/>
      <c r="AM297" s="4"/>
    </row>
    <row r="298" spans="2:39" x14ac:dyDescent="0.15">
      <c r="B298" s="4"/>
      <c r="C298" s="4"/>
      <c r="AH298" s="6"/>
      <c r="AI298" s="4"/>
      <c r="AJ298" s="4"/>
      <c r="AL298" s="4"/>
      <c r="AM298" s="4"/>
    </row>
    <row r="299" spans="2:39" x14ac:dyDescent="0.15">
      <c r="B299" s="4"/>
      <c r="C299" s="4"/>
      <c r="AH299" s="6"/>
      <c r="AI299" s="4"/>
      <c r="AJ299" s="4"/>
      <c r="AL299" s="4"/>
      <c r="AM299" s="4"/>
    </row>
    <row r="300" spans="2:39" x14ac:dyDescent="0.15">
      <c r="B300" s="4"/>
      <c r="C300" s="4"/>
      <c r="AH300" s="6"/>
      <c r="AI300" s="4"/>
      <c r="AJ300" s="4"/>
      <c r="AL300" s="4"/>
      <c r="AM300" s="4"/>
    </row>
    <row r="301" spans="2:39" x14ac:dyDescent="0.15">
      <c r="B301" s="4"/>
      <c r="C301" s="4"/>
      <c r="AH301" s="6"/>
      <c r="AI301" s="4"/>
      <c r="AJ301" s="4"/>
      <c r="AL301" s="4"/>
      <c r="AM301" s="4"/>
    </row>
    <row r="302" spans="2:39" x14ac:dyDescent="0.15">
      <c r="B302" s="4"/>
      <c r="C302" s="4"/>
      <c r="AH302" s="6"/>
      <c r="AI302" s="4"/>
      <c r="AJ302" s="4"/>
      <c r="AL302" s="4"/>
      <c r="AM302" s="4"/>
    </row>
    <row r="303" spans="2:39" x14ac:dyDescent="0.15">
      <c r="B303" s="4"/>
      <c r="C303" s="4"/>
      <c r="AH303" s="6"/>
      <c r="AI303" s="4"/>
      <c r="AJ303" s="4"/>
      <c r="AL303" s="4"/>
      <c r="AM303" s="4"/>
    </row>
    <row r="304" spans="2:39" x14ac:dyDescent="0.15">
      <c r="B304" s="4"/>
      <c r="C304" s="4"/>
      <c r="AH304" s="6"/>
      <c r="AI304" s="4"/>
      <c r="AJ304" s="4"/>
      <c r="AL304" s="4"/>
      <c r="AM304" s="4"/>
    </row>
    <row r="305" spans="2:39" x14ac:dyDescent="0.15">
      <c r="B305" s="4"/>
      <c r="C305" s="4"/>
      <c r="AH305" s="6"/>
      <c r="AI305" s="4"/>
      <c r="AJ305" s="4"/>
      <c r="AL305" s="4"/>
      <c r="AM305" s="4"/>
    </row>
    <row r="306" spans="2:39" x14ac:dyDescent="0.15">
      <c r="B306" s="4"/>
      <c r="C306" s="4"/>
      <c r="AH306" s="6"/>
      <c r="AI306" s="4"/>
      <c r="AJ306" s="4"/>
      <c r="AL306" s="4"/>
      <c r="AM306" s="4"/>
    </row>
    <row r="307" spans="2:39" x14ac:dyDescent="0.15">
      <c r="B307" s="4"/>
      <c r="C307" s="4"/>
      <c r="AH307" s="6"/>
      <c r="AI307" s="4"/>
      <c r="AJ307" s="4"/>
      <c r="AL307" s="4"/>
      <c r="AM307" s="4"/>
    </row>
    <row r="308" spans="2:39" x14ac:dyDescent="0.15">
      <c r="B308" s="4"/>
      <c r="C308" s="4"/>
      <c r="AH308" s="6"/>
      <c r="AI308" s="4"/>
      <c r="AJ308" s="4"/>
      <c r="AL308" s="4"/>
      <c r="AM308" s="4"/>
    </row>
    <row r="309" spans="2:39" x14ac:dyDescent="0.15">
      <c r="B309" s="4"/>
      <c r="C309" s="4"/>
      <c r="AH309" s="6"/>
      <c r="AI309" s="4"/>
      <c r="AJ309" s="4"/>
      <c r="AL309" s="4"/>
      <c r="AM309" s="4"/>
    </row>
    <row r="310" spans="2:39" x14ac:dyDescent="0.15">
      <c r="B310" s="4"/>
      <c r="C310" s="4"/>
      <c r="AH310" s="6"/>
      <c r="AI310" s="4"/>
      <c r="AJ310" s="4"/>
      <c r="AL310" s="4"/>
      <c r="AM310" s="4"/>
    </row>
    <row r="311" spans="2:39" x14ac:dyDescent="0.15">
      <c r="B311" s="4"/>
      <c r="C311" s="4"/>
      <c r="AH311" s="6"/>
      <c r="AI311" s="4"/>
      <c r="AJ311" s="4"/>
      <c r="AL311" s="4"/>
      <c r="AM311" s="4"/>
    </row>
    <row r="312" spans="2:39" x14ac:dyDescent="0.15">
      <c r="B312" s="4"/>
      <c r="C312" s="4"/>
      <c r="AH312" s="6"/>
      <c r="AI312" s="4"/>
      <c r="AJ312" s="4"/>
      <c r="AL312" s="4"/>
      <c r="AM312" s="4"/>
    </row>
    <row r="313" spans="2:39" x14ac:dyDescent="0.15">
      <c r="B313" s="4"/>
      <c r="C313" s="4"/>
      <c r="AH313" s="6"/>
      <c r="AI313" s="4"/>
      <c r="AJ313" s="4"/>
      <c r="AL313" s="4"/>
      <c r="AM313" s="4"/>
    </row>
    <row r="314" spans="2:39" x14ac:dyDescent="0.15">
      <c r="B314" s="4"/>
      <c r="C314" s="4"/>
      <c r="AH314" s="6"/>
      <c r="AI314" s="4"/>
      <c r="AJ314" s="4"/>
      <c r="AL314" s="4"/>
      <c r="AM314" s="4"/>
    </row>
    <row r="315" spans="2:39" x14ac:dyDescent="0.15">
      <c r="B315" s="4"/>
      <c r="C315" s="4"/>
      <c r="AH315" s="6"/>
      <c r="AI315" s="4"/>
      <c r="AJ315" s="4"/>
      <c r="AL315" s="4"/>
      <c r="AM315" s="4"/>
    </row>
    <row r="316" spans="2:39" x14ac:dyDescent="0.15">
      <c r="B316" s="4"/>
      <c r="C316" s="4"/>
      <c r="AH316" s="6"/>
      <c r="AI316" s="4"/>
      <c r="AJ316" s="4"/>
      <c r="AL316" s="4"/>
      <c r="AM316" s="4"/>
    </row>
    <row r="317" spans="2:39" x14ac:dyDescent="0.15">
      <c r="B317" s="4"/>
      <c r="C317" s="4"/>
      <c r="AH317" s="6"/>
      <c r="AI317" s="4"/>
      <c r="AJ317" s="4"/>
      <c r="AL317" s="4"/>
      <c r="AM317" s="4"/>
    </row>
    <row r="318" spans="2:39" x14ac:dyDescent="0.15">
      <c r="B318" s="4"/>
      <c r="C318" s="4"/>
      <c r="AH318" s="6"/>
      <c r="AI318" s="4"/>
      <c r="AJ318" s="4"/>
      <c r="AL318" s="4"/>
      <c r="AM318" s="4"/>
    </row>
    <row r="319" spans="2:39" x14ac:dyDescent="0.15">
      <c r="B319" s="4"/>
      <c r="C319" s="4"/>
      <c r="AH319" s="6"/>
      <c r="AI319" s="4"/>
      <c r="AJ319" s="4"/>
      <c r="AL319" s="4"/>
      <c r="AM319" s="4"/>
    </row>
    <row r="320" spans="2:39" x14ac:dyDescent="0.15">
      <c r="B320" s="4"/>
      <c r="C320" s="4"/>
      <c r="AH320" s="6"/>
      <c r="AI320" s="4"/>
      <c r="AJ320" s="4"/>
      <c r="AL320" s="4"/>
      <c r="AM320" s="4"/>
    </row>
    <row r="321" spans="2:39" x14ac:dyDescent="0.15">
      <c r="B321" s="4"/>
      <c r="C321" s="4"/>
      <c r="AH321" s="6"/>
      <c r="AI321" s="4"/>
      <c r="AJ321" s="4"/>
      <c r="AL321" s="4"/>
      <c r="AM321" s="4"/>
    </row>
    <row r="322" spans="2:39" x14ac:dyDescent="0.15">
      <c r="B322" s="4"/>
      <c r="C322" s="4"/>
      <c r="AH322" s="6"/>
      <c r="AI322" s="4"/>
      <c r="AJ322" s="4"/>
      <c r="AL322" s="4"/>
      <c r="AM322" s="4"/>
    </row>
    <row r="323" spans="2:39" x14ac:dyDescent="0.15">
      <c r="B323" s="4"/>
      <c r="C323" s="4"/>
      <c r="AH323" s="6"/>
      <c r="AI323" s="4"/>
      <c r="AJ323" s="4"/>
      <c r="AL323" s="4"/>
      <c r="AM323" s="4"/>
    </row>
    <row r="324" spans="2:39" x14ac:dyDescent="0.15">
      <c r="B324" s="4"/>
      <c r="C324" s="4"/>
      <c r="AH324" s="6"/>
      <c r="AI324" s="4"/>
      <c r="AJ324" s="4"/>
      <c r="AL324" s="4"/>
      <c r="AM324" s="4"/>
    </row>
    <row r="325" spans="2:39" x14ac:dyDescent="0.15">
      <c r="B325" s="4"/>
      <c r="C325" s="4"/>
      <c r="AH325" s="6"/>
      <c r="AI325" s="4"/>
      <c r="AJ325" s="4"/>
      <c r="AL325" s="4"/>
      <c r="AM325" s="4"/>
    </row>
    <row r="326" spans="2:39" x14ac:dyDescent="0.15">
      <c r="B326" s="4"/>
      <c r="C326" s="4"/>
      <c r="AH326" s="6"/>
      <c r="AI326" s="4"/>
      <c r="AJ326" s="4"/>
      <c r="AL326" s="4"/>
      <c r="AM326" s="4"/>
    </row>
    <row r="327" spans="2:39" x14ac:dyDescent="0.15">
      <c r="B327" s="4"/>
      <c r="C327" s="4"/>
      <c r="AH327" s="6"/>
      <c r="AI327" s="4"/>
      <c r="AJ327" s="4"/>
      <c r="AL327" s="4"/>
      <c r="AM327" s="4"/>
    </row>
    <row r="328" spans="2:39" x14ac:dyDescent="0.15">
      <c r="B328" s="4"/>
      <c r="C328" s="4"/>
      <c r="AH328" s="6"/>
      <c r="AI328" s="4"/>
      <c r="AJ328" s="4"/>
      <c r="AL328" s="4"/>
      <c r="AM328" s="4"/>
    </row>
    <row r="329" spans="2:39" x14ac:dyDescent="0.15">
      <c r="B329" s="4"/>
      <c r="C329" s="4"/>
      <c r="AH329" s="6"/>
      <c r="AI329" s="4"/>
      <c r="AJ329" s="4"/>
      <c r="AL329" s="4"/>
      <c r="AM329" s="4"/>
    </row>
    <row r="330" spans="2:39" x14ac:dyDescent="0.15">
      <c r="B330" s="4"/>
      <c r="C330" s="4"/>
      <c r="AH330" s="6"/>
      <c r="AI330" s="4"/>
      <c r="AJ330" s="4"/>
      <c r="AL330" s="4"/>
      <c r="AM330" s="4"/>
    </row>
    <row r="331" spans="2:39" x14ac:dyDescent="0.15">
      <c r="B331" s="4"/>
      <c r="C331" s="4"/>
      <c r="AH331" s="6"/>
      <c r="AI331" s="4"/>
      <c r="AJ331" s="4"/>
      <c r="AL331" s="4"/>
      <c r="AM331" s="4"/>
    </row>
    <row r="332" spans="2:39" x14ac:dyDescent="0.15">
      <c r="B332" s="4"/>
      <c r="C332" s="4"/>
      <c r="AH332" s="6"/>
      <c r="AI332" s="4"/>
      <c r="AJ332" s="4"/>
      <c r="AL332" s="4"/>
      <c r="AM332" s="4"/>
    </row>
    <row r="333" spans="2:39" x14ac:dyDescent="0.15">
      <c r="B333" s="4"/>
      <c r="C333" s="4"/>
      <c r="AH333" s="6"/>
      <c r="AI333" s="4"/>
      <c r="AJ333" s="4"/>
      <c r="AL333" s="4"/>
      <c r="AM333" s="4"/>
    </row>
    <row r="334" spans="2:39" x14ac:dyDescent="0.15">
      <c r="B334" s="4"/>
      <c r="C334" s="4"/>
      <c r="AH334" s="6"/>
      <c r="AI334" s="4"/>
      <c r="AJ334" s="4"/>
      <c r="AL334" s="4"/>
      <c r="AM334" s="4"/>
    </row>
    <row r="335" spans="2:39" x14ac:dyDescent="0.15">
      <c r="B335" s="4"/>
      <c r="C335" s="4"/>
      <c r="AH335" s="6"/>
      <c r="AI335" s="4"/>
      <c r="AJ335" s="4"/>
      <c r="AL335" s="4"/>
      <c r="AM335" s="4"/>
    </row>
    <row r="336" spans="2:39" x14ac:dyDescent="0.15">
      <c r="B336" s="4"/>
      <c r="C336" s="4"/>
      <c r="AH336" s="6"/>
      <c r="AI336" s="4"/>
      <c r="AJ336" s="4"/>
      <c r="AL336" s="4"/>
      <c r="AM336" s="4"/>
    </row>
    <row r="337" spans="2:39" x14ac:dyDescent="0.15">
      <c r="B337" s="4"/>
      <c r="C337" s="4"/>
      <c r="AH337" s="6"/>
      <c r="AI337" s="4"/>
      <c r="AJ337" s="4"/>
      <c r="AL337" s="4"/>
      <c r="AM337" s="4"/>
    </row>
    <row r="338" spans="2:39" x14ac:dyDescent="0.15">
      <c r="B338" s="4"/>
      <c r="C338" s="4"/>
      <c r="AH338" s="6"/>
      <c r="AI338" s="4"/>
      <c r="AJ338" s="4"/>
      <c r="AL338" s="4"/>
      <c r="AM338" s="4"/>
    </row>
    <row r="339" spans="2:39" x14ac:dyDescent="0.15">
      <c r="B339" s="4"/>
      <c r="C339" s="4"/>
      <c r="AH339" s="6"/>
      <c r="AI339" s="4"/>
      <c r="AJ339" s="4"/>
      <c r="AL339" s="4"/>
      <c r="AM339" s="4"/>
    </row>
    <row r="340" spans="2:39" x14ac:dyDescent="0.15">
      <c r="B340" s="4"/>
      <c r="C340" s="4"/>
      <c r="AH340" s="6"/>
      <c r="AI340" s="4"/>
      <c r="AJ340" s="4"/>
      <c r="AL340" s="4"/>
      <c r="AM340" s="4"/>
    </row>
    <row r="341" spans="2:39" x14ac:dyDescent="0.15">
      <c r="B341" s="4"/>
      <c r="C341" s="4"/>
      <c r="AH341" s="6"/>
      <c r="AI341" s="4"/>
      <c r="AJ341" s="4"/>
      <c r="AL341" s="4"/>
      <c r="AM341" s="4"/>
    </row>
    <row r="342" spans="2:39" x14ac:dyDescent="0.15">
      <c r="B342" s="4"/>
      <c r="C342" s="4"/>
      <c r="AH342" s="6"/>
      <c r="AI342" s="4"/>
      <c r="AJ342" s="4"/>
      <c r="AL342" s="4"/>
      <c r="AM342" s="4"/>
    </row>
    <row r="343" spans="2:39" x14ac:dyDescent="0.15">
      <c r="B343" s="4"/>
      <c r="C343" s="4"/>
      <c r="AH343" s="6"/>
      <c r="AI343" s="4"/>
      <c r="AJ343" s="4"/>
      <c r="AL343" s="4"/>
      <c r="AM343" s="4"/>
    </row>
    <row r="344" spans="2:39" x14ac:dyDescent="0.15">
      <c r="B344" s="4"/>
      <c r="C344" s="4"/>
      <c r="AH344" s="6"/>
      <c r="AI344" s="4"/>
      <c r="AJ344" s="4"/>
      <c r="AL344" s="4"/>
      <c r="AM344" s="4"/>
    </row>
    <row r="345" spans="2:39" x14ac:dyDescent="0.15">
      <c r="B345" s="4"/>
      <c r="C345" s="4"/>
      <c r="AH345" s="6"/>
      <c r="AI345" s="4"/>
      <c r="AJ345" s="4"/>
      <c r="AL345" s="4"/>
      <c r="AM345" s="4"/>
    </row>
    <row r="346" spans="2:39" x14ac:dyDescent="0.15">
      <c r="B346" s="4"/>
      <c r="C346" s="4"/>
      <c r="AH346" s="6"/>
      <c r="AI346" s="4"/>
      <c r="AJ346" s="4"/>
      <c r="AL346" s="4"/>
      <c r="AM346" s="4"/>
    </row>
    <row r="347" spans="2:39" x14ac:dyDescent="0.15">
      <c r="B347" s="4"/>
      <c r="C347" s="4"/>
      <c r="AH347" s="6"/>
      <c r="AI347" s="4"/>
      <c r="AJ347" s="4"/>
      <c r="AL347" s="4"/>
      <c r="AM347" s="4"/>
    </row>
    <row r="348" spans="2:39" x14ac:dyDescent="0.15">
      <c r="B348" s="4"/>
      <c r="C348" s="4"/>
      <c r="AH348" s="6"/>
      <c r="AI348" s="4"/>
      <c r="AJ348" s="4"/>
      <c r="AL348" s="4"/>
      <c r="AM348" s="4"/>
    </row>
    <row r="349" spans="2:39" x14ac:dyDescent="0.15">
      <c r="B349" s="4"/>
      <c r="C349" s="4"/>
      <c r="AH349" s="6"/>
      <c r="AI349" s="4"/>
      <c r="AJ349" s="4"/>
      <c r="AL349" s="4"/>
      <c r="AM349" s="4"/>
    </row>
    <row r="350" spans="2:39" x14ac:dyDescent="0.15">
      <c r="B350" s="4"/>
      <c r="C350" s="4"/>
      <c r="AH350" s="6"/>
      <c r="AI350" s="4"/>
      <c r="AJ350" s="4"/>
      <c r="AL350" s="4"/>
      <c r="AM350" s="4"/>
    </row>
    <row r="351" spans="2:39" x14ac:dyDescent="0.15">
      <c r="B351" s="4"/>
      <c r="C351" s="4"/>
      <c r="AH351" s="6"/>
      <c r="AI351" s="4"/>
      <c r="AJ351" s="4"/>
      <c r="AL351" s="4"/>
      <c r="AM351" s="4"/>
    </row>
    <row r="352" spans="2:39" x14ac:dyDescent="0.15">
      <c r="B352" s="4"/>
      <c r="C352" s="4"/>
      <c r="AH352" s="6"/>
      <c r="AI352" s="4"/>
      <c r="AJ352" s="4"/>
      <c r="AL352" s="4"/>
      <c r="AM352" s="4"/>
    </row>
    <row r="353" spans="2:39" x14ac:dyDescent="0.15">
      <c r="B353" s="4"/>
      <c r="C353" s="4"/>
      <c r="AH353" s="6"/>
      <c r="AI353" s="4"/>
      <c r="AJ353" s="4"/>
      <c r="AL353" s="4"/>
      <c r="AM353" s="4"/>
    </row>
    <row r="354" spans="2:39" x14ac:dyDescent="0.15">
      <c r="B354" s="4"/>
      <c r="C354" s="4"/>
      <c r="AH354" s="6"/>
      <c r="AI354" s="4"/>
      <c r="AJ354" s="4"/>
      <c r="AL354" s="4"/>
      <c r="AM354" s="4"/>
    </row>
    <row r="355" spans="2:39" x14ac:dyDescent="0.15">
      <c r="B355" s="4"/>
      <c r="C355" s="4"/>
      <c r="AH355" s="6"/>
      <c r="AI355" s="4"/>
      <c r="AJ355" s="4"/>
      <c r="AL355" s="4"/>
      <c r="AM355" s="4"/>
    </row>
    <row r="356" spans="2:39" x14ac:dyDescent="0.15">
      <c r="B356" s="4"/>
      <c r="C356" s="4"/>
      <c r="AH356" s="6"/>
      <c r="AI356" s="4"/>
      <c r="AJ356" s="4"/>
      <c r="AL356" s="4"/>
      <c r="AM356" s="4"/>
    </row>
    <row r="357" spans="2:39" x14ac:dyDescent="0.15">
      <c r="B357" s="4"/>
      <c r="C357" s="4"/>
      <c r="AH357" s="6"/>
      <c r="AI357" s="4"/>
      <c r="AJ357" s="4"/>
      <c r="AL357" s="4"/>
      <c r="AM357" s="4"/>
    </row>
    <row r="358" spans="2:39" x14ac:dyDescent="0.15">
      <c r="B358" s="4"/>
      <c r="C358" s="4"/>
      <c r="AH358" s="6"/>
      <c r="AI358" s="4"/>
      <c r="AJ358" s="4"/>
      <c r="AL358" s="4"/>
      <c r="AM358" s="4"/>
    </row>
    <row r="359" spans="2:39" x14ac:dyDescent="0.15">
      <c r="B359" s="4"/>
      <c r="C359" s="4"/>
      <c r="AH359" s="6"/>
      <c r="AI359" s="4"/>
      <c r="AJ359" s="4"/>
      <c r="AL359" s="4"/>
      <c r="AM359" s="4"/>
    </row>
    <row r="360" spans="2:39" x14ac:dyDescent="0.15">
      <c r="B360" s="4"/>
      <c r="C360" s="4"/>
      <c r="AH360" s="6"/>
      <c r="AI360" s="4"/>
      <c r="AJ360" s="4"/>
      <c r="AL360" s="4"/>
      <c r="AM360" s="4"/>
    </row>
    <row r="361" spans="2:39" x14ac:dyDescent="0.15">
      <c r="B361" s="4"/>
      <c r="C361" s="4"/>
      <c r="AH361" s="6"/>
      <c r="AI361" s="4"/>
      <c r="AJ361" s="4"/>
      <c r="AL361" s="4"/>
      <c r="AM361" s="4"/>
    </row>
    <row r="362" spans="2:39" x14ac:dyDescent="0.15">
      <c r="B362" s="4"/>
      <c r="C362" s="4"/>
      <c r="AH362" s="6"/>
      <c r="AI362" s="4"/>
      <c r="AJ362" s="4"/>
      <c r="AL362" s="4"/>
      <c r="AM362" s="4"/>
    </row>
    <row r="363" spans="2:39" x14ac:dyDescent="0.15">
      <c r="B363" s="4"/>
      <c r="C363" s="4"/>
      <c r="AH363" s="6"/>
      <c r="AI363" s="4"/>
      <c r="AJ363" s="4"/>
      <c r="AL363" s="4"/>
      <c r="AM363" s="4"/>
    </row>
    <row r="364" spans="2:39" x14ac:dyDescent="0.15">
      <c r="B364" s="4"/>
      <c r="C364" s="4"/>
      <c r="AH364" s="6"/>
      <c r="AI364" s="4"/>
      <c r="AJ364" s="4"/>
      <c r="AL364" s="4"/>
      <c r="AM364" s="4"/>
    </row>
    <row r="365" spans="2:39" x14ac:dyDescent="0.15">
      <c r="B365" s="4"/>
      <c r="C365" s="4"/>
      <c r="AH365" s="6"/>
      <c r="AI365" s="4"/>
      <c r="AJ365" s="4"/>
      <c r="AL365" s="4"/>
      <c r="AM365" s="4"/>
    </row>
    <row r="366" spans="2:39" x14ac:dyDescent="0.15">
      <c r="B366" s="4"/>
      <c r="C366" s="4"/>
      <c r="AH366" s="6"/>
      <c r="AI366" s="4"/>
      <c r="AJ366" s="4"/>
      <c r="AL366" s="4"/>
      <c r="AM366" s="4"/>
    </row>
    <row r="367" spans="2:39" x14ac:dyDescent="0.15">
      <c r="B367" s="4"/>
      <c r="C367" s="4"/>
      <c r="AH367" s="6"/>
      <c r="AI367" s="4"/>
      <c r="AJ367" s="4"/>
      <c r="AL367" s="4"/>
      <c r="AM367" s="4"/>
    </row>
    <row r="368" spans="2:39" x14ac:dyDescent="0.15">
      <c r="B368" s="4"/>
      <c r="C368" s="4"/>
      <c r="AH368" s="6"/>
      <c r="AI368" s="4"/>
      <c r="AJ368" s="4"/>
      <c r="AL368" s="4"/>
      <c r="AM368" s="4"/>
    </row>
    <row r="369" spans="2:39" x14ac:dyDescent="0.15">
      <c r="B369" s="4"/>
      <c r="C369" s="4"/>
      <c r="AH369" s="6"/>
      <c r="AI369" s="4"/>
      <c r="AJ369" s="4"/>
      <c r="AL369" s="4"/>
      <c r="AM369" s="4"/>
    </row>
    <row r="370" spans="2:39" x14ac:dyDescent="0.15">
      <c r="B370" s="4"/>
      <c r="C370" s="4"/>
      <c r="AH370" s="6"/>
      <c r="AI370" s="4"/>
      <c r="AJ370" s="4"/>
      <c r="AL370" s="4"/>
      <c r="AM370" s="4"/>
    </row>
    <row r="371" spans="2:39" x14ac:dyDescent="0.15">
      <c r="B371" s="4"/>
      <c r="C371" s="4"/>
      <c r="AH371" s="6"/>
      <c r="AI371" s="4"/>
      <c r="AJ371" s="4"/>
      <c r="AL371" s="4"/>
      <c r="AM371" s="4"/>
    </row>
    <row r="372" spans="2:39" x14ac:dyDescent="0.15">
      <c r="B372" s="4"/>
      <c r="C372" s="4"/>
      <c r="AH372" s="6"/>
      <c r="AI372" s="4"/>
      <c r="AJ372" s="4"/>
      <c r="AL372" s="4"/>
      <c r="AM372" s="4"/>
    </row>
    <row r="373" spans="2:39" x14ac:dyDescent="0.15">
      <c r="B373" s="4"/>
      <c r="C373" s="4"/>
      <c r="AH373" s="6"/>
      <c r="AI373" s="4"/>
      <c r="AJ373" s="4"/>
      <c r="AL373" s="4"/>
      <c r="AM373" s="4"/>
    </row>
    <row r="374" spans="2:39" x14ac:dyDescent="0.15">
      <c r="B374" s="4"/>
      <c r="C374" s="4"/>
      <c r="AH374" s="6"/>
      <c r="AI374" s="4"/>
      <c r="AJ374" s="4"/>
      <c r="AL374" s="4"/>
      <c r="AM374" s="4"/>
    </row>
    <row r="375" spans="2:39" x14ac:dyDescent="0.15">
      <c r="B375" s="4"/>
      <c r="C375" s="4"/>
      <c r="AH375" s="6"/>
      <c r="AI375" s="4"/>
      <c r="AJ375" s="4"/>
      <c r="AL375" s="4"/>
      <c r="AM375" s="4"/>
    </row>
    <row r="376" spans="2:39" x14ac:dyDescent="0.15">
      <c r="B376" s="4"/>
      <c r="C376" s="4"/>
      <c r="AH376" s="6"/>
      <c r="AI376" s="4"/>
      <c r="AJ376" s="4"/>
      <c r="AL376" s="4"/>
      <c r="AM376" s="4"/>
    </row>
    <row r="377" spans="2:39" x14ac:dyDescent="0.15">
      <c r="B377" s="4"/>
      <c r="C377" s="4"/>
      <c r="AH377" s="6"/>
      <c r="AI377" s="4"/>
      <c r="AJ377" s="4"/>
      <c r="AL377" s="4"/>
      <c r="AM377" s="4"/>
    </row>
    <row r="378" spans="2:39" x14ac:dyDescent="0.15">
      <c r="B378" s="4"/>
      <c r="C378" s="4"/>
      <c r="AH378" s="6"/>
      <c r="AI378" s="4"/>
      <c r="AJ378" s="4"/>
      <c r="AL378" s="4"/>
      <c r="AM378" s="4"/>
    </row>
    <row r="379" spans="2:39" x14ac:dyDescent="0.15">
      <c r="B379" s="4"/>
      <c r="C379" s="4"/>
      <c r="AH379" s="6"/>
      <c r="AI379" s="4"/>
      <c r="AJ379" s="4"/>
      <c r="AL379" s="4"/>
      <c r="AM379" s="4"/>
    </row>
    <row r="380" spans="2:39" x14ac:dyDescent="0.15">
      <c r="B380" s="4"/>
      <c r="C380" s="4"/>
      <c r="AH380" s="6"/>
      <c r="AI380" s="4"/>
      <c r="AJ380" s="4"/>
      <c r="AL380" s="4"/>
      <c r="AM380" s="4"/>
    </row>
    <row r="381" spans="2:39" x14ac:dyDescent="0.15">
      <c r="B381" s="4"/>
      <c r="C381" s="4"/>
      <c r="AH381" s="6"/>
      <c r="AI381" s="4"/>
      <c r="AJ381" s="4"/>
      <c r="AL381" s="4"/>
      <c r="AM381" s="4"/>
    </row>
    <row r="382" spans="2:39" x14ac:dyDescent="0.15">
      <c r="B382" s="4"/>
      <c r="C382" s="4"/>
      <c r="AH382" s="6"/>
      <c r="AI382" s="4"/>
      <c r="AJ382" s="4"/>
      <c r="AL382" s="4"/>
      <c r="AM382" s="4"/>
    </row>
    <row r="383" spans="2:39" x14ac:dyDescent="0.15">
      <c r="B383" s="4"/>
      <c r="C383" s="4"/>
      <c r="AH383" s="6"/>
      <c r="AI383" s="4"/>
      <c r="AJ383" s="4"/>
      <c r="AL383" s="4"/>
      <c r="AM383" s="4"/>
    </row>
    <row r="384" spans="2:39" x14ac:dyDescent="0.15">
      <c r="B384" s="4"/>
      <c r="C384" s="4"/>
      <c r="AH384" s="6"/>
      <c r="AI384" s="4"/>
      <c r="AJ384" s="4"/>
      <c r="AL384" s="4"/>
      <c r="AM384" s="4"/>
    </row>
    <row r="385" spans="2:39" x14ac:dyDescent="0.15">
      <c r="B385" s="4"/>
      <c r="C385" s="4"/>
      <c r="AH385" s="6"/>
      <c r="AI385" s="4"/>
      <c r="AJ385" s="4"/>
      <c r="AL385" s="4"/>
      <c r="AM385" s="4"/>
    </row>
    <row r="386" spans="2:39" x14ac:dyDescent="0.15">
      <c r="B386" s="4"/>
      <c r="C386" s="4"/>
      <c r="AH386" s="6"/>
      <c r="AI386" s="4"/>
      <c r="AJ386" s="4"/>
      <c r="AL386" s="4"/>
      <c r="AM386" s="4"/>
    </row>
    <row r="387" spans="2:39" x14ac:dyDescent="0.15">
      <c r="B387" s="4"/>
      <c r="C387" s="4"/>
      <c r="AH387" s="6"/>
      <c r="AI387" s="4"/>
      <c r="AJ387" s="4"/>
      <c r="AL387" s="4"/>
      <c r="AM387" s="4"/>
    </row>
    <row r="388" spans="2:39" x14ac:dyDescent="0.15">
      <c r="B388" s="4"/>
      <c r="C388" s="4"/>
      <c r="AH388" s="6"/>
      <c r="AI388" s="4"/>
      <c r="AJ388" s="4"/>
      <c r="AL388" s="4"/>
      <c r="AM388" s="4"/>
    </row>
    <row r="389" spans="2:39" x14ac:dyDescent="0.15">
      <c r="B389" s="4"/>
      <c r="C389" s="4"/>
      <c r="AH389" s="6"/>
      <c r="AI389" s="4"/>
      <c r="AJ389" s="4"/>
      <c r="AL389" s="4"/>
      <c r="AM389" s="4"/>
    </row>
    <row r="390" spans="2:39" x14ac:dyDescent="0.15">
      <c r="B390" s="4"/>
      <c r="C390" s="4"/>
      <c r="AH390" s="6"/>
      <c r="AI390" s="4"/>
      <c r="AJ390" s="4"/>
      <c r="AL390" s="4"/>
      <c r="AM390" s="4"/>
    </row>
    <row r="391" spans="2:39" x14ac:dyDescent="0.15">
      <c r="B391" s="4"/>
      <c r="C391" s="4"/>
      <c r="AH391" s="6"/>
      <c r="AI391" s="4"/>
      <c r="AJ391" s="4"/>
      <c r="AL391" s="4"/>
      <c r="AM391" s="4"/>
    </row>
    <row r="392" spans="2:39" x14ac:dyDescent="0.15">
      <c r="B392" s="4"/>
      <c r="C392" s="4"/>
      <c r="AH392" s="6"/>
      <c r="AI392" s="4"/>
      <c r="AJ392" s="4"/>
      <c r="AL392" s="4"/>
      <c r="AM392" s="4"/>
    </row>
    <row r="393" spans="2:39" x14ac:dyDescent="0.15">
      <c r="B393" s="4"/>
      <c r="C393" s="4"/>
      <c r="AH393" s="6"/>
      <c r="AI393" s="4"/>
      <c r="AJ393" s="4"/>
      <c r="AL393" s="4"/>
      <c r="AM393" s="4"/>
    </row>
    <row r="394" spans="2:39" x14ac:dyDescent="0.15">
      <c r="B394" s="4"/>
      <c r="C394" s="4"/>
      <c r="AH394" s="6"/>
      <c r="AI394" s="4"/>
      <c r="AJ394" s="4"/>
      <c r="AL394" s="4"/>
      <c r="AM394" s="4"/>
    </row>
    <row r="395" spans="2:39" x14ac:dyDescent="0.15">
      <c r="B395" s="4"/>
      <c r="C395" s="4"/>
      <c r="AH395" s="6"/>
      <c r="AI395" s="4"/>
      <c r="AJ395" s="4"/>
      <c r="AL395" s="4"/>
      <c r="AM395" s="4"/>
    </row>
    <row r="396" spans="2:39" x14ac:dyDescent="0.15">
      <c r="B396" s="4"/>
      <c r="C396" s="4"/>
      <c r="AH396" s="6"/>
      <c r="AI396" s="4"/>
      <c r="AJ396" s="4"/>
      <c r="AL396" s="4"/>
      <c r="AM396" s="4"/>
    </row>
    <row r="397" spans="2:39" x14ac:dyDescent="0.15">
      <c r="B397" s="4"/>
      <c r="C397" s="4"/>
      <c r="AH397" s="6"/>
      <c r="AI397" s="4"/>
      <c r="AJ397" s="4"/>
      <c r="AL397" s="4"/>
      <c r="AM397" s="4"/>
    </row>
    <row r="398" spans="2:39" x14ac:dyDescent="0.15">
      <c r="B398" s="4"/>
      <c r="C398" s="4"/>
      <c r="AH398" s="6"/>
      <c r="AI398" s="4"/>
      <c r="AJ398" s="4"/>
      <c r="AL398" s="4"/>
      <c r="AM398" s="4"/>
    </row>
    <row r="399" spans="2:39" x14ac:dyDescent="0.15">
      <c r="B399" s="4"/>
      <c r="C399" s="4"/>
      <c r="AH399" s="6"/>
      <c r="AI399" s="4"/>
      <c r="AJ399" s="4"/>
      <c r="AL399" s="4"/>
      <c r="AM399" s="4"/>
    </row>
    <row r="400" spans="2:39" x14ac:dyDescent="0.15">
      <c r="B400" s="4"/>
      <c r="C400" s="4"/>
      <c r="AH400" s="6"/>
      <c r="AI400" s="4"/>
      <c r="AJ400" s="4"/>
      <c r="AL400" s="4"/>
      <c r="AM400" s="4"/>
    </row>
    <row r="401" spans="2:39" x14ac:dyDescent="0.15">
      <c r="B401" s="4"/>
      <c r="C401" s="4"/>
      <c r="AH401" s="6"/>
      <c r="AI401" s="4"/>
      <c r="AJ401" s="4"/>
      <c r="AL401" s="4"/>
      <c r="AM401" s="4"/>
    </row>
    <row r="402" spans="2:39" x14ac:dyDescent="0.15">
      <c r="B402" s="4"/>
      <c r="C402" s="4"/>
      <c r="AH402" s="6"/>
      <c r="AI402" s="4"/>
      <c r="AJ402" s="4"/>
      <c r="AL402" s="4"/>
      <c r="AM402" s="4"/>
    </row>
    <row r="403" spans="2:39" x14ac:dyDescent="0.15">
      <c r="B403" s="4"/>
      <c r="C403" s="4"/>
      <c r="AH403" s="6"/>
      <c r="AI403" s="4"/>
      <c r="AJ403" s="4"/>
      <c r="AL403" s="4"/>
      <c r="AM403" s="4"/>
    </row>
    <row r="404" spans="2:39" x14ac:dyDescent="0.15">
      <c r="B404" s="4"/>
      <c r="C404" s="4"/>
      <c r="AH404" s="6"/>
      <c r="AI404" s="4"/>
      <c r="AJ404" s="4"/>
      <c r="AL404" s="4"/>
      <c r="AM404" s="4"/>
    </row>
    <row r="405" spans="2:39" x14ac:dyDescent="0.15">
      <c r="B405" s="4"/>
      <c r="C405" s="4"/>
      <c r="AH405" s="6"/>
      <c r="AI405" s="4"/>
      <c r="AJ405" s="4"/>
      <c r="AL405" s="4"/>
      <c r="AM405" s="4"/>
    </row>
    <row r="406" spans="2:39" x14ac:dyDescent="0.15">
      <c r="B406" s="4"/>
      <c r="C406" s="4"/>
      <c r="AH406" s="6"/>
      <c r="AI406" s="4"/>
      <c r="AJ406" s="4"/>
      <c r="AL406" s="4"/>
      <c r="AM406" s="4"/>
    </row>
    <row r="407" spans="2:39" x14ac:dyDescent="0.15">
      <c r="B407" s="4"/>
      <c r="C407" s="4"/>
      <c r="AH407" s="6"/>
      <c r="AI407" s="4"/>
      <c r="AJ407" s="4"/>
      <c r="AL407" s="4"/>
      <c r="AM407" s="4"/>
    </row>
    <row r="408" spans="2:39" x14ac:dyDescent="0.15">
      <c r="B408" s="4"/>
      <c r="C408" s="4"/>
      <c r="AH408" s="6"/>
      <c r="AI408" s="4"/>
      <c r="AJ408" s="4"/>
      <c r="AL408" s="4"/>
      <c r="AM408" s="4"/>
    </row>
    <row r="409" spans="2:39" x14ac:dyDescent="0.15">
      <c r="B409" s="4"/>
      <c r="C409" s="4"/>
      <c r="AH409" s="6"/>
      <c r="AI409" s="4"/>
      <c r="AJ409" s="4"/>
      <c r="AL409" s="4"/>
      <c r="AM409" s="4"/>
    </row>
    <row r="410" spans="2:39" x14ac:dyDescent="0.15">
      <c r="B410" s="4"/>
      <c r="C410" s="4"/>
      <c r="AH410" s="6"/>
      <c r="AI410" s="4"/>
      <c r="AJ410" s="4"/>
      <c r="AL410" s="4"/>
      <c r="AM410" s="4"/>
    </row>
    <row r="411" spans="2:39" x14ac:dyDescent="0.15">
      <c r="B411" s="4"/>
      <c r="C411" s="4"/>
      <c r="AH411" s="6"/>
      <c r="AI411" s="4"/>
      <c r="AJ411" s="4"/>
      <c r="AL411" s="4"/>
      <c r="AM411" s="4"/>
    </row>
    <row r="412" spans="2:39" x14ac:dyDescent="0.15">
      <c r="B412" s="4"/>
      <c r="C412" s="4"/>
      <c r="AH412" s="6"/>
      <c r="AI412" s="4"/>
      <c r="AJ412" s="4"/>
      <c r="AL412" s="4"/>
      <c r="AM412" s="4"/>
    </row>
    <row r="413" spans="2:39" x14ac:dyDescent="0.15">
      <c r="B413" s="4"/>
      <c r="C413" s="4"/>
      <c r="AH413" s="6"/>
      <c r="AI413" s="4"/>
      <c r="AJ413" s="4"/>
      <c r="AL413" s="4"/>
      <c r="AM413" s="4"/>
    </row>
    <row r="414" spans="2:39" x14ac:dyDescent="0.15">
      <c r="B414" s="4"/>
      <c r="C414" s="4"/>
      <c r="AH414" s="6"/>
      <c r="AI414" s="4"/>
      <c r="AJ414" s="4"/>
      <c r="AL414" s="4"/>
      <c r="AM414" s="4"/>
    </row>
    <row r="415" spans="2:39" x14ac:dyDescent="0.15">
      <c r="B415" s="4"/>
      <c r="C415" s="4"/>
      <c r="AH415" s="6"/>
      <c r="AI415" s="4"/>
      <c r="AJ415" s="4"/>
      <c r="AL415" s="4"/>
      <c r="AM415" s="4"/>
    </row>
    <row r="416" spans="2:39" x14ac:dyDescent="0.15">
      <c r="B416" s="4"/>
      <c r="C416" s="4"/>
      <c r="AH416" s="6"/>
      <c r="AI416" s="4"/>
      <c r="AJ416" s="4"/>
      <c r="AL416" s="4"/>
      <c r="AM416" s="4"/>
    </row>
    <row r="417" spans="2:39" x14ac:dyDescent="0.15">
      <c r="B417" s="4"/>
      <c r="C417" s="4"/>
      <c r="AH417" s="6"/>
      <c r="AI417" s="4"/>
      <c r="AJ417" s="4"/>
      <c r="AL417" s="4"/>
      <c r="AM417" s="4"/>
    </row>
    <row r="418" spans="2:39" x14ac:dyDescent="0.15">
      <c r="B418" s="4"/>
      <c r="C418" s="4"/>
      <c r="AH418" s="6"/>
      <c r="AI418" s="4"/>
      <c r="AJ418" s="4"/>
      <c r="AL418" s="4"/>
      <c r="AM418" s="4"/>
    </row>
    <row r="419" spans="2:39" x14ac:dyDescent="0.15">
      <c r="B419" s="4"/>
      <c r="C419" s="4"/>
      <c r="AH419" s="6"/>
      <c r="AI419" s="4"/>
      <c r="AJ419" s="4"/>
      <c r="AL419" s="4"/>
      <c r="AM419" s="4"/>
    </row>
    <row r="420" spans="2:39" x14ac:dyDescent="0.15">
      <c r="B420" s="4"/>
      <c r="C420" s="4"/>
      <c r="AH420" s="6"/>
      <c r="AI420" s="4"/>
      <c r="AJ420" s="4"/>
      <c r="AL420" s="4"/>
      <c r="AM420" s="4"/>
    </row>
    <row r="421" spans="2:39" x14ac:dyDescent="0.15">
      <c r="B421" s="4"/>
      <c r="C421" s="4"/>
      <c r="AH421" s="6"/>
      <c r="AI421" s="4"/>
      <c r="AJ421" s="4"/>
      <c r="AL421" s="4"/>
      <c r="AM421" s="4"/>
    </row>
    <row r="422" spans="2:39" x14ac:dyDescent="0.15">
      <c r="B422" s="4"/>
      <c r="C422" s="4"/>
      <c r="AH422" s="6"/>
      <c r="AI422" s="4"/>
      <c r="AJ422" s="4"/>
      <c r="AL422" s="4"/>
      <c r="AM422" s="4"/>
    </row>
    <row r="423" spans="2:39" x14ac:dyDescent="0.15">
      <c r="B423" s="4"/>
      <c r="C423" s="4"/>
      <c r="AH423" s="6"/>
      <c r="AI423" s="4"/>
      <c r="AJ423" s="4"/>
      <c r="AL423" s="4"/>
      <c r="AM423" s="4"/>
    </row>
    <row r="424" spans="2:39" x14ac:dyDescent="0.15">
      <c r="B424" s="4"/>
      <c r="C424" s="4"/>
      <c r="AH424" s="6"/>
      <c r="AI424" s="4"/>
      <c r="AJ424" s="4"/>
      <c r="AL424" s="4"/>
      <c r="AM424" s="4"/>
    </row>
    <row r="425" spans="2:39" x14ac:dyDescent="0.15">
      <c r="B425" s="4"/>
      <c r="C425" s="4"/>
      <c r="AH425" s="6"/>
      <c r="AI425" s="4"/>
      <c r="AJ425" s="4"/>
      <c r="AL425" s="4"/>
      <c r="AM425" s="4"/>
    </row>
    <row r="426" spans="2:39" x14ac:dyDescent="0.15">
      <c r="B426" s="4"/>
      <c r="C426" s="4"/>
      <c r="AH426" s="6"/>
      <c r="AI426" s="4"/>
      <c r="AJ426" s="4"/>
      <c r="AL426" s="4"/>
      <c r="AM426" s="4"/>
    </row>
    <row r="427" spans="2:39" x14ac:dyDescent="0.15">
      <c r="B427" s="4"/>
      <c r="C427" s="4"/>
      <c r="AH427" s="6"/>
      <c r="AI427" s="4"/>
      <c r="AJ427" s="4"/>
      <c r="AL427" s="4"/>
      <c r="AM427" s="4"/>
    </row>
    <row r="428" spans="2:39" x14ac:dyDescent="0.15">
      <c r="B428" s="4"/>
      <c r="C428" s="4"/>
      <c r="AH428" s="6"/>
      <c r="AI428" s="4"/>
      <c r="AJ428" s="4"/>
      <c r="AL428" s="4"/>
      <c r="AM428" s="4"/>
    </row>
    <row r="429" spans="2:39" x14ac:dyDescent="0.15">
      <c r="B429" s="4"/>
      <c r="C429" s="4"/>
      <c r="AH429" s="6"/>
      <c r="AI429" s="4"/>
      <c r="AJ429" s="4"/>
      <c r="AL429" s="4"/>
      <c r="AM429" s="4"/>
    </row>
    <row r="430" spans="2:39" x14ac:dyDescent="0.15">
      <c r="B430" s="4"/>
      <c r="C430" s="4"/>
      <c r="AH430" s="6"/>
      <c r="AI430" s="4"/>
      <c r="AJ430" s="4"/>
      <c r="AL430" s="4"/>
      <c r="AM430" s="4"/>
    </row>
    <row r="431" spans="2:39" x14ac:dyDescent="0.15">
      <c r="B431" s="4"/>
      <c r="C431" s="4"/>
      <c r="AH431" s="6"/>
      <c r="AI431" s="4"/>
      <c r="AJ431" s="4"/>
      <c r="AL431" s="4"/>
      <c r="AM431" s="4"/>
    </row>
    <row r="432" spans="2:39" x14ac:dyDescent="0.15">
      <c r="B432" s="4"/>
      <c r="C432" s="4"/>
      <c r="AH432" s="6"/>
      <c r="AI432" s="4"/>
      <c r="AJ432" s="4"/>
      <c r="AL432" s="4"/>
      <c r="AM432" s="4"/>
    </row>
    <row r="433" spans="2:39" x14ac:dyDescent="0.15">
      <c r="B433" s="4"/>
      <c r="C433" s="4"/>
      <c r="AH433" s="6"/>
      <c r="AI433" s="4"/>
      <c r="AJ433" s="4"/>
      <c r="AL433" s="4"/>
      <c r="AM433" s="4"/>
    </row>
    <row r="434" spans="2:39" x14ac:dyDescent="0.15">
      <c r="B434" s="4"/>
      <c r="C434" s="4"/>
      <c r="AH434" s="6"/>
      <c r="AI434" s="4"/>
      <c r="AJ434" s="4"/>
      <c r="AL434" s="4"/>
      <c r="AM434" s="4"/>
    </row>
    <row r="435" spans="2:39" x14ac:dyDescent="0.15">
      <c r="B435" s="4"/>
      <c r="C435" s="4"/>
      <c r="AH435" s="6"/>
      <c r="AI435" s="4"/>
      <c r="AJ435" s="4"/>
      <c r="AL435" s="4"/>
      <c r="AM435" s="4"/>
    </row>
    <row r="436" spans="2:39" x14ac:dyDescent="0.15">
      <c r="B436" s="4"/>
      <c r="C436" s="4"/>
      <c r="AH436" s="6"/>
      <c r="AI436" s="4"/>
      <c r="AJ436" s="4"/>
      <c r="AL436" s="4"/>
      <c r="AM436" s="4"/>
    </row>
    <row r="437" spans="2:39" x14ac:dyDescent="0.15">
      <c r="B437" s="4"/>
      <c r="C437" s="4"/>
      <c r="AH437" s="6"/>
      <c r="AI437" s="4"/>
      <c r="AJ437" s="4"/>
      <c r="AL437" s="4"/>
      <c r="AM437" s="4"/>
    </row>
    <row r="438" spans="2:39" x14ac:dyDescent="0.15">
      <c r="B438" s="4"/>
      <c r="C438" s="4"/>
      <c r="AH438" s="6"/>
      <c r="AI438" s="4"/>
      <c r="AJ438" s="4"/>
      <c r="AL438" s="4"/>
      <c r="AM438" s="4"/>
    </row>
    <row r="439" spans="2:39" x14ac:dyDescent="0.15">
      <c r="B439" s="4"/>
      <c r="C439" s="4"/>
      <c r="AH439" s="6"/>
      <c r="AI439" s="4"/>
      <c r="AJ439" s="4"/>
      <c r="AL439" s="4"/>
      <c r="AM439" s="4"/>
    </row>
    <row r="440" spans="2:39" x14ac:dyDescent="0.15">
      <c r="B440" s="4"/>
      <c r="C440" s="4"/>
      <c r="AH440" s="6"/>
      <c r="AI440" s="4"/>
      <c r="AJ440" s="4"/>
      <c r="AL440" s="4"/>
      <c r="AM440" s="4"/>
    </row>
    <row r="441" spans="2:39" x14ac:dyDescent="0.15">
      <c r="B441" s="4"/>
      <c r="C441" s="4"/>
      <c r="AH441" s="6"/>
      <c r="AI441" s="4"/>
      <c r="AJ441" s="4"/>
      <c r="AL441" s="4"/>
      <c r="AM441" s="4"/>
    </row>
    <row r="442" spans="2:39" x14ac:dyDescent="0.15">
      <c r="B442" s="4"/>
      <c r="C442" s="4"/>
      <c r="AH442" s="6"/>
      <c r="AI442" s="4"/>
      <c r="AJ442" s="4"/>
      <c r="AL442" s="4"/>
      <c r="AM442" s="4"/>
    </row>
    <row r="443" spans="2:39" x14ac:dyDescent="0.15">
      <c r="B443" s="4"/>
      <c r="C443" s="4"/>
      <c r="AH443" s="6"/>
      <c r="AI443" s="4"/>
      <c r="AJ443" s="4"/>
      <c r="AL443" s="4"/>
      <c r="AM443" s="4"/>
    </row>
    <row r="444" spans="2:39" x14ac:dyDescent="0.15">
      <c r="B444" s="4"/>
      <c r="C444" s="4"/>
      <c r="AH444" s="6"/>
      <c r="AI444" s="4"/>
      <c r="AJ444" s="4"/>
      <c r="AL444" s="4"/>
      <c r="AM444" s="4"/>
    </row>
    <row r="445" spans="2:39" x14ac:dyDescent="0.15">
      <c r="B445" s="4"/>
      <c r="C445" s="4"/>
      <c r="AH445" s="6"/>
      <c r="AI445" s="4"/>
      <c r="AJ445" s="4"/>
      <c r="AL445" s="4"/>
      <c r="AM445" s="4"/>
    </row>
    <row r="446" spans="2:39" x14ac:dyDescent="0.15">
      <c r="B446" s="4"/>
      <c r="C446" s="4"/>
      <c r="AH446" s="6"/>
      <c r="AI446" s="4"/>
      <c r="AJ446" s="4"/>
      <c r="AL446" s="4"/>
      <c r="AM446" s="4"/>
    </row>
    <row r="447" spans="2:39" x14ac:dyDescent="0.15">
      <c r="B447" s="4"/>
      <c r="C447" s="4"/>
      <c r="AH447" s="6"/>
      <c r="AI447" s="4"/>
      <c r="AJ447" s="4"/>
      <c r="AL447" s="4"/>
      <c r="AM447" s="4"/>
    </row>
    <row r="448" spans="2:39" x14ac:dyDescent="0.15">
      <c r="B448" s="4"/>
      <c r="C448" s="4"/>
      <c r="AH448" s="6"/>
      <c r="AI448" s="4"/>
      <c r="AJ448" s="4"/>
      <c r="AL448" s="4"/>
      <c r="AM448" s="4"/>
    </row>
    <row r="449" spans="2:39" x14ac:dyDescent="0.15">
      <c r="B449" s="4"/>
      <c r="C449" s="4"/>
      <c r="AH449" s="6"/>
      <c r="AI449" s="4"/>
      <c r="AJ449" s="4"/>
      <c r="AL449" s="4"/>
      <c r="AM449" s="4"/>
    </row>
    <row r="450" spans="2:39" x14ac:dyDescent="0.15">
      <c r="B450" s="4"/>
      <c r="C450" s="4"/>
      <c r="AH450" s="6"/>
      <c r="AI450" s="4"/>
      <c r="AJ450" s="4"/>
      <c r="AL450" s="4"/>
      <c r="AM450" s="4"/>
    </row>
    <row r="451" spans="2:39" x14ac:dyDescent="0.15">
      <c r="B451" s="4"/>
      <c r="C451" s="4"/>
      <c r="AH451" s="6"/>
      <c r="AI451" s="4"/>
      <c r="AJ451" s="4"/>
      <c r="AL451" s="4"/>
      <c r="AM451" s="4"/>
    </row>
    <row r="452" spans="2:39" x14ac:dyDescent="0.15">
      <c r="B452" s="4"/>
      <c r="C452" s="4"/>
      <c r="AH452" s="6"/>
      <c r="AI452" s="4"/>
      <c r="AJ452" s="4"/>
      <c r="AL452" s="4"/>
      <c r="AM452" s="4"/>
    </row>
    <row r="453" spans="2:39" x14ac:dyDescent="0.15">
      <c r="B453" s="4"/>
      <c r="C453" s="4"/>
      <c r="AH453" s="6"/>
      <c r="AI453" s="4"/>
      <c r="AJ453" s="4"/>
      <c r="AL453" s="4"/>
      <c r="AM453" s="4"/>
    </row>
    <row r="454" spans="2:39" x14ac:dyDescent="0.15">
      <c r="B454" s="4"/>
      <c r="C454" s="4"/>
      <c r="AH454" s="6"/>
      <c r="AI454" s="4"/>
      <c r="AJ454" s="4"/>
      <c r="AL454" s="4"/>
      <c r="AM454" s="4"/>
    </row>
    <row r="455" spans="2:39" x14ac:dyDescent="0.15">
      <c r="B455" s="4"/>
      <c r="C455" s="4"/>
      <c r="AH455" s="6"/>
      <c r="AI455" s="4"/>
      <c r="AJ455" s="4"/>
      <c r="AL455" s="4"/>
      <c r="AM455" s="4"/>
    </row>
    <row r="456" spans="2:39" x14ac:dyDescent="0.15">
      <c r="B456" s="4"/>
      <c r="C456" s="4"/>
      <c r="AH456" s="6"/>
      <c r="AI456" s="4"/>
      <c r="AJ456" s="4"/>
      <c r="AL456" s="4"/>
      <c r="AM456" s="4"/>
    </row>
    <row r="457" spans="2:39" x14ac:dyDescent="0.15">
      <c r="B457" s="4"/>
      <c r="C457" s="4"/>
      <c r="AH457" s="6"/>
      <c r="AI457" s="4"/>
      <c r="AJ457" s="4"/>
      <c r="AL457" s="4"/>
      <c r="AM457" s="4"/>
    </row>
    <row r="458" spans="2:39" x14ac:dyDescent="0.15">
      <c r="B458" s="4"/>
      <c r="C458" s="4"/>
      <c r="AH458" s="6"/>
      <c r="AI458" s="4"/>
      <c r="AJ458" s="4"/>
      <c r="AL458" s="4"/>
      <c r="AM458" s="4"/>
    </row>
    <row r="459" spans="2:39" x14ac:dyDescent="0.15">
      <c r="B459" s="4"/>
      <c r="C459" s="4"/>
      <c r="AH459" s="6"/>
      <c r="AI459" s="4"/>
      <c r="AJ459" s="4"/>
      <c r="AL459" s="4"/>
      <c r="AM459" s="4"/>
    </row>
    <row r="460" spans="2:39" x14ac:dyDescent="0.15">
      <c r="B460" s="4"/>
      <c r="C460" s="4"/>
      <c r="AH460" s="6"/>
      <c r="AI460" s="4"/>
      <c r="AJ460" s="4"/>
      <c r="AL460" s="4"/>
      <c r="AM460" s="4"/>
    </row>
    <row r="461" spans="2:39" x14ac:dyDescent="0.15">
      <c r="B461" s="4"/>
      <c r="C461" s="4"/>
      <c r="AH461" s="6"/>
      <c r="AI461" s="4"/>
      <c r="AJ461" s="4"/>
      <c r="AL461" s="4"/>
      <c r="AM461" s="4"/>
    </row>
    <row r="462" spans="2:39" x14ac:dyDescent="0.15">
      <c r="B462" s="4"/>
      <c r="C462" s="4"/>
      <c r="AH462" s="6"/>
      <c r="AI462" s="4"/>
      <c r="AJ462" s="4"/>
      <c r="AL462" s="4"/>
      <c r="AM462" s="4"/>
    </row>
    <row r="463" spans="2:39" x14ac:dyDescent="0.15">
      <c r="B463" s="4"/>
      <c r="C463" s="4"/>
      <c r="AH463" s="6"/>
      <c r="AI463" s="4"/>
      <c r="AJ463" s="4"/>
      <c r="AL463" s="4"/>
      <c r="AM463" s="4"/>
    </row>
    <row r="464" spans="2:39" x14ac:dyDescent="0.15">
      <c r="B464" s="4"/>
      <c r="C464" s="4"/>
      <c r="AH464" s="6"/>
      <c r="AI464" s="4"/>
      <c r="AJ464" s="4"/>
      <c r="AL464" s="4"/>
      <c r="AM464" s="4"/>
    </row>
    <row r="465" spans="2:39" x14ac:dyDescent="0.15">
      <c r="B465" s="4"/>
      <c r="C465" s="4"/>
      <c r="AH465" s="6"/>
      <c r="AI465" s="4"/>
      <c r="AJ465" s="4"/>
      <c r="AL465" s="4"/>
      <c r="AM465" s="4"/>
    </row>
    <row r="466" spans="2:39" x14ac:dyDescent="0.15">
      <c r="B466" s="4"/>
      <c r="C466" s="4"/>
      <c r="AH466" s="6"/>
      <c r="AI466" s="4"/>
      <c r="AJ466" s="4"/>
      <c r="AL466" s="4"/>
      <c r="AM466" s="4"/>
    </row>
    <row r="467" spans="2:39" x14ac:dyDescent="0.15">
      <c r="B467" s="4"/>
      <c r="C467" s="4"/>
      <c r="AH467" s="6"/>
      <c r="AI467" s="4"/>
      <c r="AJ467" s="4"/>
      <c r="AL467" s="4"/>
      <c r="AM467" s="4"/>
    </row>
    <row r="468" spans="2:39" x14ac:dyDescent="0.15">
      <c r="B468" s="4"/>
      <c r="C468" s="4"/>
      <c r="AH468" s="6"/>
      <c r="AI468" s="4"/>
      <c r="AJ468" s="4"/>
      <c r="AL468" s="4"/>
      <c r="AM468" s="4"/>
    </row>
    <row r="469" spans="2:39" x14ac:dyDescent="0.15">
      <c r="B469" s="4"/>
      <c r="C469" s="4"/>
      <c r="AH469" s="6"/>
      <c r="AI469" s="4"/>
      <c r="AJ469" s="4"/>
      <c r="AL469" s="4"/>
      <c r="AM469" s="4"/>
    </row>
    <row r="470" spans="2:39" x14ac:dyDescent="0.15">
      <c r="B470" s="4"/>
      <c r="C470" s="4"/>
      <c r="AH470" s="6"/>
      <c r="AI470" s="4"/>
      <c r="AJ470" s="4"/>
      <c r="AL470" s="4"/>
      <c r="AM470" s="4"/>
    </row>
    <row r="471" spans="2:39" x14ac:dyDescent="0.15">
      <c r="B471" s="4"/>
      <c r="C471" s="4"/>
      <c r="AH471" s="6"/>
      <c r="AI471" s="4"/>
      <c r="AJ471" s="4"/>
      <c r="AL471" s="4"/>
      <c r="AM471" s="4"/>
    </row>
    <row r="472" spans="2:39" x14ac:dyDescent="0.15">
      <c r="B472" s="4"/>
      <c r="C472" s="4"/>
      <c r="AH472" s="6"/>
      <c r="AI472" s="4"/>
      <c r="AJ472" s="4"/>
      <c r="AL472" s="4"/>
      <c r="AM472" s="4"/>
    </row>
    <row r="473" spans="2:39" x14ac:dyDescent="0.15">
      <c r="B473" s="4"/>
      <c r="C473" s="4"/>
      <c r="AH473" s="6"/>
      <c r="AI473" s="4"/>
      <c r="AJ473" s="4"/>
      <c r="AL473" s="4"/>
      <c r="AM473" s="4"/>
    </row>
    <row r="474" spans="2:39" x14ac:dyDescent="0.15">
      <c r="B474" s="4"/>
      <c r="C474" s="4"/>
      <c r="AH474" s="6"/>
      <c r="AI474" s="4"/>
      <c r="AJ474" s="4"/>
      <c r="AL474" s="4"/>
      <c r="AM474" s="4"/>
    </row>
    <row r="475" spans="2:39" x14ac:dyDescent="0.15">
      <c r="B475" s="4"/>
      <c r="C475" s="4"/>
      <c r="AH475" s="6"/>
      <c r="AI475" s="4"/>
      <c r="AJ475" s="4"/>
      <c r="AL475" s="4"/>
      <c r="AM475" s="4"/>
    </row>
    <row r="476" spans="2:39" x14ac:dyDescent="0.15">
      <c r="B476" s="4"/>
      <c r="C476" s="4"/>
      <c r="AH476" s="6"/>
      <c r="AI476" s="4"/>
      <c r="AJ476" s="4"/>
      <c r="AL476" s="4"/>
      <c r="AM476" s="4"/>
    </row>
    <row r="477" spans="2:39" x14ac:dyDescent="0.15">
      <c r="B477" s="4"/>
      <c r="C477" s="4"/>
      <c r="AH477" s="6"/>
      <c r="AI477" s="4"/>
      <c r="AJ477" s="4"/>
      <c r="AL477" s="4"/>
      <c r="AM477" s="4"/>
    </row>
    <row r="478" spans="2:39" x14ac:dyDescent="0.15">
      <c r="B478" s="4"/>
      <c r="C478" s="4"/>
      <c r="AH478" s="6"/>
      <c r="AI478" s="4"/>
      <c r="AJ478" s="4"/>
      <c r="AL478" s="4"/>
      <c r="AM478" s="4"/>
    </row>
    <row r="479" spans="2:39" x14ac:dyDescent="0.15">
      <c r="B479" s="4"/>
      <c r="C479" s="4"/>
      <c r="AH479" s="6"/>
      <c r="AI479" s="4"/>
      <c r="AJ479" s="4"/>
      <c r="AL479" s="4"/>
      <c r="AM479" s="4"/>
    </row>
    <row r="480" spans="2:39" x14ac:dyDescent="0.15">
      <c r="B480" s="4"/>
      <c r="C480" s="4"/>
      <c r="AH480" s="6"/>
      <c r="AI480" s="4"/>
      <c r="AJ480" s="4"/>
      <c r="AL480" s="4"/>
      <c r="AM480" s="4"/>
    </row>
    <row r="481" spans="2:39" x14ac:dyDescent="0.15">
      <c r="B481" s="4"/>
      <c r="C481" s="4"/>
      <c r="AH481" s="6"/>
      <c r="AI481" s="4"/>
      <c r="AJ481" s="4"/>
      <c r="AL481" s="4"/>
      <c r="AM481" s="4"/>
    </row>
    <row r="482" spans="2:39" x14ac:dyDescent="0.15">
      <c r="B482" s="4"/>
      <c r="C482" s="4"/>
      <c r="AH482" s="6"/>
      <c r="AI482" s="4"/>
      <c r="AJ482" s="4"/>
      <c r="AL482" s="4"/>
      <c r="AM482" s="4"/>
    </row>
    <row r="483" spans="2:39" x14ac:dyDescent="0.15">
      <c r="B483" s="4"/>
      <c r="C483" s="4"/>
      <c r="AH483" s="6"/>
      <c r="AI483" s="4"/>
      <c r="AJ483" s="4"/>
      <c r="AL483" s="4"/>
      <c r="AM483" s="4"/>
    </row>
    <row r="484" spans="2:39" x14ac:dyDescent="0.15">
      <c r="B484" s="4"/>
      <c r="C484" s="4"/>
      <c r="AH484" s="6"/>
      <c r="AI484" s="4"/>
      <c r="AJ484" s="4"/>
      <c r="AL484" s="4"/>
      <c r="AM484" s="4"/>
    </row>
    <row r="485" spans="2:39" x14ac:dyDescent="0.15">
      <c r="B485" s="4"/>
      <c r="C485" s="4"/>
      <c r="AH485" s="6"/>
      <c r="AI485" s="4"/>
      <c r="AJ485" s="4"/>
      <c r="AL485" s="4"/>
      <c r="AM485" s="4"/>
    </row>
    <row r="486" spans="2:39" x14ac:dyDescent="0.15">
      <c r="B486" s="4"/>
      <c r="C486" s="4"/>
      <c r="AH486" s="6"/>
      <c r="AI486" s="4"/>
      <c r="AJ486" s="4"/>
      <c r="AL486" s="4"/>
      <c r="AM486" s="4"/>
    </row>
    <row r="487" spans="2:39" x14ac:dyDescent="0.15">
      <c r="B487" s="4"/>
      <c r="C487" s="4"/>
      <c r="AH487" s="6"/>
      <c r="AI487" s="4"/>
      <c r="AJ487" s="4"/>
      <c r="AL487" s="4"/>
      <c r="AM487" s="4"/>
    </row>
    <row r="488" spans="2:39" x14ac:dyDescent="0.15">
      <c r="B488" s="4"/>
      <c r="C488" s="4"/>
      <c r="AH488" s="6"/>
      <c r="AI488" s="4"/>
      <c r="AJ488" s="4"/>
      <c r="AL488" s="4"/>
      <c r="AM488" s="4"/>
    </row>
    <row r="489" spans="2:39" x14ac:dyDescent="0.15">
      <c r="B489" s="4"/>
      <c r="C489" s="4"/>
      <c r="AH489" s="6"/>
      <c r="AI489" s="4"/>
      <c r="AJ489" s="4"/>
      <c r="AL489" s="4"/>
      <c r="AM489" s="4"/>
    </row>
    <row r="490" spans="2:39" x14ac:dyDescent="0.15">
      <c r="B490" s="4"/>
      <c r="C490" s="4"/>
      <c r="AH490" s="6"/>
      <c r="AI490" s="4"/>
      <c r="AJ490" s="4"/>
      <c r="AL490" s="4"/>
      <c r="AM490" s="4"/>
    </row>
    <row r="491" spans="2:39" x14ac:dyDescent="0.15">
      <c r="B491" s="4"/>
      <c r="C491" s="4"/>
      <c r="AH491" s="6"/>
      <c r="AI491" s="4"/>
      <c r="AJ491" s="4"/>
      <c r="AL491" s="4"/>
      <c r="AM491" s="4"/>
    </row>
    <row r="492" spans="2:39" x14ac:dyDescent="0.15">
      <c r="B492" s="4"/>
      <c r="C492" s="4"/>
      <c r="AH492" s="6"/>
      <c r="AI492" s="4"/>
      <c r="AJ492" s="4"/>
      <c r="AL492" s="4"/>
      <c r="AM492" s="4"/>
    </row>
    <row r="493" spans="2:39" x14ac:dyDescent="0.15">
      <c r="B493" s="4"/>
      <c r="C493" s="4"/>
      <c r="AH493" s="6"/>
      <c r="AI493" s="4"/>
      <c r="AJ493" s="4"/>
      <c r="AL493" s="4"/>
      <c r="AM493" s="4"/>
    </row>
    <row r="494" spans="2:39" x14ac:dyDescent="0.15">
      <c r="B494" s="4"/>
      <c r="C494" s="4"/>
      <c r="AH494" s="6"/>
      <c r="AI494" s="4"/>
      <c r="AJ494" s="4"/>
      <c r="AL494" s="4"/>
      <c r="AM494" s="4"/>
    </row>
    <row r="495" spans="2:39" x14ac:dyDescent="0.15">
      <c r="B495" s="4"/>
      <c r="C495" s="4"/>
      <c r="AH495" s="6"/>
      <c r="AI495" s="4"/>
      <c r="AJ495" s="4"/>
      <c r="AL495" s="4"/>
      <c r="AM495" s="4"/>
    </row>
    <row r="496" spans="2:39" x14ac:dyDescent="0.15">
      <c r="B496" s="4"/>
      <c r="C496" s="4"/>
      <c r="AH496" s="6"/>
      <c r="AI496" s="4"/>
      <c r="AJ496" s="4"/>
      <c r="AL496" s="4"/>
      <c r="AM496" s="4"/>
    </row>
    <row r="497" spans="2:39" x14ac:dyDescent="0.15">
      <c r="B497" s="4"/>
      <c r="C497" s="4"/>
      <c r="AH497" s="6"/>
      <c r="AI497" s="4"/>
      <c r="AJ497" s="4"/>
      <c r="AL497" s="4"/>
      <c r="AM497" s="4"/>
    </row>
    <row r="498" spans="2:39" x14ac:dyDescent="0.15">
      <c r="B498" s="4"/>
      <c r="C498" s="4"/>
      <c r="AH498" s="6"/>
      <c r="AI498" s="4"/>
      <c r="AJ498" s="4"/>
      <c r="AL498" s="4"/>
      <c r="AM498" s="4"/>
    </row>
    <row r="499" spans="2:39" x14ac:dyDescent="0.15">
      <c r="B499" s="4"/>
      <c r="C499" s="4"/>
      <c r="AH499" s="6"/>
      <c r="AI499" s="4"/>
      <c r="AJ499" s="4"/>
      <c r="AL499" s="4"/>
      <c r="AM499" s="4"/>
    </row>
    <row r="500" spans="2:39" x14ac:dyDescent="0.15">
      <c r="B500" s="4"/>
      <c r="C500" s="4"/>
      <c r="AH500" s="6"/>
      <c r="AI500" s="4"/>
      <c r="AJ500" s="4"/>
      <c r="AL500" s="4"/>
      <c r="AM500" s="4"/>
    </row>
    <row r="501" spans="2:39" x14ac:dyDescent="0.15">
      <c r="B501" s="4"/>
      <c r="C501" s="4"/>
      <c r="AH501" s="6"/>
      <c r="AI501" s="4"/>
      <c r="AJ501" s="4"/>
      <c r="AL501" s="4"/>
      <c r="AM501" s="4"/>
    </row>
    <row r="502" spans="2:39" x14ac:dyDescent="0.15">
      <c r="B502" s="4"/>
      <c r="C502" s="4"/>
      <c r="AH502" s="6"/>
      <c r="AI502" s="4"/>
      <c r="AJ502" s="4"/>
      <c r="AL502" s="4"/>
      <c r="AM502" s="4"/>
    </row>
    <row r="503" spans="2:39" x14ac:dyDescent="0.15">
      <c r="B503" s="4"/>
      <c r="C503" s="4"/>
      <c r="AH503" s="6"/>
      <c r="AI503" s="4"/>
      <c r="AJ503" s="4"/>
      <c r="AL503" s="4"/>
      <c r="AM503" s="4"/>
    </row>
    <row r="504" spans="2:39" x14ac:dyDescent="0.15">
      <c r="B504" s="4"/>
      <c r="C504" s="4"/>
      <c r="AH504" s="6"/>
      <c r="AI504" s="4"/>
      <c r="AJ504" s="4"/>
      <c r="AL504" s="4"/>
      <c r="AM504" s="4"/>
    </row>
    <row r="505" spans="2:39" x14ac:dyDescent="0.15">
      <c r="B505" s="4"/>
      <c r="C505" s="4"/>
      <c r="AH505" s="6"/>
      <c r="AI505" s="4"/>
      <c r="AJ505" s="4"/>
      <c r="AL505" s="4"/>
      <c r="AM505" s="4"/>
    </row>
    <row r="506" spans="2:39" x14ac:dyDescent="0.15">
      <c r="B506" s="4"/>
      <c r="C506" s="4"/>
      <c r="AH506" s="6"/>
      <c r="AI506" s="4"/>
      <c r="AJ506" s="4"/>
      <c r="AL506" s="4"/>
      <c r="AM506" s="4"/>
    </row>
    <row r="507" spans="2:39" x14ac:dyDescent="0.15">
      <c r="B507" s="4"/>
      <c r="C507" s="4"/>
      <c r="AH507" s="6"/>
      <c r="AI507" s="4"/>
      <c r="AJ507" s="4"/>
      <c r="AL507" s="4"/>
      <c r="AM507" s="4"/>
    </row>
    <row r="508" spans="2:39" x14ac:dyDescent="0.15">
      <c r="B508" s="4"/>
      <c r="C508" s="4"/>
      <c r="AH508" s="6"/>
      <c r="AI508" s="4"/>
      <c r="AJ508" s="4"/>
      <c r="AL508" s="4"/>
      <c r="AM508" s="4"/>
    </row>
    <row r="509" spans="2:39" x14ac:dyDescent="0.15">
      <c r="B509" s="4"/>
      <c r="C509" s="4"/>
      <c r="AH509" s="6"/>
      <c r="AI509" s="4"/>
      <c r="AJ509" s="4"/>
      <c r="AL509" s="4"/>
      <c r="AM509" s="4"/>
    </row>
    <row r="510" spans="2:39" x14ac:dyDescent="0.15">
      <c r="B510" s="4"/>
      <c r="C510" s="4"/>
      <c r="AH510" s="6"/>
      <c r="AI510" s="4"/>
      <c r="AJ510" s="4"/>
      <c r="AL510" s="4"/>
      <c r="AM510" s="4"/>
    </row>
    <row r="511" spans="2:39" x14ac:dyDescent="0.15">
      <c r="B511" s="4"/>
      <c r="C511" s="4"/>
      <c r="AH511" s="6"/>
      <c r="AI511" s="4"/>
      <c r="AJ511" s="4"/>
      <c r="AL511" s="4"/>
      <c r="AM511" s="4"/>
    </row>
    <row r="512" spans="2:39" x14ac:dyDescent="0.15">
      <c r="B512" s="4"/>
      <c r="C512" s="4"/>
      <c r="AH512" s="6"/>
      <c r="AI512" s="4"/>
      <c r="AJ512" s="4"/>
      <c r="AL512" s="4"/>
      <c r="AM512" s="4"/>
    </row>
    <row r="513" spans="2:39" x14ac:dyDescent="0.15">
      <c r="B513" s="4"/>
      <c r="C513" s="4"/>
      <c r="AH513" s="6"/>
      <c r="AI513" s="4"/>
      <c r="AJ513" s="4"/>
      <c r="AL513" s="4"/>
      <c r="AM513" s="4"/>
    </row>
    <row r="514" spans="2:39" x14ac:dyDescent="0.15">
      <c r="B514" s="4"/>
      <c r="C514" s="4"/>
      <c r="AH514" s="6"/>
      <c r="AI514" s="4"/>
      <c r="AJ514" s="4"/>
      <c r="AL514" s="4"/>
      <c r="AM514" s="4"/>
    </row>
    <row r="515" spans="2:39" x14ac:dyDescent="0.15">
      <c r="B515" s="4"/>
      <c r="C515" s="4"/>
      <c r="AH515" s="6"/>
      <c r="AI515" s="4"/>
      <c r="AJ515" s="4"/>
      <c r="AL515" s="4"/>
      <c r="AM515" s="4"/>
    </row>
    <row r="516" spans="2:39" x14ac:dyDescent="0.15">
      <c r="B516" s="4"/>
      <c r="C516" s="4"/>
      <c r="AH516" s="6"/>
      <c r="AI516" s="4"/>
      <c r="AJ516" s="4"/>
      <c r="AL516" s="4"/>
      <c r="AM516" s="4"/>
    </row>
    <row r="517" spans="2:39" x14ac:dyDescent="0.15">
      <c r="B517" s="4"/>
      <c r="C517" s="4"/>
      <c r="AH517" s="6"/>
      <c r="AI517" s="4"/>
      <c r="AJ517" s="4"/>
      <c r="AL517" s="4"/>
      <c r="AM517" s="4"/>
    </row>
    <row r="518" spans="2:39" x14ac:dyDescent="0.15">
      <c r="B518" s="4"/>
      <c r="C518" s="4"/>
      <c r="AH518" s="6"/>
      <c r="AI518" s="4"/>
      <c r="AJ518" s="4"/>
      <c r="AL518" s="4"/>
      <c r="AM518" s="4"/>
    </row>
    <row r="519" spans="2:39" x14ac:dyDescent="0.15">
      <c r="B519" s="4"/>
      <c r="C519" s="4"/>
      <c r="AH519" s="6"/>
      <c r="AI519" s="4"/>
      <c r="AJ519" s="4"/>
      <c r="AL519" s="4"/>
      <c r="AM519" s="4"/>
    </row>
    <row r="520" spans="2:39" x14ac:dyDescent="0.15">
      <c r="B520" s="4"/>
      <c r="C520" s="4"/>
      <c r="AH520" s="6"/>
      <c r="AI520" s="4"/>
      <c r="AJ520" s="4"/>
      <c r="AL520" s="4"/>
      <c r="AM520" s="4"/>
    </row>
    <row r="521" spans="2:39" x14ac:dyDescent="0.15">
      <c r="B521" s="4"/>
      <c r="C521" s="4"/>
      <c r="AH521" s="6"/>
      <c r="AI521" s="4"/>
      <c r="AJ521" s="4"/>
      <c r="AL521" s="4"/>
      <c r="AM521" s="4"/>
    </row>
    <row r="522" spans="2:39" x14ac:dyDescent="0.15">
      <c r="B522" s="4"/>
      <c r="C522" s="4"/>
      <c r="AH522" s="6"/>
      <c r="AI522" s="4"/>
      <c r="AJ522" s="4"/>
      <c r="AL522" s="4"/>
      <c r="AM522" s="4"/>
    </row>
    <row r="523" spans="2:39" x14ac:dyDescent="0.15">
      <c r="B523" s="4"/>
      <c r="C523" s="4"/>
      <c r="AH523" s="6"/>
      <c r="AI523" s="4"/>
      <c r="AJ523" s="4"/>
      <c r="AL523" s="4"/>
      <c r="AM523" s="4"/>
    </row>
    <row r="524" spans="2:39" x14ac:dyDescent="0.15">
      <c r="B524" s="4"/>
      <c r="C524" s="4"/>
      <c r="AH524" s="6"/>
      <c r="AI524" s="4"/>
      <c r="AJ524" s="4"/>
      <c r="AL524" s="4"/>
      <c r="AM524" s="4"/>
    </row>
    <row r="525" spans="2:39" x14ac:dyDescent="0.15">
      <c r="B525" s="4"/>
      <c r="C525" s="4"/>
      <c r="AH525" s="6"/>
      <c r="AI525" s="4"/>
      <c r="AJ525" s="4"/>
      <c r="AL525" s="4"/>
      <c r="AM525" s="4"/>
    </row>
    <row r="526" spans="2:39" x14ac:dyDescent="0.15">
      <c r="B526" s="4"/>
      <c r="C526" s="4"/>
      <c r="AH526" s="6"/>
      <c r="AI526" s="4"/>
      <c r="AJ526" s="4"/>
      <c r="AL526" s="4"/>
      <c r="AM526" s="4"/>
    </row>
    <row r="527" spans="2:39" x14ac:dyDescent="0.15">
      <c r="B527" s="4"/>
      <c r="C527" s="4"/>
      <c r="AH527" s="6"/>
      <c r="AI527" s="4"/>
      <c r="AJ527" s="4"/>
      <c r="AL527" s="4"/>
      <c r="AM527" s="4"/>
    </row>
    <row r="528" spans="2:39" x14ac:dyDescent="0.15">
      <c r="B528" s="4"/>
      <c r="C528" s="4"/>
      <c r="AH528" s="6"/>
      <c r="AI528" s="4"/>
      <c r="AJ528" s="4"/>
      <c r="AL528" s="4"/>
      <c r="AM528" s="4"/>
    </row>
    <row r="529" spans="2:39" x14ac:dyDescent="0.15">
      <c r="B529" s="4"/>
      <c r="C529" s="4"/>
      <c r="AH529" s="6"/>
      <c r="AI529" s="4"/>
      <c r="AJ529" s="4"/>
      <c r="AL529" s="4"/>
      <c r="AM529" s="4"/>
    </row>
    <row r="530" spans="2:39" x14ac:dyDescent="0.15">
      <c r="B530" s="4"/>
      <c r="C530" s="4"/>
      <c r="AH530" s="6"/>
      <c r="AI530" s="4"/>
      <c r="AJ530" s="4"/>
      <c r="AL530" s="4"/>
      <c r="AM530" s="4"/>
    </row>
    <row r="531" spans="2:39" x14ac:dyDescent="0.15">
      <c r="B531" s="4"/>
      <c r="C531" s="4"/>
      <c r="AH531" s="6"/>
      <c r="AI531" s="4"/>
      <c r="AJ531" s="4"/>
      <c r="AL531" s="4"/>
      <c r="AM531" s="4"/>
    </row>
    <row r="532" spans="2:39" x14ac:dyDescent="0.15">
      <c r="B532" s="4"/>
      <c r="C532" s="4"/>
      <c r="AH532" s="6"/>
      <c r="AI532" s="4"/>
      <c r="AJ532" s="4"/>
      <c r="AL532" s="4"/>
      <c r="AM532" s="4"/>
    </row>
    <row r="533" spans="2:39" x14ac:dyDescent="0.15">
      <c r="B533" s="4"/>
      <c r="C533" s="4"/>
      <c r="AH533" s="6"/>
      <c r="AI533" s="4"/>
      <c r="AJ533" s="4"/>
      <c r="AL533" s="4"/>
      <c r="AM533" s="4"/>
    </row>
    <row r="534" spans="2:39" x14ac:dyDescent="0.15">
      <c r="B534" s="4"/>
      <c r="C534" s="4"/>
      <c r="AH534" s="6"/>
      <c r="AI534" s="4"/>
      <c r="AJ534" s="4"/>
      <c r="AL534" s="4"/>
      <c r="AM534" s="4"/>
    </row>
    <row r="535" spans="2:39" x14ac:dyDescent="0.15">
      <c r="B535" s="4"/>
      <c r="C535" s="4"/>
      <c r="AH535" s="6"/>
      <c r="AI535" s="4"/>
      <c r="AJ535" s="4"/>
      <c r="AL535" s="4"/>
      <c r="AM535" s="4"/>
    </row>
    <row r="536" spans="2:39" x14ac:dyDescent="0.15">
      <c r="B536" s="4"/>
      <c r="C536" s="4"/>
      <c r="AH536" s="6"/>
      <c r="AI536" s="4"/>
      <c r="AJ536" s="4"/>
      <c r="AL536" s="4"/>
      <c r="AM536" s="4"/>
    </row>
    <row r="537" spans="2:39" x14ac:dyDescent="0.15">
      <c r="B537" s="4"/>
      <c r="C537" s="4"/>
      <c r="AH537" s="6"/>
      <c r="AI537" s="4"/>
      <c r="AJ537" s="4"/>
      <c r="AL537" s="4"/>
      <c r="AM537" s="4"/>
    </row>
    <row r="538" spans="2:39" x14ac:dyDescent="0.15">
      <c r="B538" s="4"/>
      <c r="C538" s="4"/>
      <c r="AH538" s="6"/>
      <c r="AI538" s="4"/>
      <c r="AJ538" s="4"/>
      <c r="AL538" s="4"/>
      <c r="AM538" s="4"/>
    </row>
    <row r="539" spans="2:39" x14ac:dyDescent="0.15">
      <c r="B539" s="4"/>
      <c r="C539" s="4"/>
      <c r="AH539" s="6"/>
      <c r="AI539" s="4"/>
      <c r="AJ539" s="4"/>
      <c r="AL539" s="4"/>
      <c r="AM539" s="4"/>
    </row>
    <row r="540" spans="2:39" x14ac:dyDescent="0.15">
      <c r="B540" s="4"/>
      <c r="C540" s="4"/>
      <c r="AH540" s="6"/>
      <c r="AI540" s="4"/>
      <c r="AJ540" s="4"/>
      <c r="AL540" s="4"/>
      <c r="AM540" s="4"/>
    </row>
    <row r="541" spans="2:39" x14ac:dyDescent="0.15">
      <c r="B541" s="4"/>
      <c r="C541" s="4"/>
      <c r="AH541" s="6"/>
      <c r="AI541" s="4"/>
      <c r="AJ541" s="4"/>
      <c r="AL541" s="4"/>
      <c r="AM541" s="4"/>
    </row>
    <row r="542" spans="2:39" x14ac:dyDescent="0.15">
      <c r="B542" s="4"/>
      <c r="C542" s="4"/>
      <c r="AH542" s="6"/>
      <c r="AI542" s="4"/>
      <c r="AJ542" s="4"/>
      <c r="AL542" s="4"/>
      <c r="AM542" s="4"/>
    </row>
    <row r="543" spans="2:39" x14ac:dyDescent="0.15">
      <c r="B543" s="4"/>
      <c r="C543" s="4"/>
      <c r="AH543" s="6"/>
      <c r="AI543" s="4"/>
      <c r="AJ543" s="4"/>
      <c r="AL543" s="4"/>
      <c r="AM543" s="4"/>
    </row>
    <row r="544" spans="2:39" x14ac:dyDescent="0.15">
      <c r="B544" s="4"/>
      <c r="C544" s="4"/>
      <c r="AH544" s="6"/>
      <c r="AI544" s="4"/>
      <c r="AJ544" s="4"/>
      <c r="AL544" s="4"/>
      <c r="AM544" s="4"/>
    </row>
    <row r="545" spans="2:39" x14ac:dyDescent="0.15">
      <c r="B545" s="4"/>
      <c r="C545" s="4"/>
      <c r="AH545" s="6"/>
      <c r="AI545" s="4"/>
      <c r="AJ545" s="4"/>
      <c r="AL545" s="4"/>
      <c r="AM545" s="4"/>
    </row>
    <row r="546" spans="2:39" x14ac:dyDescent="0.15">
      <c r="B546" s="4"/>
      <c r="C546" s="4"/>
      <c r="AH546" s="6"/>
      <c r="AI546" s="4"/>
      <c r="AJ546" s="4"/>
      <c r="AL546" s="4"/>
      <c r="AM546" s="4"/>
    </row>
    <row r="547" spans="2:39" x14ac:dyDescent="0.15">
      <c r="B547" s="4"/>
      <c r="C547" s="4"/>
      <c r="AH547" s="6"/>
      <c r="AI547" s="4"/>
      <c r="AJ547" s="4"/>
      <c r="AL547" s="4"/>
      <c r="AM547" s="4"/>
    </row>
    <row r="548" spans="2:39" x14ac:dyDescent="0.15">
      <c r="B548" s="4"/>
      <c r="C548" s="4"/>
      <c r="AH548" s="6"/>
      <c r="AI548" s="4"/>
      <c r="AJ548" s="4"/>
      <c r="AL548" s="4"/>
      <c r="AM548" s="4"/>
    </row>
    <row r="549" spans="2:39" x14ac:dyDescent="0.15">
      <c r="B549" s="4"/>
      <c r="C549" s="4"/>
      <c r="AH549" s="6"/>
      <c r="AI549" s="4"/>
      <c r="AJ549" s="4"/>
      <c r="AL549" s="4"/>
      <c r="AM549" s="4"/>
    </row>
    <row r="550" spans="2:39" x14ac:dyDescent="0.15">
      <c r="B550" s="4"/>
      <c r="C550" s="4"/>
      <c r="AH550" s="6"/>
      <c r="AI550" s="4"/>
      <c r="AJ550" s="4"/>
      <c r="AL550" s="4"/>
      <c r="AM550" s="4"/>
    </row>
    <row r="551" spans="2:39" x14ac:dyDescent="0.15">
      <c r="B551" s="4"/>
      <c r="C551" s="4"/>
      <c r="AH551" s="6"/>
      <c r="AI551" s="4"/>
      <c r="AJ551" s="4"/>
      <c r="AL551" s="4"/>
      <c r="AM551" s="4"/>
    </row>
    <row r="552" spans="2:39" x14ac:dyDescent="0.15">
      <c r="B552" s="4"/>
      <c r="C552" s="4"/>
      <c r="AH552" s="6"/>
      <c r="AI552" s="4"/>
      <c r="AJ552" s="4"/>
      <c r="AL552" s="4"/>
      <c r="AM552" s="4"/>
    </row>
    <row r="553" spans="2:39" x14ac:dyDescent="0.15">
      <c r="B553" s="4"/>
      <c r="C553" s="4"/>
      <c r="AH553" s="6"/>
      <c r="AI553" s="4"/>
      <c r="AJ553" s="4"/>
      <c r="AL553" s="4"/>
      <c r="AM553" s="4"/>
    </row>
    <row r="554" spans="2:39" x14ac:dyDescent="0.15">
      <c r="B554" s="4"/>
      <c r="C554" s="4"/>
      <c r="AH554" s="6"/>
      <c r="AI554" s="4"/>
      <c r="AJ554" s="4"/>
      <c r="AL554" s="4"/>
      <c r="AM554" s="4"/>
    </row>
    <row r="555" spans="2:39" x14ac:dyDescent="0.15">
      <c r="B555" s="4"/>
      <c r="C555" s="4"/>
      <c r="AH555" s="6"/>
      <c r="AI555" s="4"/>
      <c r="AJ555" s="4"/>
      <c r="AL555" s="4"/>
      <c r="AM555" s="4"/>
    </row>
    <row r="556" spans="2:39" x14ac:dyDescent="0.15">
      <c r="B556" s="4"/>
      <c r="C556" s="4"/>
      <c r="AH556" s="6"/>
      <c r="AI556" s="4"/>
      <c r="AJ556" s="4"/>
      <c r="AL556" s="4"/>
      <c r="AM556" s="4"/>
    </row>
    <row r="557" spans="2:39" x14ac:dyDescent="0.15">
      <c r="B557" s="4"/>
      <c r="C557" s="4"/>
      <c r="AH557" s="6"/>
      <c r="AI557" s="4"/>
      <c r="AJ557" s="4"/>
      <c r="AL557" s="4"/>
      <c r="AM557" s="4"/>
    </row>
    <row r="558" spans="2:39" x14ac:dyDescent="0.15">
      <c r="B558" s="4"/>
      <c r="C558" s="4"/>
      <c r="AH558" s="6"/>
      <c r="AI558" s="4"/>
      <c r="AJ558" s="4"/>
      <c r="AL558" s="4"/>
      <c r="AM558" s="4"/>
    </row>
    <row r="559" spans="2:39" x14ac:dyDescent="0.15">
      <c r="B559" s="4"/>
      <c r="C559" s="4"/>
      <c r="AH559" s="6"/>
      <c r="AI559" s="4"/>
      <c r="AJ559" s="4"/>
      <c r="AL559" s="4"/>
      <c r="AM559" s="4"/>
    </row>
    <row r="560" spans="2:39" x14ac:dyDescent="0.15">
      <c r="B560" s="4"/>
      <c r="C560" s="4"/>
      <c r="AH560" s="6"/>
      <c r="AI560" s="4"/>
      <c r="AJ560" s="4"/>
      <c r="AL560" s="4"/>
      <c r="AM560" s="4"/>
    </row>
    <row r="561" spans="2:39" x14ac:dyDescent="0.15">
      <c r="B561" s="4"/>
      <c r="C561" s="4"/>
      <c r="AH561" s="6"/>
      <c r="AI561" s="4"/>
      <c r="AJ561" s="4"/>
      <c r="AL561" s="4"/>
      <c r="AM561" s="4"/>
    </row>
    <row r="562" spans="2:39" x14ac:dyDescent="0.15">
      <c r="B562" s="4"/>
      <c r="C562" s="4"/>
      <c r="AH562" s="6"/>
      <c r="AI562" s="4"/>
      <c r="AJ562" s="4"/>
      <c r="AL562" s="4"/>
      <c r="AM562" s="4"/>
    </row>
    <row r="563" spans="2:39" x14ac:dyDescent="0.15">
      <c r="B563" s="4"/>
      <c r="C563" s="4"/>
      <c r="AH563" s="6"/>
      <c r="AI563" s="4"/>
      <c r="AJ563" s="4"/>
      <c r="AL563" s="4"/>
      <c r="AM563" s="4"/>
    </row>
    <row r="564" spans="2:39" x14ac:dyDescent="0.15">
      <c r="B564" s="4"/>
      <c r="C564" s="4"/>
      <c r="AH564" s="6"/>
      <c r="AI564" s="4"/>
      <c r="AJ564" s="4"/>
      <c r="AL564" s="4"/>
      <c r="AM564" s="4"/>
    </row>
    <row r="565" spans="2:39" x14ac:dyDescent="0.15">
      <c r="B565" s="4"/>
      <c r="C565" s="4"/>
      <c r="AH565" s="6"/>
      <c r="AI565" s="4"/>
      <c r="AJ565" s="4"/>
      <c r="AL565" s="4"/>
      <c r="AM565" s="4"/>
    </row>
    <row r="566" spans="2:39" x14ac:dyDescent="0.15">
      <c r="B566" s="4"/>
      <c r="C566" s="4"/>
      <c r="AH566" s="6"/>
      <c r="AI566" s="4"/>
      <c r="AJ566" s="4"/>
      <c r="AL566" s="4"/>
      <c r="AM566" s="4"/>
    </row>
    <row r="567" spans="2:39" x14ac:dyDescent="0.15">
      <c r="B567" s="4"/>
      <c r="C567" s="4"/>
      <c r="AH567" s="6"/>
      <c r="AI567" s="4"/>
      <c r="AJ567" s="4"/>
      <c r="AL567" s="4"/>
      <c r="AM567" s="4"/>
    </row>
    <row r="568" spans="2:39" x14ac:dyDescent="0.15">
      <c r="B568" s="4"/>
      <c r="C568" s="4"/>
      <c r="AH568" s="6"/>
      <c r="AI568" s="4"/>
      <c r="AJ568" s="4"/>
      <c r="AL568" s="4"/>
      <c r="AM568" s="4"/>
    </row>
    <row r="569" spans="2:39" x14ac:dyDescent="0.15">
      <c r="B569" s="4"/>
      <c r="C569" s="4"/>
      <c r="AH569" s="6"/>
      <c r="AI569" s="4"/>
      <c r="AJ569" s="4"/>
      <c r="AL569" s="4"/>
      <c r="AM569" s="4"/>
    </row>
    <row r="570" spans="2:39" x14ac:dyDescent="0.15">
      <c r="B570" s="4"/>
      <c r="C570" s="4"/>
      <c r="AH570" s="6"/>
      <c r="AI570" s="4"/>
      <c r="AJ570" s="4"/>
      <c r="AL570" s="4"/>
      <c r="AM570" s="4"/>
    </row>
    <row r="571" spans="2:39" x14ac:dyDescent="0.15">
      <c r="B571" s="4"/>
      <c r="C571" s="4"/>
      <c r="AH571" s="6"/>
      <c r="AI571" s="4"/>
      <c r="AJ571" s="4"/>
      <c r="AL571" s="4"/>
      <c r="AM571" s="4"/>
    </row>
    <row r="572" spans="2:39" x14ac:dyDescent="0.15">
      <c r="B572" s="4"/>
      <c r="C572" s="4"/>
      <c r="AH572" s="6"/>
      <c r="AI572" s="4"/>
      <c r="AJ572" s="4"/>
      <c r="AL572" s="4"/>
      <c r="AM572" s="4"/>
    </row>
    <row r="573" spans="2:39" x14ac:dyDescent="0.15">
      <c r="B573" s="4"/>
      <c r="C573" s="4"/>
      <c r="AH573" s="6"/>
      <c r="AI573" s="4"/>
      <c r="AJ573" s="4"/>
      <c r="AL573" s="4"/>
      <c r="AM573" s="4"/>
    </row>
    <row r="574" spans="2:39" x14ac:dyDescent="0.15">
      <c r="B574" s="4"/>
      <c r="C574" s="4"/>
      <c r="AH574" s="6"/>
      <c r="AI574" s="4"/>
      <c r="AJ574" s="4"/>
      <c r="AL574" s="4"/>
      <c r="AM574" s="4"/>
    </row>
    <row r="575" spans="2:39" x14ac:dyDescent="0.15">
      <c r="B575" s="4"/>
      <c r="C575" s="4"/>
      <c r="AH575" s="6"/>
      <c r="AI575" s="4"/>
      <c r="AJ575" s="4"/>
      <c r="AL575" s="4"/>
      <c r="AM575" s="4"/>
    </row>
    <row r="576" spans="2:39" x14ac:dyDescent="0.15">
      <c r="B576" s="4"/>
      <c r="C576" s="4"/>
      <c r="AH576" s="6"/>
      <c r="AI576" s="4"/>
      <c r="AJ576" s="4"/>
      <c r="AL576" s="4"/>
      <c r="AM576" s="4"/>
    </row>
    <row r="577" spans="2:39" x14ac:dyDescent="0.15">
      <c r="B577" s="4"/>
      <c r="C577" s="4"/>
      <c r="AH577" s="6"/>
      <c r="AI577" s="4"/>
      <c r="AJ577" s="4"/>
      <c r="AL577" s="4"/>
      <c r="AM577" s="4"/>
    </row>
    <row r="578" spans="2:39" x14ac:dyDescent="0.15">
      <c r="B578" s="4"/>
      <c r="C578" s="4"/>
      <c r="AH578" s="6"/>
      <c r="AI578" s="4"/>
      <c r="AJ578" s="4"/>
      <c r="AL578" s="4"/>
      <c r="AM578" s="4"/>
    </row>
    <row r="579" spans="2:39" x14ac:dyDescent="0.15">
      <c r="B579" s="4"/>
      <c r="C579" s="4"/>
      <c r="AH579" s="6"/>
      <c r="AI579" s="4"/>
      <c r="AJ579" s="4"/>
      <c r="AL579" s="4"/>
      <c r="AM579" s="4"/>
    </row>
    <row r="580" spans="2:39" x14ac:dyDescent="0.15">
      <c r="B580" s="4"/>
      <c r="C580" s="4"/>
      <c r="AH580" s="6"/>
      <c r="AI580" s="4"/>
      <c r="AJ580" s="4"/>
      <c r="AL580" s="4"/>
      <c r="AM580" s="4"/>
    </row>
    <row r="581" spans="2:39" x14ac:dyDescent="0.15">
      <c r="B581" s="4"/>
      <c r="C581" s="4"/>
      <c r="AH581" s="6"/>
      <c r="AI581" s="4"/>
      <c r="AJ581" s="4"/>
      <c r="AL581" s="4"/>
      <c r="AM581" s="4"/>
    </row>
    <row r="582" spans="2:39" x14ac:dyDescent="0.15">
      <c r="B582" s="4"/>
      <c r="C582" s="4"/>
      <c r="AH582" s="6"/>
      <c r="AI582" s="4"/>
      <c r="AJ582" s="4"/>
      <c r="AL582" s="4"/>
      <c r="AM582" s="4"/>
    </row>
    <row r="583" spans="2:39" x14ac:dyDescent="0.15">
      <c r="B583" s="4"/>
      <c r="C583" s="4"/>
      <c r="AH583" s="6"/>
      <c r="AI583" s="4"/>
      <c r="AJ583" s="4"/>
      <c r="AL583" s="4"/>
      <c r="AM583" s="4"/>
    </row>
    <row r="584" spans="2:39" x14ac:dyDescent="0.15">
      <c r="B584" s="4"/>
      <c r="C584" s="4"/>
      <c r="AH584" s="6"/>
      <c r="AI584" s="4"/>
      <c r="AJ584" s="4"/>
      <c r="AL584" s="4"/>
      <c r="AM584" s="4"/>
    </row>
    <row r="585" spans="2:39" x14ac:dyDescent="0.15">
      <c r="B585" s="4"/>
      <c r="C585" s="4"/>
      <c r="AH585" s="6"/>
      <c r="AI585" s="4"/>
      <c r="AJ585" s="4"/>
      <c r="AL585" s="4"/>
      <c r="AM585" s="4"/>
    </row>
    <row r="586" spans="2:39" x14ac:dyDescent="0.15">
      <c r="B586" s="4"/>
      <c r="C586" s="4"/>
      <c r="AH586" s="6"/>
      <c r="AI586" s="4"/>
      <c r="AJ586" s="4"/>
      <c r="AL586" s="4"/>
      <c r="AM586" s="4"/>
    </row>
    <row r="587" spans="2:39" x14ac:dyDescent="0.15">
      <c r="B587" s="4"/>
      <c r="C587" s="4"/>
      <c r="AH587" s="6"/>
      <c r="AI587" s="4"/>
      <c r="AJ587" s="4"/>
      <c r="AL587" s="4"/>
      <c r="AM587" s="4"/>
    </row>
    <row r="588" spans="2:39" x14ac:dyDescent="0.15">
      <c r="B588" s="4"/>
      <c r="C588" s="4"/>
      <c r="AH588" s="6"/>
      <c r="AI588" s="4"/>
      <c r="AJ588" s="4"/>
      <c r="AL588" s="4"/>
      <c r="AM588" s="4"/>
    </row>
    <row r="589" spans="2:39" x14ac:dyDescent="0.15">
      <c r="B589" s="4"/>
      <c r="C589" s="4"/>
      <c r="AH589" s="6"/>
      <c r="AI589" s="4"/>
      <c r="AJ589" s="4"/>
      <c r="AL589" s="4"/>
      <c r="AM589" s="4"/>
    </row>
    <row r="590" spans="2:39" x14ac:dyDescent="0.15">
      <c r="B590" s="4"/>
      <c r="C590" s="4"/>
      <c r="AH590" s="6"/>
      <c r="AI590" s="4"/>
      <c r="AJ590" s="4"/>
      <c r="AL590" s="4"/>
      <c r="AM590" s="4"/>
    </row>
    <row r="591" spans="2:39" x14ac:dyDescent="0.15">
      <c r="B591" s="4"/>
      <c r="C591" s="4"/>
      <c r="AH591" s="6"/>
      <c r="AI591" s="4"/>
      <c r="AJ591" s="4"/>
      <c r="AL591" s="4"/>
      <c r="AM591" s="4"/>
    </row>
    <row r="592" spans="2:39" x14ac:dyDescent="0.15">
      <c r="B592" s="4"/>
      <c r="C592" s="4"/>
      <c r="AH592" s="6"/>
      <c r="AI592" s="4"/>
      <c r="AJ592" s="4"/>
      <c r="AL592" s="4"/>
      <c r="AM592" s="4"/>
    </row>
    <row r="593" spans="2:39" x14ac:dyDescent="0.15">
      <c r="B593" s="4"/>
      <c r="C593" s="4"/>
      <c r="AH593" s="6"/>
      <c r="AI593" s="4"/>
      <c r="AJ593" s="4"/>
      <c r="AL593" s="4"/>
      <c r="AM593" s="4"/>
    </row>
    <row r="594" spans="2:39" x14ac:dyDescent="0.15">
      <c r="B594" s="4"/>
      <c r="C594" s="4"/>
      <c r="AH594" s="6"/>
      <c r="AI594" s="4"/>
      <c r="AJ594" s="4"/>
      <c r="AL594" s="4"/>
      <c r="AM594" s="4"/>
    </row>
    <row r="595" spans="2:39" x14ac:dyDescent="0.15">
      <c r="B595" s="4"/>
      <c r="C595" s="4"/>
      <c r="AH595" s="6"/>
      <c r="AI595" s="4"/>
      <c r="AJ595" s="4"/>
      <c r="AL595" s="4"/>
      <c r="AM595" s="4"/>
    </row>
    <row r="596" spans="2:39" x14ac:dyDescent="0.15">
      <c r="B596" s="4"/>
      <c r="C596" s="4"/>
      <c r="AH596" s="6"/>
      <c r="AI596" s="4"/>
      <c r="AJ596" s="4"/>
      <c r="AL596" s="4"/>
      <c r="AM596" s="4"/>
    </row>
    <row r="597" spans="2:39" x14ac:dyDescent="0.15">
      <c r="B597" s="4"/>
      <c r="C597" s="4"/>
      <c r="AH597" s="6"/>
      <c r="AI597" s="4"/>
      <c r="AJ597" s="4"/>
      <c r="AL597" s="4"/>
      <c r="AM597" s="4"/>
    </row>
    <row r="598" spans="2:39" x14ac:dyDescent="0.15">
      <c r="B598" s="4"/>
      <c r="C598" s="4"/>
      <c r="AH598" s="6"/>
      <c r="AI598" s="4"/>
      <c r="AJ598" s="4"/>
      <c r="AL598" s="4"/>
      <c r="AM598" s="4"/>
    </row>
    <row r="599" spans="2:39" x14ac:dyDescent="0.15">
      <c r="B599" s="4"/>
      <c r="C599" s="4"/>
      <c r="AH599" s="6"/>
      <c r="AI599" s="4"/>
      <c r="AJ599" s="4"/>
      <c r="AL599" s="4"/>
      <c r="AM599" s="4"/>
    </row>
    <row r="600" spans="2:39" x14ac:dyDescent="0.15">
      <c r="B600" s="4"/>
      <c r="C600" s="4"/>
      <c r="AH600" s="6"/>
      <c r="AI600" s="4"/>
      <c r="AJ600" s="4"/>
      <c r="AL600" s="4"/>
      <c r="AM600" s="4"/>
    </row>
    <row r="601" spans="2:39" x14ac:dyDescent="0.15">
      <c r="B601" s="4"/>
      <c r="C601" s="4"/>
      <c r="AH601" s="6"/>
      <c r="AI601" s="4"/>
      <c r="AJ601" s="4"/>
      <c r="AL601" s="4"/>
      <c r="AM601" s="4"/>
    </row>
    <row r="602" spans="2:39" x14ac:dyDescent="0.15">
      <c r="B602" s="4"/>
      <c r="C602" s="4"/>
      <c r="AH602" s="6"/>
      <c r="AI602" s="4"/>
      <c r="AJ602" s="4"/>
      <c r="AL602" s="4"/>
      <c r="AM602" s="4"/>
    </row>
    <row r="603" spans="2:39" x14ac:dyDescent="0.15">
      <c r="B603" s="4"/>
      <c r="C603" s="4"/>
      <c r="AH603" s="6"/>
      <c r="AI603" s="4"/>
      <c r="AJ603" s="4"/>
      <c r="AL603" s="4"/>
      <c r="AM603" s="4"/>
    </row>
    <row r="604" spans="2:39" x14ac:dyDescent="0.15">
      <c r="B604" s="4"/>
      <c r="C604" s="4"/>
      <c r="AH604" s="6"/>
      <c r="AI604" s="4"/>
      <c r="AJ604" s="4"/>
      <c r="AL604" s="4"/>
      <c r="AM604" s="4"/>
    </row>
    <row r="605" spans="2:39" x14ac:dyDescent="0.15">
      <c r="B605" s="4"/>
      <c r="C605" s="4"/>
      <c r="AH605" s="6"/>
      <c r="AI605" s="4"/>
      <c r="AJ605" s="4"/>
      <c r="AL605" s="4"/>
      <c r="AM605" s="4"/>
    </row>
    <row r="606" spans="2:39" x14ac:dyDescent="0.15">
      <c r="B606" s="4"/>
      <c r="C606" s="4"/>
      <c r="AH606" s="6"/>
      <c r="AI606" s="4"/>
      <c r="AJ606" s="4"/>
      <c r="AL606" s="4"/>
      <c r="AM606" s="4"/>
    </row>
    <row r="607" spans="2:39" x14ac:dyDescent="0.15">
      <c r="B607" s="4"/>
      <c r="C607" s="4"/>
      <c r="AH607" s="6"/>
      <c r="AI607" s="4"/>
      <c r="AJ607" s="4"/>
      <c r="AL607" s="4"/>
      <c r="AM607" s="4"/>
    </row>
    <row r="608" spans="2:39" x14ac:dyDescent="0.15">
      <c r="B608" s="4"/>
      <c r="C608" s="4"/>
      <c r="AH608" s="6"/>
      <c r="AI608" s="4"/>
      <c r="AJ608" s="4"/>
      <c r="AL608" s="4"/>
      <c r="AM608" s="4"/>
    </row>
    <row r="609" spans="2:39" x14ac:dyDescent="0.15">
      <c r="B609" s="4"/>
      <c r="C609" s="4"/>
      <c r="AH609" s="6"/>
      <c r="AI609" s="4"/>
      <c r="AJ609" s="4"/>
      <c r="AL609" s="4"/>
      <c r="AM609" s="4"/>
    </row>
    <row r="610" spans="2:39" x14ac:dyDescent="0.15">
      <c r="B610" s="4"/>
      <c r="C610" s="4"/>
      <c r="AH610" s="6"/>
      <c r="AI610" s="4"/>
      <c r="AJ610" s="4"/>
      <c r="AL610" s="4"/>
      <c r="AM610" s="4"/>
    </row>
    <row r="611" spans="2:39" x14ac:dyDescent="0.15">
      <c r="B611" s="4"/>
      <c r="C611" s="4"/>
      <c r="AH611" s="6"/>
      <c r="AI611" s="4"/>
      <c r="AJ611" s="4"/>
      <c r="AL611" s="4"/>
      <c r="AM611" s="4"/>
    </row>
    <row r="612" spans="2:39" x14ac:dyDescent="0.15">
      <c r="B612" s="4"/>
      <c r="C612" s="4"/>
      <c r="AH612" s="6"/>
      <c r="AI612" s="4"/>
      <c r="AJ612" s="4"/>
      <c r="AL612" s="4"/>
      <c r="AM612" s="4"/>
    </row>
    <row r="613" spans="2:39" x14ac:dyDescent="0.15">
      <c r="B613" s="4"/>
      <c r="C613" s="4"/>
      <c r="AH613" s="6"/>
      <c r="AI613" s="4"/>
      <c r="AJ613" s="4"/>
      <c r="AL613" s="4"/>
      <c r="AM613" s="4"/>
    </row>
    <row r="614" spans="2:39" x14ac:dyDescent="0.15">
      <c r="B614" s="4"/>
      <c r="C614" s="4"/>
      <c r="AH614" s="6"/>
      <c r="AI614" s="4"/>
      <c r="AJ614" s="4"/>
      <c r="AL614" s="4"/>
      <c r="AM614" s="4"/>
    </row>
    <row r="615" spans="2:39" x14ac:dyDescent="0.15">
      <c r="B615" s="4"/>
      <c r="C615" s="4"/>
      <c r="AH615" s="6"/>
      <c r="AI615" s="4"/>
      <c r="AJ615" s="4"/>
      <c r="AL615" s="4"/>
      <c r="AM615" s="4"/>
    </row>
    <row r="616" spans="2:39" x14ac:dyDescent="0.15">
      <c r="B616" s="4"/>
      <c r="C616" s="4"/>
      <c r="AH616" s="6"/>
      <c r="AI616" s="4"/>
      <c r="AJ616" s="4"/>
      <c r="AL616" s="4"/>
      <c r="AM616" s="4"/>
    </row>
    <row r="617" spans="2:39" x14ac:dyDescent="0.15">
      <c r="B617" s="4"/>
      <c r="C617" s="4"/>
      <c r="AH617" s="6"/>
      <c r="AI617" s="4"/>
      <c r="AJ617" s="4"/>
      <c r="AL617" s="4"/>
      <c r="AM617" s="4"/>
    </row>
    <row r="618" spans="2:39" x14ac:dyDescent="0.15">
      <c r="B618" s="4"/>
      <c r="C618" s="4"/>
      <c r="AH618" s="6"/>
      <c r="AI618" s="4"/>
      <c r="AJ618" s="4"/>
      <c r="AL618" s="4"/>
      <c r="AM618" s="4"/>
    </row>
    <row r="619" spans="2:39" x14ac:dyDescent="0.15">
      <c r="B619" s="4"/>
      <c r="C619" s="4"/>
      <c r="AH619" s="6"/>
      <c r="AI619" s="4"/>
      <c r="AJ619" s="4"/>
      <c r="AL619" s="4"/>
      <c r="AM619" s="4"/>
    </row>
    <row r="620" spans="2:39" x14ac:dyDescent="0.15">
      <c r="B620" s="4"/>
      <c r="C620" s="4"/>
      <c r="AH620" s="6"/>
      <c r="AI620" s="4"/>
      <c r="AJ620" s="4"/>
      <c r="AL620" s="4"/>
      <c r="AM620" s="4"/>
    </row>
    <row r="621" spans="2:39" x14ac:dyDescent="0.15">
      <c r="B621" s="4"/>
      <c r="C621" s="4"/>
      <c r="AH621" s="6"/>
      <c r="AI621" s="4"/>
      <c r="AJ621" s="4"/>
      <c r="AL621" s="4"/>
      <c r="AM621" s="4"/>
    </row>
    <row r="622" spans="2:39" x14ac:dyDescent="0.15">
      <c r="B622" s="4"/>
      <c r="C622" s="4"/>
      <c r="AH622" s="6"/>
      <c r="AI622" s="4"/>
      <c r="AJ622" s="4"/>
      <c r="AL622" s="4"/>
      <c r="AM622" s="4"/>
    </row>
    <row r="623" spans="2:39" x14ac:dyDescent="0.15">
      <c r="B623" s="4"/>
      <c r="C623" s="4"/>
      <c r="AH623" s="6"/>
      <c r="AI623" s="4"/>
      <c r="AJ623" s="4"/>
      <c r="AL623" s="4"/>
      <c r="AM623" s="4"/>
    </row>
    <row r="624" spans="2:39" x14ac:dyDescent="0.15">
      <c r="B624" s="4"/>
      <c r="C624" s="4"/>
      <c r="AH624" s="6"/>
      <c r="AI624" s="4"/>
      <c r="AJ624" s="4"/>
      <c r="AL624" s="4"/>
      <c r="AM624" s="4"/>
    </row>
    <row r="625" spans="2:39" x14ac:dyDescent="0.15">
      <c r="B625" s="4"/>
      <c r="C625" s="4"/>
      <c r="AH625" s="6"/>
      <c r="AI625" s="4"/>
      <c r="AJ625" s="4"/>
      <c r="AL625" s="4"/>
      <c r="AM625" s="4"/>
    </row>
    <row r="626" spans="2:39" x14ac:dyDescent="0.15">
      <c r="B626" s="4"/>
      <c r="C626" s="4"/>
      <c r="AH626" s="6"/>
      <c r="AI626" s="4"/>
      <c r="AJ626" s="4"/>
      <c r="AL626" s="4"/>
      <c r="AM626" s="4"/>
    </row>
    <row r="627" spans="2:39" x14ac:dyDescent="0.15">
      <c r="B627" s="4"/>
      <c r="C627" s="4"/>
      <c r="AH627" s="6"/>
      <c r="AI627" s="4"/>
      <c r="AJ627" s="4"/>
      <c r="AL627" s="4"/>
      <c r="AM627" s="4"/>
    </row>
    <row r="628" spans="2:39" x14ac:dyDescent="0.15">
      <c r="B628" s="4"/>
      <c r="C628" s="4"/>
      <c r="AH628" s="6"/>
      <c r="AI628" s="4"/>
      <c r="AJ628" s="4"/>
      <c r="AL628" s="4"/>
      <c r="AM628" s="4"/>
    </row>
    <row r="629" spans="2:39" x14ac:dyDescent="0.15">
      <c r="B629" s="4"/>
      <c r="C629" s="4"/>
      <c r="AH629" s="6"/>
      <c r="AI629" s="4"/>
      <c r="AJ629" s="4"/>
      <c r="AL629" s="4"/>
      <c r="AM629" s="4"/>
    </row>
    <row r="630" spans="2:39" x14ac:dyDescent="0.15">
      <c r="B630" s="4"/>
      <c r="C630" s="4"/>
      <c r="AH630" s="6"/>
      <c r="AI630" s="4"/>
      <c r="AJ630" s="4"/>
      <c r="AL630" s="4"/>
      <c r="AM630" s="4"/>
    </row>
    <row r="631" spans="2:39" x14ac:dyDescent="0.15">
      <c r="B631" s="4"/>
      <c r="C631" s="4"/>
      <c r="AH631" s="6"/>
      <c r="AI631" s="4"/>
      <c r="AJ631" s="4"/>
      <c r="AL631" s="4"/>
      <c r="AM631" s="4"/>
    </row>
    <row r="632" spans="2:39" x14ac:dyDescent="0.15">
      <c r="B632" s="4"/>
      <c r="C632" s="4"/>
      <c r="AH632" s="6"/>
      <c r="AI632" s="4"/>
      <c r="AJ632" s="4"/>
      <c r="AL632" s="4"/>
      <c r="AM632" s="4"/>
    </row>
    <row r="633" spans="2:39" x14ac:dyDescent="0.15">
      <c r="B633" s="4"/>
      <c r="C633" s="4"/>
      <c r="AH633" s="6"/>
      <c r="AI633" s="4"/>
      <c r="AJ633" s="4"/>
      <c r="AL633" s="4"/>
      <c r="AM633" s="4"/>
    </row>
    <row r="634" spans="2:39" x14ac:dyDescent="0.15">
      <c r="B634" s="4"/>
      <c r="C634" s="4"/>
      <c r="AH634" s="6"/>
      <c r="AI634" s="4"/>
      <c r="AJ634" s="4"/>
      <c r="AL634" s="4"/>
      <c r="AM634" s="4"/>
    </row>
    <row r="635" spans="2:39" x14ac:dyDescent="0.15">
      <c r="B635" s="4"/>
      <c r="C635" s="4"/>
      <c r="AH635" s="6"/>
      <c r="AI635" s="4"/>
      <c r="AJ635" s="4"/>
      <c r="AL635" s="4"/>
      <c r="AM635" s="4"/>
    </row>
    <row r="636" spans="2:39" x14ac:dyDescent="0.15">
      <c r="B636" s="4"/>
      <c r="C636" s="4"/>
      <c r="AH636" s="6"/>
      <c r="AI636" s="4"/>
      <c r="AJ636" s="4"/>
      <c r="AL636" s="4"/>
      <c r="AM636" s="4"/>
    </row>
    <row r="637" spans="2:39" x14ac:dyDescent="0.15">
      <c r="B637" s="4"/>
      <c r="C637" s="4"/>
      <c r="AH637" s="6"/>
      <c r="AI637" s="4"/>
      <c r="AJ637" s="4"/>
      <c r="AL637" s="4"/>
      <c r="AM637" s="4"/>
    </row>
    <row r="638" spans="2:39" x14ac:dyDescent="0.15">
      <c r="B638" s="4"/>
      <c r="C638" s="4"/>
      <c r="AH638" s="6"/>
      <c r="AI638" s="4"/>
      <c r="AJ638" s="4"/>
      <c r="AL638" s="4"/>
      <c r="AM638" s="4"/>
    </row>
    <row r="639" spans="2:39" x14ac:dyDescent="0.15">
      <c r="B639" s="4"/>
      <c r="C639" s="4"/>
      <c r="AH639" s="6"/>
      <c r="AI639" s="4"/>
      <c r="AJ639" s="4"/>
      <c r="AL639" s="4"/>
      <c r="AM639" s="4"/>
    </row>
    <row r="640" spans="2:39" x14ac:dyDescent="0.15">
      <c r="B640" s="4"/>
      <c r="C640" s="4"/>
      <c r="AH640" s="6"/>
      <c r="AI640" s="4"/>
      <c r="AJ640" s="4"/>
      <c r="AL640" s="4"/>
      <c r="AM640" s="4"/>
    </row>
    <row r="641" spans="2:39" x14ac:dyDescent="0.15">
      <c r="B641" s="4"/>
      <c r="C641" s="4"/>
      <c r="AH641" s="6"/>
      <c r="AI641" s="4"/>
      <c r="AJ641" s="4"/>
      <c r="AL641" s="4"/>
      <c r="AM641" s="4"/>
    </row>
    <row r="642" spans="2:39" x14ac:dyDescent="0.15">
      <c r="B642" s="4"/>
      <c r="C642" s="4"/>
      <c r="AH642" s="6"/>
      <c r="AI642" s="4"/>
      <c r="AJ642" s="4"/>
      <c r="AL642" s="4"/>
      <c r="AM642" s="4"/>
    </row>
    <row r="643" spans="2:39" x14ac:dyDescent="0.15">
      <c r="B643" s="4"/>
      <c r="C643" s="4"/>
      <c r="AH643" s="6"/>
      <c r="AI643" s="4"/>
      <c r="AJ643" s="4"/>
      <c r="AL643" s="4"/>
      <c r="AM643" s="4"/>
    </row>
    <row r="644" spans="2:39" x14ac:dyDescent="0.15">
      <c r="B644" s="4"/>
      <c r="C644" s="4"/>
      <c r="AH644" s="6"/>
      <c r="AI644" s="4"/>
      <c r="AJ644" s="4"/>
      <c r="AL644" s="4"/>
      <c r="AM644" s="4"/>
    </row>
    <row r="645" spans="2:39" x14ac:dyDescent="0.15">
      <c r="B645" s="4"/>
      <c r="C645" s="4"/>
      <c r="AH645" s="6"/>
      <c r="AI645" s="4"/>
      <c r="AJ645" s="4"/>
      <c r="AL645" s="4"/>
      <c r="AM645" s="4"/>
    </row>
    <row r="646" spans="2:39" x14ac:dyDescent="0.15">
      <c r="B646" s="4"/>
      <c r="C646" s="4"/>
      <c r="AH646" s="6"/>
      <c r="AI646" s="4"/>
      <c r="AJ646" s="4"/>
      <c r="AL646" s="4"/>
      <c r="AM646" s="4"/>
    </row>
    <row r="647" spans="2:39" x14ac:dyDescent="0.15">
      <c r="B647" s="4"/>
      <c r="C647" s="4"/>
      <c r="AH647" s="6"/>
      <c r="AI647" s="4"/>
      <c r="AJ647" s="4"/>
      <c r="AL647" s="4"/>
      <c r="AM647" s="4"/>
    </row>
    <row r="648" spans="2:39" x14ac:dyDescent="0.15">
      <c r="B648" s="4"/>
      <c r="C648" s="4"/>
      <c r="AH648" s="6"/>
      <c r="AI648" s="4"/>
      <c r="AJ648" s="4"/>
      <c r="AL648" s="4"/>
      <c r="AM648" s="4"/>
    </row>
    <row r="649" spans="2:39" x14ac:dyDescent="0.15">
      <c r="B649" s="4"/>
      <c r="C649" s="4"/>
      <c r="AH649" s="6"/>
      <c r="AI649" s="4"/>
      <c r="AJ649" s="4"/>
      <c r="AL649" s="4"/>
      <c r="AM649" s="4"/>
    </row>
    <row r="650" spans="2:39" x14ac:dyDescent="0.15">
      <c r="B650" s="4"/>
      <c r="C650" s="4"/>
      <c r="AH650" s="6"/>
      <c r="AI650" s="4"/>
      <c r="AJ650" s="4"/>
      <c r="AL650" s="4"/>
      <c r="AM650" s="4"/>
    </row>
    <row r="651" spans="2:39" x14ac:dyDescent="0.15">
      <c r="B651" s="4"/>
      <c r="C651" s="4"/>
      <c r="AH651" s="6"/>
      <c r="AI651" s="4"/>
      <c r="AJ651" s="4"/>
      <c r="AL651" s="4"/>
      <c r="AM651" s="4"/>
    </row>
    <row r="652" spans="2:39" x14ac:dyDescent="0.15">
      <c r="B652" s="4"/>
      <c r="C652" s="4"/>
      <c r="AH652" s="6"/>
      <c r="AI652" s="4"/>
      <c r="AJ652" s="4"/>
      <c r="AL652" s="4"/>
      <c r="AM652" s="4"/>
    </row>
    <row r="653" spans="2:39" x14ac:dyDescent="0.15">
      <c r="B653" s="4"/>
      <c r="C653" s="4"/>
      <c r="AH653" s="6"/>
      <c r="AI653" s="4"/>
      <c r="AJ653" s="4"/>
      <c r="AL653" s="4"/>
      <c r="AM653" s="4"/>
    </row>
    <row r="654" spans="2:39" x14ac:dyDescent="0.15">
      <c r="B654" s="4"/>
      <c r="C654" s="4"/>
      <c r="AH654" s="6"/>
      <c r="AI654" s="4"/>
      <c r="AJ654" s="4"/>
      <c r="AL654" s="4"/>
      <c r="AM654" s="4"/>
    </row>
    <row r="655" spans="2:39" x14ac:dyDescent="0.15">
      <c r="B655" s="4"/>
      <c r="C655" s="4"/>
      <c r="AH655" s="6"/>
      <c r="AI655" s="4"/>
      <c r="AJ655" s="4"/>
      <c r="AL655" s="4"/>
      <c r="AM655" s="4"/>
    </row>
    <row r="656" spans="2:39" x14ac:dyDescent="0.15">
      <c r="B656" s="4"/>
      <c r="C656" s="4"/>
      <c r="AH656" s="6"/>
      <c r="AI656" s="4"/>
      <c r="AJ656" s="4"/>
      <c r="AL656" s="4"/>
      <c r="AM656" s="4"/>
    </row>
    <row r="657" spans="2:39" x14ac:dyDescent="0.15">
      <c r="B657" s="4"/>
      <c r="C657" s="4"/>
      <c r="AH657" s="6"/>
      <c r="AI657" s="4"/>
      <c r="AJ657" s="4"/>
      <c r="AL657" s="4"/>
      <c r="AM657" s="4"/>
    </row>
    <row r="658" spans="2:39" x14ac:dyDescent="0.15">
      <c r="B658" s="4"/>
      <c r="C658" s="4"/>
      <c r="AH658" s="6"/>
      <c r="AI658" s="4"/>
      <c r="AJ658" s="4"/>
      <c r="AL658" s="4"/>
      <c r="AM658" s="4"/>
    </row>
    <row r="659" spans="2:39" x14ac:dyDescent="0.15">
      <c r="B659" s="4"/>
      <c r="C659" s="4"/>
      <c r="AH659" s="6"/>
      <c r="AI659" s="4"/>
      <c r="AJ659" s="4"/>
      <c r="AL659" s="4"/>
      <c r="AM659" s="4"/>
    </row>
    <row r="660" spans="2:39" x14ac:dyDescent="0.15">
      <c r="B660" s="4"/>
      <c r="C660" s="4"/>
      <c r="AH660" s="6"/>
      <c r="AI660" s="4"/>
      <c r="AJ660" s="4"/>
      <c r="AL660" s="4"/>
      <c r="AM660" s="4"/>
    </row>
    <row r="661" spans="2:39" x14ac:dyDescent="0.15">
      <c r="B661" s="4"/>
      <c r="C661" s="4"/>
      <c r="AH661" s="6"/>
      <c r="AI661" s="4"/>
      <c r="AJ661" s="4"/>
      <c r="AL661" s="4"/>
      <c r="AM661" s="4"/>
    </row>
    <row r="662" spans="2:39" x14ac:dyDescent="0.15">
      <c r="B662" s="4"/>
      <c r="C662" s="4"/>
      <c r="AH662" s="6"/>
      <c r="AI662" s="4"/>
      <c r="AJ662" s="4"/>
      <c r="AL662" s="4"/>
      <c r="AM662" s="4"/>
    </row>
    <row r="663" spans="2:39" x14ac:dyDescent="0.15">
      <c r="B663" s="4"/>
      <c r="C663" s="4"/>
      <c r="AH663" s="6"/>
      <c r="AI663" s="4"/>
      <c r="AJ663" s="4"/>
      <c r="AL663" s="4"/>
      <c r="AM663" s="4"/>
    </row>
    <row r="664" spans="2:39" x14ac:dyDescent="0.15">
      <c r="B664" s="4"/>
      <c r="C664" s="4"/>
      <c r="AH664" s="6"/>
      <c r="AI664" s="4"/>
      <c r="AJ664" s="4"/>
      <c r="AL664" s="4"/>
      <c r="AM664" s="4"/>
    </row>
    <row r="665" spans="2:39" x14ac:dyDescent="0.15">
      <c r="B665" s="4"/>
      <c r="C665" s="4"/>
      <c r="AH665" s="6"/>
      <c r="AI665" s="4"/>
      <c r="AJ665" s="4"/>
      <c r="AL665" s="4"/>
      <c r="AM665" s="4"/>
    </row>
    <row r="666" spans="2:39" x14ac:dyDescent="0.15">
      <c r="B666" s="4"/>
      <c r="C666" s="4"/>
      <c r="AH666" s="6"/>
      <c r="AI666" s="4"/>
      <c r="AJ666" s="4"/>
      <c r="AL666" s="4"/>
      <c r="AM666" s="4"/>
    </row>
    <row r="667" spans="2:39" x14ac:dyDescent="0.15">
      <c r="B667" s="4"/>
      <c r="C667" s="4"/>
      <c r="AH667" s="6"/>
      <c r="AI667" s="4"/>
      <c r="AJ667" s="4"/>
      <c r="AL667" s="4"/>
      <c r="AM667" s="4"/>
    </row>
    <row r="668" spans="2:39" x14ac:dyDescent="0.15">
      <c r="B668" s="4"/>
      <c r="C668" s="4"/>
      <c r="AH668" s="6"/>
      <c r="AI668" s="4"/>
      <c r="AJ668" s="4"/>
      <c r="AL668" s="4"/>
      <c r="AM668" s="4"/>
    </row>
    <row r="669" spans="2:39" x14ac:dyDescent="0.15">
      <c r="B669" s="4"/>
      <c r="C669" s="4"/>
      <c r="AH669" s="6"/>
      <c r="AI669" s="4"/>
      <c r="AJ669" s="4"/>
      <c r="AL669" s="4"/>
      <c r="AM669" s="4"/>
    </row>
    <row r="670" spans="2:39" x14ac:dyDescent="0.15">
      <c r="B670" s="4"/>
      <c r="C670" s="4"/>
      <c r="AH670" s="6"/>
      <c r="AI670" s="4"/>
      <c r="AJ670" s="4"/>
      <c r="AL670" s="4"/>
      <c r="AM670" s="4"/>
    </row>
    <row r="671" spans="2:39" x14ac:dyDescent="0.15">
      <c r="B671" s="4"/>
      <c r="C671" s="4"/>
      <c r="AH671" s="6"/>
      <c r="AI671" s="4"/>
      <c r="AJ671" s="4"/>
      <c r="AL671" s="4"/>
      <c r="AM671" s="4"/>
    </row>
    <row r="672" spans="2:39" x14ac:dyDescent="0.15">
      <c r="B672" s="4"/>
      <c r="C672" s="4"/>
      <c r="AH672" s="6"/>
      <c r="AI672" s="4"/>
      <c r="AJ672" s="4"/>
      <c r="AL672" s="4"/>
      <c r="AM672" s="4"/>
    </row>
    <row r="673" spans="2:39" x14ac:dyDescent="0.15">
      <c r="B673" s="4"/>
      <c r="C673" s="4"/>
      <c r="AH673" s="6"/>
      <c r="AI673" s="4"/>
      <c r="AJ673" s="4"/>
      <c r="AL673" s="4"/>
      <c r="AM673" s="4"/>
    </row>
    <row r="674" spans="2:39" x14ac:dyDescent="0.15">
      <c r="B674" s="4"/>
      <c r="C674" s="4"/>
      <c r="AH674" s="6"/>
      <c r="AI674" s="4"/>
      <c r="AJ674" s="4"/>
      <c r="AL674" s="4"/>
      <c r="AM674" s="4"/>
    </row>
    <row r="675" spans="2:39" x14ac:dyDescent="0.15">
      <c r="B675" s="4"/>
      <c r="C675" s="4"/>
      <c r="AH675" s="6"/>
      <c r="AI675" s="4"/>
      <c r="AJ675" s="4"/>
      <c r="AL675" s="4"/>
      <c r="AM675" s="4"/>
    </row>
    <row r="676" spans="2:39" x14ac:dyDescent="0.15">
      <c r="B676" s="4"/>
      <c r="C676" s="4"/>
      <c r="AH676" s="6"/>
      <c r="AI676" s="4"/>
      <c r="AJ676" s="4"/>
      <c r="AL676" s="4"/>
      <c r="AM676" s="4"/>
    </row>
    <row r="677" spans="2:39" x14ac:dyDescent="0.15">
      <c r="B677" s="4"/>
      <c r="C677" s="4"/>
      <c r="AH677" s="6"/>
      <c r="AI677" s="4"/>
      <c r="AJ677" s="4"/>
      <c r="AL677" s="4"/>
      <c r="AM677" s="4"/>
    </row>
    <row r="678" spans="2:39" x14ac:dyDescent="0.15">
      <c r="B678" s="4"/>
      <c r="C678" s="4"/>
      <c r="AH678" s="6"/>
      <c r="AI678" s="4"/>
      <c r="AJ678" s="4"/>
      <c r="AL678" s="4"/>
      <c r="AM678" s="4"/>
    </row>
    <row r="679" spans="2:39" x14ac:dyDescent="0.15">
      <c r="B679" s="4"/>
      <c r="C679" s="4"/>
      <c r="AH679" s="6"/>
      <c r="AI679" s="4"/>
      <c r="AJ679" s="4"/>
      <c r="AL679" s="4"/>
      <c r="AM679" s="4"/>
    </row>
    <row r="680" spans="2:39" x14ac:dyDescent="0.15">
      <c r="B680" s="4"/>
      <c r="C680" s="4"/>
      <c r="AH680" s="6"/>
      <c r="AI680" s="4"/>
      <c r="AJ680" s="4"/>
      <c r="AL680" s="4"/>
      <c r="AM680" s="4"/>
    </row>
    <row r="681" spans="2:39" x14ac:dyDescent="0.15">
      <c r="B681" s="4"/>
      <c r="C681" s="4"/>
      <c r="AH681" s="6"/>
      <c r="AI681" s="4"/>
      <c r="AJ681" s="4"/>
      <c r="AL681" s="4"/>
      <c r="AM681" s="4"/>
    </row>
    <row r="682" spans="2:39" x14ac:dyDescent="0.15">
      <c r="B682" s="4"/>
      <c r="C682" s="4"/>
      <c r="AH682" s="6"/>
      <c r="AI682" s="4"/>
      <c r="AJ682" s="4"/>
      <c r="AL682" s="4"/>
      <c r="AM682" s="4"/>
    </row>
    <row r="683" spans="2:39" x14ac:dyDescent="0.15">
      <c r="B683" s="4"/>
      <c r="C683" s="4"/>
      <c r="AH683" s="6"/>
      <c r="AI683" s="4"/>
      <c r="AJ683" s="4"/>
      <c r="AL683" s="4"/>
      <c r="AM683" s="4"/>
    </row>
    <row r="684" spans="2:39" x14ac:dyDescent="0.15">
      <c r="B684" s="4"/>
      <c r="C684" s="4"/>
      <c r="AH684" s="6"/>
      <c r="AI684" s="4"/>
      <c r="AJ684" s="4"/>
      <c r="AL684" s="4"/>
      <c r="AM684" s="4"/>
    </row>
    <row r="685" spans="2:39" x14ac:dyDescent="0.15">
      <c r="B685" s="4"/>
      <c r="C685" s="4"/>
      <c r="AH685" s="6"/>
      <c r="AI685" s="4"/>
      <c r="AJ685" s="4"/>
      <c r="AL685" s="4"/>
      <c r="AM685" s="4"/>
    </row>
    <row r="686" spans="2:39" x14ac:dyDescent="0.15">
      <c r="B686" s="4"/>
      <c r="C686" s="4"/>
      <c r="AH686" s="6"/>
      <c r="AI686" s="4"/>
      <c r="AJ686" s="4"/>
      <c r="AL686" s="4"/>
      <c r="AM686" s="4"/>
    </row>
    <row r="687" spans="2:39" x14ac:dyDescent="0.15">
      <c r="B687" s="4"/>
      <c r="C687" s="4"/>
      <c r="AH687" s="6"/>
      <c r="AI687" s="4"/>
      <c r="AJ687" s="4"/>
      <c r="AL687" s="4"/>
      <c r="AM687" s="4"/>
    </row>
    <row r="688" spans="2:39" x14ac:dyDescent="0.15">
      <c r="B688" s="4"/>
      <c r="C688" s="4"/>
      <c r="AH688" s="6"/>
      <c r="AI688" s="4"/>
      <c r="AJ688" s="4"/>
      <c r="AL688" s="4"/>
      <c r="AM688" s="4"/>
    </row>
    <row r="689" spans="2:39" x14ac:dyDescent="0.15">
      <c r="B689" s="4"/>
      <c r="C689" s="4"/>
      <c r="AH689" s="6"/>
      <c r="AI689" s="4"/>
      <c r="AJ689" s="4"/>
      <c r="AL689" s="4"/>
      <c r="AM689" s="4"/>
    </row>
    <row r="690" spans="2:39" x14ac:dyDescent="0.15">
      <c r="B690" s="4"/>
      <c r="C690" s="4"/>
      <c r="AH690" s="6"/>
      <c r="AI690" s="4"/>
      <c r="AJ690" s="4"/>
      <c r="AL690" s="4"/>
      <c r="AM690" s="4"/>
    </row>
    <row r="691" spans="2:39" x14ac:dyDescent="0.15">
      <c r="B691" s="4"/>
      <c r="C691" s="4"/>
      <c r="AH691" s="6"/>
      <c r="AI691" s="4"/>
      <c r="AJ691" s="4"/>
      <c r="AL691" s="4"/>
      <c r="AM691" s="4"/>
    </row>
    <row r="692" spans="2:39" x14ac:dyDescent="0.15">
      <c r="B692" s="4"/>
      <c r="C692" s="4"/>
      <c r="AH692" s="6"/>
      <c r="AI692" s="4"/>
      <c r="AJ692" s="4"/>
      <c r="AL692" s="4"/>
      <c r="AM692" s="4"/>
    </row>
    <row r="693" spans="2:39" x14ac:dyDescent="0.15">
      <c r="B693" s="4"/>
      <c r="C693" s="4"/>
      <c r="AH693" s="6"/>
      <c r="AI693" s="4"/>
      <c r="AJ693" s="4"/>
      <c r="AL693" s="4"/>
      <c r="AM693" s="4"/>
    </row>
    <row r="694" spans="2:39" x14ac:dyDescent="0.15">
      <c r="B694" s="4"/>
      <c r="C694" s="4"/>
      <c r="AH694" s="6"/>
      <c r="AI694" s="4"/>
      <c r="AJ694" s="4"/>
      <c r="AL694" s="4"/>
      <c r="AM694" s="4"/>
    </row>
    <row r="695" spans="2:39" x14ac:dyDescent="0.15">
      <c r="B695" s="4"/>
      <c r="C695" s="4"/>
      <c r="AH695" s="6"/>
      <c r="AI695" s="4"/>
      <c r="AJ695" s="4"/>
      <c r="AL695" s="4"/>
      <c r="AM695" s="4"/>
    </row>
    <row r="696" spans="2:39" x14ac:dyDescent="0.15">
      <c r="B696" s="4"/>
      <c r="C696" s="4"/>
      <c r="AH696" s="6"/>
      <c r="AI696" s="4"/>
      <c r="AJ696" s="4"/>
      <c r="AL696" s="4"/>
      <c r="AM696" s="4"/>
    </row>
    <row r="697" spans="2:39" x14ac:dyDescent="0.15">
      <c r="B697" s="4"/>
      <c r="C697" s="4"/>
      <c r="AH697" s="6"/>
      <c r="AI697" s="4"/>
      <c r="AJ697" s="4"/>
      <c r="AL697" s="4"/>
      <c r="AM697" s="4"/>
    </row>
    <row r="698" spans="2:39" x14ac:dyDescent="0.15">
      <c r="B698" s="4"/>
      <c r="C698" s="4"/>
      <c r="AH698" s="6"/>
      <c r="AI698" s="4"/>
      <c r="AJ698" s="4"/>
      <c r="AL698" s="4"/>
      <c r="AM698" s="4"/>
    </row>
    <row r="699" spans="2:39" x14ac:dyDescent="0.15">
      <c r="B699" s="4"/>
      <c r="C699" s="4"/>
      <c r="AH699" s="6"/>
      <c r="AI699" s="4"/>
      <c r="AJ699" s="4"/>
      <c r="AL699" s="4"/>
      <c r="AM699" s="4"/>
    </row>
    <row r="700" spans="2:39" x14ac:dyDescent="0.15">
      <c r="B700" s="4"/>
      <c r="C700" s="4"/>
      <c r="AH700" s="6"/>
      <c r="AI700" s="4"/>
      <c r="AJ700" s="4"/>
      <c r="AL700" s="4"/>
      <c r="AM700" s="4"/>
    </row>
    <row r="701" spans="2:39" x14ac:dyDescent="0.15">
      <c r="B701" s="4"/>
      <c r="C701" s="4"/>
      <c r="AH701" s="6"/>
      <c r="AI701" s="4"/>
      <c r="AJ701" s="4"/>
      <c r="AL701" s="4"/>
      <c r="AM701" s="4"/>
    </row>
    <row r="702" spans="2:39" x14ac:dyDescent="0.15">
      <c r="B702" s="4"/>
      <c r="C702" s="4"/>
      <c r="AH702" s="6"/>
      <c r="AI702" s="4"/>
      <c r="AJ702" s="4"/>
      <c r="AL702" s="4"/>
      <c r="AM702" s="4"/>
    </row>
    <row r="703" spans="2:39" x14ac:dyDescent="0.15">
      <c r="B703" s="4"/>
      <c r="C703" s="4"/>
      <c r="AH703" s="6"/>
      <c r="AI703" s="4"/>
      <c r="AJ703" s="4"/>
      <c r="AL703" s="4"/>
      <c r="AM703" s="4"/>
    </row>
    <row r="704" spans="2:39" x14ac:dyDescent="0.15">
      <c r="B704" s="4"/>
      <c r="C704" s="4"/>
      <c r="AH704" s="6"/>
      <c r="AI704" s="4"/>
      <c r="AJ704" s="4"/>
      <c r="AL704" s="4"/>
      <c r="AM704" s="4"/>
    </row>
    <row r="705" spans="2:39" x14ac:dyDescent="0.15">
      <c r="B705" s="4"/>
      <c r="C705" s="4"/>
      <c r="AH705" s="6"/>
      <c r="AI705" s="4"/>
      <c r="AJ705" s="4"/>
      <c r="AL705" s="4"/>
      <c r="AM705" s="4"/>
    </row>
    <row r="706" spans="2:39" x14ac:dyDescent="0.15">
      <c r="B706" s="4"/>
      <c r="C706" s="4"/>
      <c r="AH706" s="6"/>
      <c r="AI706" s="4"/>
      <c r="AJ706" s="4"/>
      <c r="AL706" s="4"/>
      <c r="AM706" s="4"/>
    </row>
    <row r="707" spans="2:39" x14ac:dyDescent="0.15">
      <c r="B707" s="4"/>
      <c r="C707" s="4"/>
      <c r="AH707" s="6"/>
      <c r="AI707" s="4"/>
      <c r="AJ707" s="4"/>
      <c r="AL707" s="4"/>
      <c r="AM707" s="4"/>
    </row>
    <row r="708" spans="2:39" x14ac:dyDescent="0.15">
      <c r="B708" s="4"/>
      <c r="C708" s="4"/>
      <c r="AH708" s="6"/>
      <c r="AI708" s="4"/>
      <c r="AJ708" s="4"/>
      <c r="AL708" s="4"/>
      <c r="AM708" s="4"/>
    </row>
    <row r="709" spans="2:39" x14ac:dyDescent="0.15">
      <c r="B709" s="4"/>
      <c r="C709" s="4"/>
      <c r="AH709" s="6"/>
      <c r="AI709" s="4"/>
      <c r="AJ709" s="4"/>
      <c r="AL709" s="4"/>
      <c r="AM709" s="4"/>
    </row>
    <row r="710" spans="2:39" x14ac:dyDescent="0.15">
      <c r="B710" s="4"/>
      <c r="C710" s="4"/>
      <c r="AH710" s="6"/>
      <c r="AI710" s="4"/>
      <c r="AJ710" s="4"/>
      <c r="AL710" s="4"/>
      <c r="AM710" s="4"/>
    </row>
    <row r="711" spans="2:39" x14ac:dyDescent="0.15">
      <c r="B711" s="4"/>
      <c r="C711" s="4"/>
      <c r="AH711" s="6"/>
      <c r="AI711" s="4"/>
      <c r="AJ711" s="4"/>
      <c r="AL711" s="4"/>
      <c r="AM711" s="4"/>
    </row>
    <row r="712" spans="2:39" x14ac:dyDescent="0.15">
      <c r="B712" s="4"/>
      <c r="C712" s="4"/>
      <c r="AH712" s="6"/>
      <c r="AI712" s="4"/>
      <c r="AJ712" s="4"/>
      <c r="AL712" s="4"/>
      <c r="AM712" s="4"/>
    </row>
    <row r="713" spans="2:39" x14ac:dyDescent="0.15">
      <c r="B713" s="4"/>
      <c r="C713" s="4"/>
      <c r="AH713" s="6"/>
      <c r="AI713" s="4"/>
      <c r="AJ713" s="4"/>
      <c r="AL713" s="4"/>
      <c r="AM713" s="4"/>
    </row>
    <row r="714" spans="2:39" x14ac:dyDescent="0.15">
      <c r="B714" s="4"/>
      <c r="C714" s="4"/>
      <c r="AH714" s="6"/>
      <c r="AI714" s="4"/>
      <c r="AJ714" s="4"/>
      <c r="AL714" s="4"/>
      <c r="AM714" s="4"/>
    </row>
    <row r="715" spans="2:39" x14ac:dyDescent="0.15">
      <c r="B715" s="4"/>
      <c r="C715" s="4"/>
      <c r="AH715" s="6"/>
      <c r="AI715" s="4"/>
      <c r="AJ715" s="4"/>
      <c r="AL715" s="4"/>
      <c r="AM715" s="4"/>
    </row>
    <row r="716" spans="2:39" x14ac:dyDescent="0.15">
      <c r="B716" s="4"/>
      <c r="C716" s="4"/>
      <c r="AH716" s="6"/>
      <c r="AI716" s="4"/>
      <c r="AJ716" s="4"/>
      <c r="AL716" s="4"/>
      <c r="AM716" s="4"/>
    </row>
    <row r="717" spans="2:39" x14ac:dyDescent="0.15">
      <c r="B717" s="4"/>
      <c r="C717" s="4"/>
      <c r="AH717" s="6"/>
      <c r="AI717" s="4"/>
      <c r="AJ717" s="4"/>
      <c r="AL717" s="4"/>
      <c r="AM717" s="4"/>
    </row>
    <row r="718" spans="2:39" x14ac:dyDescent="0.15">
      <c r="B718" s="4"/>
      <c r="C718" s="4"/>
      <c r="AH718" s="6"/>
      <c r="AI718" s="4"/>
      <c r="AJ718" s="4"/>
      <c r="AL718" s="4"/>
      <c r="AM718" s="4"/>
    </row>
    <row r="719" spans="2:39" x14ac:dyDescent="0.15">
      <c r="B719" s="4"/>
      <c r="C719" s="4"/>
      <c r="AH719" s="6"/>
      <c r="AI719" s="4"/>
      <c r="AJ719" s="4"/>
      <c r="AL719" s="4"/>
      <c r="AM719" s="4"/>
    </row>
    <row r="720" spans="2:39" x14ac:dyDescent="0.15">
      <c r="B720" s="4"/>
      <c r="C720" s="4"/>
      <c r="AH720" s="6"/>
      <c r="AI720" s="4"/>
      <c r="AJ720" s="4"/>
      <c r="AL720" s="4"/>
      <c r="AM720" s="4"/>
    </row>
    <row r="721" spans="2:39" x14ac:dyDescent="0.15">
      <c r="B721" s="4"/>
      <c r="C721" s="4"/>
      <c r="AH721" s="6"/>
      <c r="AI721" s="4"/>
      <c r="AJ721" s="4"/>
      <c r="AL721" s="4"/>
      <c r="AM721" s="4"/>
    </row>
    <row r="722" spans="2:39" x14ac:dyDescent="0.15">
      <c r="B722" s="4"/>
      <c r="C722" s="4"/>
      <c r="AH722" s="6"/>
      <c r="AI722" s="4"/>
      <c r="AJ722" s="4"/>
      <c r="AL722" s="4"/>
      <c r="AM722" s="4"/>
    </row>
    <row r="723" spans="2:39" x14ac:dyDescent="0.15">
      <c r="B723" s="4"/>
      <c r="C723" s="4"/>
      <c r="AH723" s="6"/>
      <c r="AI723" s="4"/>
      <c r="AJ723" s="4"/>
      <c r="AL723" s="4"/>
      <c r="AM723" s="4"/>
    </row>
    <row r="724" spans="2:39" x14ac:dyDescent="0.15">
      <c r="B724" s="4"/>
      <c r="C724" s="4"/>
      <c r="AH724" s="6"/>
      <c r="AI724" s="4"/>
      <c r="AJ724" s="4"/>
      <c r="AL724" s="4"/>
      <c r="AM724" s="4"/>
    </row>
    <row r="725" spans="2:39" x14ac:dyDescent="0.15">
      <c r="B725" s="4"/>
      <c r="C725" s="4"/>
      <c r="AH725" s="6"/>
      <c r="AI725" s="4"/>
      <c r="AJ725" s="4"/>
      <c r="AL725" s="4"/>
      <c r="AM725" s="4"/>
    </row>
    <row r="726" spans="2:39" x14ac:dyDescent="0.15">
      <c r="B726" s="4"/>
      <c r="C726" s="4"/>
      <c r="AH726" s="6"/>
      <c r="AI726" s="4"/>
      <c r="AJ726" s="4"/>
      <c r="AL726" s="4"/>
      <c r="AM726" s="4"/>
    </row>
    <row r="727" spans="2:39" x14ac:dyDescent="0.15">
      <c r="B727" s="4"/>
      <c r="C727" s="4"/>
      <c r="AH727" s="6"/>
      <c r="AI727" s="4"/>
      <c r="AJ727" s="4"/>
      <c r="AL727" s="4"/>
      <c r="AM727" s="4"/>
    </row>
    <row r="728" spans="2:39" x14ac:dyDescent="0.15">
      <c r="B728" s="4"/>
      <c r="C728" s="4"/>
      <c r="AH728" s="6"/>
      <c r="AI728" s="4"/>
      <c r="AJ728" s="4"/>
      <c r="AL728" s="4"/>
      <c r="AM728" s="4"/>
    </row>
    <row r="729" spans="2:39" x14ac:dyDescent="0.15">
      <c r="B729" s="4"/>
      <c r="C729" s="4"/>
      <c r="AH729" s="6"/>
      <c r="AI729" s="4"/>
      <c r="AJ729" s="4"/>
      <c r="AL729" s="4"/>
      <c r="AM729" s="4"/>
    </row>
    <row r="730" spans="2:39" x14ac:dyDescent="0.15">
      <c r="B730" s="4"/>
      <c r="C730" s="4"/>
      <c r="AH730" s="6"/>
      <c r="AI730" s="4"/>
      <c r="AJ730" s="4"/>
      <c r="AL730" s="4"/>
      <c r="AM730" s="4"/>
    </row>
    <row r="731" spans="2:39" x14ac:dyDescent="0.15">
      <c r="B731" s="4"/>
      <c r="C731" s="4"/>
      <c r="AH731" s="6"/>
      <c r="AI731" s="4"/>
      <c r="AJ731" s="4"/>
      <c r="AL731" s="4"/>
      <c r="AM731" s="4"/>
    </row>
    <row r="732" spans="2:39" x14ac:dyDescent="0.15">
      <c r="B732" s="4"/>
      <c r="C732" s="4"/>
      <c r="AH732" s="6"/>
      <c r="AI732" s="4"/>
      <c r="AJ732" s="4"/>
      <c r="AL732" s="4"/>
      <c r="AM732" s="4"/>
    </row>
    <row r="733" spans="2:39" x14ac:dyDescent="0.15">
      <c r="B733" s="4"/>
      <c r="C733" s="4"/>
      <c r="AH733" s="6"/>
      <c r="AI733" s="4"/>
      <c r="AJ733" s="4"/>
      <c r="AL733" s="4"/>
      <c r="AM733" s="4"/>
    </row>
    <row r="734" spans="2:39" x14ac:dyDescent="0.15">
      <c r="B734" s="4"/>
      <c r="C734" s="4"/>
      <c r="AH734" s="6"/>
      <c r="AI734" s="4"/>
      <c r="AJ734" s="4"/>
      <c r="AL734" s="4"/>
      <c r="AM734" s="4"/>
    </row>
    <row r="735" spans="2:39" x14ac:dyDescent="0.15">
      <c r="B735" s="4"/>
      <c r="C735" s="4"/>
      <c r="AH735" s="6"/>
      <c r="AI735" s="4"/>
      <c r="AJ735" s="4"/>
      <c r="AL735" s="4"/>
      <c r="AM735" s="4"/>
    </row>
    <row r="736" spans="2:39" x14ac:dyDescent="0.15">
      <c r="B736" s="4"/>
      <c r="C736" s="4"/>
      <c r="AH736" s="6"/>
      <c r="AI736" s="4"/>
      <c r="AJ736" s="4"/>
      <c r="AL736" s="4"/>
      <c r="AM736" s="4"/>
    </row>
    <row r="737" spans="2:39" x14ac:dyDescent="0.15">
      <c r="B737" s="4"/>
      <c r="C737" s="4"/>
      <c r="AH737" s="6"/>
      <c r="AI737" s="4"/>
      <c r="AJ737" s="4"/>
      <c r="AL737" s="4"/>
      <c r="AM737" s="4"/>
    </row>
    <row r="738" spans="2:39" x14ac:dyDescent="0.15">
      <c r="B738" s="4"/>
      <c r="C738" s="4"/>
      <c r="AH738" s="6"/>
      <c r="AI738" s="4"/>
      <c r="AJ738" s="4"/>
      <c r="AL738" s="4"/>
      <c r="AM738" s="4"/>
    </row>
    <row r="739" spans="2:39" x14ac:dyDescent="0.15">
      <c r="B739" s="4"/>
      <c r="C739" s="4"/>
      <c r="AH739" s="6"/>
      <c r="AI739" s="4"/>
      <c r="AJ739" s="4"/>
      <c r="AL739" s="4"/>
      <c r="AM739" s="4"/>
    </row>
    <row r="740" spans="2:39" x14ac:dyDescent="0.15">
      <c r="B740" s="4"/>
      <c r="C740" s="4"/>
      <c r="AH740" s="6"/>
      <c r="AI740" s="4"/>
      <c r="AJ740" s="4"/>
      <c r="AL740" s="4"/>
      <c r="AM740" s="4"/>
    </row>
    <row r="741" spans="2:39" x14ac:dyDescent="0.15">
      <c r="B741" s="4"/>
      <c r="C741" s="4"/>
      <c r="AH741" s="6"/>
      <c r="AI741" s="4"/>
      <c r="AJ741" s="4"/>
      <c r="AL741" s="4"/>
      <c r="AM741" s="4"/>
    </row>
    <row r="742" spans="2:39" x14ac:dyDescent="0.15">
      <c r="B742" s="4"/>
      <c r="C742" s="4"/>
      <c r="AH742" s="6"/>
      <c r="AI742" s="4"/>
      <c r="AJ742" s="4"/>
      <c r="AL742" s="4"/>
      <c r="AM742" s="4"/>
    </row>
    <row r="743" spans="2:39" x14ac:dyDescent="0.15">
      <c r="B743" s="4"/>
      <c r="C743" s="4"/>
      <c r="AH743" s="6"/>
      <c r="AI743" s="4"/>
      <c r="AJ743" s="4"/>
      <c r="AL743" s="4"/>
      <c r="AM743" s="4"/>
    </row>
    <row r="744" spans="2:39" x14ac:dyDescent="0.15">
      <c r="B744" s="4"/>
      <c r="C744" s="4"/>
      <c r="AH744" s="6"/>
      <c r="AI744" s="4"/>
      <c r="AJ744" s="4"/>
      <c r="AL744" s="4"/>
      <c r="AM744" s="4"/>
    </row>
    <row r="745" spans="2:39" x14ac:dyDescent="0.15">
      <c r="B745" s="4"/>
      <c r="C745" s="4"/>
      <c r="AH745" s="6"/>
      <c r="AI745" s="4"/>
      <c r="AJ745" s="4"/>
      <c r="AL745" s="4"/>
      <c r="AM745" s="4"/>
    </row>
    <row r="746" spans="2:39" x14ac:dyDescent="0.15">
      <c r="B746" s="4"/>
      <c r="C746" s="4"/>
      <c r="AH746" s="6"/>
      <c r="AI746" s="4"/>
      <c r="AJ746" s="4"/>
      <c r="AL746" s="4"/>
      <c r="AM746" s="4"/>
    </row>
    <row r="747" spans="2:39" x14ac:dyDescent="0.15">
      <c r="B747" s="4"/>
      <c r="C747" s="4"/>
      <c r="AH747" s="6"/>
      <c r="AI747" s="4"/>
      <c r="AJ747" s="4"/>
      <c r="AL747" s="4"/>
      <c r="AM747" s="4"/>
    </row>
    <row r="748" spans="2:39" x14ac:dyDescent="0.15">
      <c r="B748" s="4"/>
      <c r="C748" s="4"/>
      <c r="AH748" s="6"/>
      <c r="AI748" s="4"/>
      <c r="AJ748" s="4"/>
      <c r="AL748" s="4"/>
      <c r="AM748" s="4"/>
    </row>
    <row r="749" spans="2:39" x14ac:dyDescent="0.15">
      <c r="B749" s="4"/>
      <c r="C749" s="4"/>
      <c r="AH749" s="6"/>
      <c r="AI749" s="4"/>
      <c r="AJ749" s="4"/>
      <c r="AL749" s="4"/>
      <c r="AM749" s="4"/>
    </row>
    <row r="750" spans="2:39" x14ac:dyDescent="0.15">
      <c r="B750" s="4"/>
      <c r="C750" s="4"/>
      <c r="AH750" s="6"/>
      <c r="AI750" s="4"/>
      <c r="AJ750" s="4"/>
      <c r="AL750" s="4"/>
      <c r="AM750" s="4"/>
    </row>
    <row r="751" spans="2:39" x14ac:dyDescent="0.15">
      <c r="B751" s="4"/>
      <c r="C751" s="4"/>
      <c r="AH751" s="6"/>
      <c r="AI751" s="4"/>
      <c r="AJ751" s="4"/>
      <c r="AL751" s="4"/>
      <c r="AM751" s="4"/>
    </row>
    <row r="752" spans="2:39" x14ac:dyDescent="0.15">
      <c r="B752" s="4"/>
      <c r="C752" s="4"/>
      <c r="AH752" s="6"/>
      <c r="AI752" s="4"/>
      <c r="AJ752" s="4"/>
      <c r="AL752" s="4"/>
      <c r="AM752" s="4"/>
    </row>
    <row r="753" spans="2:39" x14ac:dyDescent="0.15">
      <c r="B753" s="4"/>
      <c r="C753" s="4"/>
      <c r="AH753" s="6"/>
      <c r="AI753" s="4"/>
      <c r="AJ753" s="4"/>
      <c r="AL753" s="4"/>
      <c r="AM753" s="4"/>
    </row>
    <row r="754" spans="2:39" x14ac:dyDescent="0.15">
      <c r="B754" s="4"/>
      <c r="C754" s="4"/>
      <c r="AH754" s="6"/>
      <c r="AI754" s="4"/>
      <c r="AJ754" s="4"/>
      <c r="AL754" s="4"/>
      <c r="AM754" s="4"/>
    </row>
    <row r="755" spans="2:39" x14ac:dyDescent="0.15">
      <c r="B755" s="4"/>
      <c r="C755" s="4"/>
      <c r="AH755" s="6"/>
      <c r="AI755" s="4"/>
      <c r="AJ755" s="4"/>
      <c r="AL755" s="4"/>
      <c r="AM755" s="4"/>
    </row>
    <row r="756" spans="2:39" x14ac:dyDescent="0.15">
      <c r="B756" s="4"/>
      <c r="C756" s="4"/>
      <c r="AH756" s="6"/>
      <c r="AI756" s="4"/>
      <c r="AJ756" s="4"/>
      <c r="AL756" s="4"/>
      <c r="AM756" s="4"/>
    </row>
    <row r="757" spans="2:39" x14ac:dyDescent="0.15">
      <c r="B757" s="4"/>
      <c r="C757" s="4"/>
      <c r="AH757" s="6"/>
      <c r="AI757" s="4"/>
      <c r="AJ757" s="4"/>
      <c r="AL757" s="4"/>
      <c r="AM757" s="4"/>
    </row>
    <row r="758" spans="2:39" x14ac:dyDescent="0.15">
      <c r="B758" s="4"/>
      <c r="C758" s="4"/>
      <c r="AH758" s="6"/>
      <c r="AI758" s="4"/>
      <c r="AJ758" s="4"/>
      <c r="AL758" s="4"/>
      <c r="AM758" s="4"/>
    </row>
    <row r="759" spans="2:39" x14ac:dyDescent="0.15">
      <c r="B759" s="4"/>
      <c r="C759" s="4"/>
      <c r="AH759" s="6"/>
      <c r="AI759" s="4"/>
      <c r="AJ759" s="4"/>
      <c r="AL759" s="4"/>
      <c r="AM759" s="4"/>
    </row>
    <row r="760" spans="2:39" x14ac:dyDescent="0.15">
      <c r="B760" s="4"/>
      <c r="C760" s="4"/>
      <c r="AH760" s="6"/>
      <c r="AI760" s="4"/>
      <c r="AJ760" s="4"/>
      <c r="AL760" s="4"/>
      <c r="AM760" s="4"/>
    </row>
    <row r="761" spans="2:39" x14ac:dyDescent="0.15">
      <c r="B761" s="4"/>
      <c r="C761" s="4"/>
      <c r="AH761" s="6"/>
      <c r="AI761" s="4"/>
      <c r="AJ761" s="4"/>
      <c r="AL761" s="4"/>
      <c r="AM761" s="4"/>
    </row>
    <row r="762" spans="2:39" x14ac:dyDescent="0.15">
      <c r="B762" s="4"/>
      <c r="C762" s="4"/>
      <c r="AH762" s="6"/>
      <c r="AI762" s="4"/>
      <c r="AJ762" s="4"/>
      <c r="AL762" s="4"/>
      <c r="AM762" s="4"/>
    </row>
    <row r="763" spans="2:39" x14ac:dyDescent="0.15">
      <c r="B763" s="4"/>
      <c r="C763" s="4"/>
      <c r="AH763" s="6"/>
      <c r="AI763" s="4"/>
      <c r="AJ763" s="4"/>
      <c r="AL763" s="4"/>
      <c r="AM763" s="4"/>
    </row>
    <row r="764" spans="2:39" x14ac:dyDescent="0.15">
      <c r="B764" s="4"/>
      <c r="C764" s="4"/>
      <c r="AH764" s="6"/>
      <c r="AI764" s="4"/>
      <c r="AJ764" s="4"/>
      <c r="AL764" s="4"/>
      <c r="AM764" s="4"/>
    </row>
    <row r="765" spans="2:39" x14ac:dyDescent="0.15">
      <c r="B765" s="4"/>
      <c r="C765" s="4"/>
      <c r="AH765" s="6"/>
      <c r="AI765" s="4"/>
      <c r="AJ765" s="4"/>
      <c r="AL765" s="4"/>
      <c r="AM765" s="4"/>
    </row>
    <row r="766" spans="2:39" x14ac:dyDescent="0.15">
      <c r="B766" s="4"/>
      <c r="C766" s="4"/>
      <c r="AH766" s="6"/>
      <c r="AI766" s="4"/>
      <c r="AJ766" s="4"/>
      <c r="AL766" s="4"/>
      <c r="AM766" s="4"/>
    </row>
    <row r="767" spans="2:39" x14ac:dyDescent="0.15">
      <c r="B767" s="4"/>
      <c r="C767" s="4"/>
      <c r="AH767" s="6"/>
      <c r="AI767" s="4"/>
      <c r="AJ767" s="4"/>
      <c r="AL767" s="4"/>
      <c r="AM767" s="4"/>
    </row>
    <row r="768" spans="2:39" x14ac:dyDescent="0.15">
      <c r="B768" s="4"/>
      <c r="C768" s="4"/>
      <c r="AH768" s="6"/>
      <c r="AI768" s="4"/>
      <c r="AJ768" s="4"/>
      <c r="AL768" s="4"/>
      <c r="AM768" s="4"/>
    </row>
    <row r="769" spans="2:39" x14ac:dyDescent="0.15">
      <c r="B769" s="4"/>
      <c r="C769" s="4"/>
      <c r="AH769" s="6"/>
      <c r="AI769" s="4"/>
      <c r="AJ769" s="4"/>
      <c r="AL769" s="4"/>
      <c r="AM769" s="4"/>
    </row>
    <row r="770" spans="2:39" x14ac:dyDescent="0.15">
      <c r="B770" s="4"/>
      <c r="C770" s="4"/>
      <c r="AH770" s="6"/>
      <c r="AI770" s="4"/>
      <c r="AJ770" s="4"/>
      <c r="AL770" s="4"/>
      <c r="AM770" s="4"/>
    </row>
    <row r="771" spans="2:39" x14ac:dyDescent="0.15">
      <c r="B771" s="4"/>
      <c r="C771" s="4"/>
      <c r="AH771" s="6"/>
      <c r="AI771" s="4"/>
      <c r="AJ771" s="4"/>
      <c r="AL771" s="4"/>
      <c r="AM771" s="4"/>
    </row>
    <row r="772" spans="2:39" x14ac:dyDescent="0.15">
      <c r="B772" s="4"/>
      <c r="C772" s="4"/>
      <c r="AH772" s="6"/>
      <c r="AI772" s="4"/>
      <c r="AJ772" s="4"/>
      <c r="AL772" s="4"/>
      <c r="AM772" s="4"/>
    </row>
    <row r="773" spans="2:39" x14ac:dyDescent="0.15">
      <c r="B773" s="4"/>
      <c r="C773" s="4"/>
      <c r="AH773" s="6"/>
      <c r="AI773" s="4"/>
      <c r="AJ773" s="4"/>
      <c r="AL773" s="4"/>
      <c r="AM773" s="4"/>
    </row>
    <row r="774" spans="2:39" x14ac:dyDescent="0.15">
      <c r="B774" s="4"/>
      <c r="C774" s="4"/>
      <c r="AH774" s="6"/>
      <c r="AI774" s="4"/>
      <c r="AJ774" s="4"/>
      <c r="AL774" s="4"/>
      <c r="AM774" s="4"/>
    </row>
    <row r="775" spans="2:39" x14ac:dyDescent="0.15">
      <c r="B775" s="4"/>
      <c r="C775" s="4"/>
      <c r="AH775" s="6"/>
      <c r="AI775" s="4"/>
      <c r="AJ775" s="4"/>
      <c r="AL775" s="4"/>
      <c r="AM775" s="4"/>
    </row>
    <row r="776" spans="2:39" x14ac:dyDescent="0.15">
      <c r="B776" s="4"/>
      <c r="C776" s="4"/>
      <c r="AH776" s="6"/>
      <c r="AI776" s="4"/>
      <c r="AJ776" s="4"/>
      <c r="AL776" s="4"/>
      <c r="AM776" s="4"/>
    </row>
    <row r="777" spans="2:39" x14ac:dyDescent="0.15">
      <c r="B777" s="4"/>
      <c r="C777" s="4"/>
      <c r="AH777" s="6"/>
      <c r="AI777" s="4"/>
      <c r="AJ777" s="4"/>
      <c r="AL777" s="4"/>
      <c r="AM777" s="4"/>
    </row>
    <row r="778" spans="2:39" x14ac:dyDescent="0.15">
      <c r="B778" s="4"/>
      <c r="C778" s="4"/>
      <c r="AH778" s="6"/>
      <c r="AI778" s="4"/>
      <c r="AJ778" s="4"/>
      <c r="AL778" s="4"/>
      <c r="AM778" s="4"/>
    </row>
    <row r="779" spans="2:39" x14ac:dyDescent="0.15">
      <c r="B779" s="4"/>
      <c r="C779" s="4"/>
      <c r="AH779" s="6"/>
      <c r="AI779" s="4"/>
      <c r="AJ779" s="4"/>
      <c r="AL779" s="4"/>
      <c r="AM779" s="4"/>
    </row>
    <row r="780" spans="2:39" x14ac:dyDescent="0.15">
      <c r="B780" s="4"/>
      <c r="C780" s="4"/>
      <c r="AH780" s="6"/>
      <c r="AI780" s="4"/>
      <c r="AJ780" s="4"/>
      <c r="AL780" s="4"/>
      <c r="AM780" s="4"/>
    </row>
    <row r="781" spans="2:39" x14ac:dyDescent="0.15">
      <c r="B781" s="4"/>
      <c r="C781" s="4"/>
      <c r="AH781" s="6"/>
      <c r="AI781" s="4"/>
      <c r="AJ781" s="4"/>
      <c r="AL781" s="4"/>
      <c r="AM781" s="4"/>
    </row>
    <row r="782" spans="2:39" x14ac:dyDescent="0.15">
      <c r="B782" s="4"/>
      <c r="C782" s="4"/>
      <c r="AH782" s="6"/>
      <c r="AI782" s="4"/>
      <c r="AJ782" s="4"/>
      <c r="AL782" s="4"/>
      <c r="AM782" s="4"/>
    </row>
    <row r="783" spans="2:39" x14ac:dyDescent="0.15">
      <c r="B783" s="4"/>
      <c r="C783" s="4"/>
      <c r="AH783" s="6"/>
      <c r="AI783" s="4"/>
      <c r="AJ783" s="4"/>
      <c r="AL783" s="4"/>
      <c r="AM783" s="4"/>
    </row>
    <row r="784" spans="2:39" x14ac:dyDescent="0.15">
      <c r="B784" s="4"/>
      <c r="C784" s="4"/>
      <c r="AH784" s="6"/>
      <c r="AI784" s="4"/>
      <c r="AJ784" s="4"/>
      <c r="AL784" s="4"/>
      <c r="AM784" s="4"/>
    </row>
    <row r="785" spans="2:39" x14ac:dyDescent="0.15">
      <c r="B785" s="4"/>
      <c r="C785" s="4"/>
      <c r="AH785" s="6"/>
      <c r="AI785" s="4"/>
      <c r="AJ785" s="4"/>
      <c r="AL785" s="4"/>
      <c r="AM785" s="4"/>
    </row>
    <row r="786" spans="2:39" x14ac:dyDescent="0.15">
      <c r="B786" s="4"/>
      <c r="C786" s="4"/>
      <c r="AH786" s="6"/>
      <c r="AI786" s="4"/>
      <c r="AJ786" s="4"/>
      <c r="AL786" s="4"/>
      <c r="AM786" s="4"/>
    </row>
    <row r="787" spans="2:39" x14ac:dyDescent="0.15">
      <c r="B787" s="4"/>
      <c r="C787" s="4"/>
      <c r="AH787" s="6"/>
      <c r="AI787" s="4"/>
      <c r="AJ787" s="4"/>
      <c r="AL787" s="4"/>
      <c r="AM787" s="4"/>
    </row>
    <row r="788" spans="2:39" x14ac:dyDescent="0.15">
      <c r="B788" s="4"/>
      <c r="C788" s="4"/>
      <c r="AH788" s="6"/>
      <c r="AI788" s="4"/>
      <c r="AJ788" s="4"/>
      <c r="AL788" s="4"/>
      <c r="AM788" s="4"/>
    </row>
    <row r="789" spans="2:39" x14ac:dyDescent="0.15">
      <c r="B789" s="4"/>
      <c r="C789" s="4"/>
      <c r="AH789" s="6"/>
      <c r="AI789" s="4"/>
      <c r="AJ789" s="4"/>
      <c r="AL789" s="4"/>
      <c r="AM789" s="4"/>
    </row>
    <row r="790" spans="2:39" x14ac:dyDescent="0.15">
      <c r="B790" s="4"/>
      <c r="C790" s="4"/>
      <c r="AH790" s="6"/>
      <c r="AI790" s="4"/>
      <c r="AJ790" s="4"/>
      <c r="AL790" s="4"/>
      <c r="AM790" s="4"/>
    </row>
    <row r="791" spans="2:39" x14ac:dyDescent="0.15">
      <c r="B791" s="4"/>
      <c r="C791" s="4"/>
      <c r="AH791" s="6"/>
      <c r="AI791" s="4"/>
      <c r="AJ791" s="4"/>
      <c r="AL791" s="4"/>
      <c r="AM791" s="4"/>
    </row>
    <row r="792" spans="2:39" x14ac:dyDescent="0.15">
      <c r="B792" s="4"/>
      <c r="C792" s="4"/>
      <c r="AH792" s="6"/>
      <c r="AI792" s="4"/>
      <c r="AJ792" s="4"/>
      <c r="AL792" s="4"/>
      <c r="AM792" s="4"/>
    </row>
    <row r="793" spans="2:39" x14ac:dyDescent="0.15">
      <c r="B793" s="4"/>
      <c r="C793" s="4"/>
      <c r="AH793" s="6"/>
      <c r="AI793" s="4"/>
      <c r="AJ793" s="4"/>
      <c r="AL793" s="4"/>
      <c r="AM793" s="4"/>
    </row>
    <row r="794" spans="2:39" x14ac:dyDescent="0.15">
      <c r="B794" s="4"/>
      <c r="C794" s="4"/>
      <c r="AH794" s="6"/>
      <c r="AI794" s="4"/>
      <c r="AJ794" s="4"/>
      <c r="AL794" s="4"/>
      <c r="AM794" s="4"/>
    </row>
    <row r="795" spans="2:39" x14ac:dyDescent="0.15">
      <c r="B795" s="4"/>
      <c r="C795" s="4"/>
      <c r="AH795" s="6"/>
      <c r="AI795" s="4"/>
      <c r="AJ795" s="4"/>
      <c r="AL795" s="4"/>
      <c r="AM795" s="4"/>
    </row>
    <row r="796" spans="2:39" x14ac:dyDescent="0.15">
      <c r="B796" s="4"/>
      <c r="C796" s="4"/>
      <c r="AH796" s="6"/>
      <c r="AI796" s="4"/>
      <c r="AJ796" s="4"/>
      <c r="AL796" s="4"/>
      <c r="AM796" s="4"/>
    </row>
    <row r="797" spans="2:39" x14ac:dyDescent="0.15">
      <c r="B797" s="4"/>
      <c r="C797" s="4"/>
      <c r="AH797" s="6"/>
      <c r="AI797" s="4"/>
      <c r="AJ797" s="4"/>
      <c r="AL797" s="4"/>
      <c r="AM797" s="4"/>
    </row>
    <row r="798" spans="2:39" x14ac:dyDescent="0.15">
      <c r="B798" s="4"/>
      <c r="C798" s="4"/>
      <c r="AH798" s="6"/>
      <c r="AI798" s="4"/>
      <c r="AJ798" s="4"/>
      <c r="AL798" s="4"/>
      <c r="AM798" s="4"/>
    </row>
    <row r="799" spans="2:39" x14ac:dyDescent="0.15">
      <c r="B799" s="4"/>
      <c r="C799" s="4"/>
      <c r="AH799" s="6"/>
      <c r="AI799" s="4"/>
      <c r="AJ799" s="4"/>
      <c r="AL799" s="4"/>
      <c r="AM799" s="4"/>
    </row>
    <row r="800" spans="2:39" x14ac:dyDescent="0.15">
      <c r="B800" s="4"/>
      <c r="C800" s="4"/>
      <c r="AH800" s="6"/>
      <c r="AI800" s="4"/>
      <c r="AJ800" s="4"/>
      <c r="AL800" s="4"/>
      <c r="AM800" s="4"/>
    </row>
    <row r="801" spans="2:39" x14ac:dyDescent="0.15">
      <c r="B801" s="4"/>
      <c r="C801" s="4"/>
      <c r="AH801" s="6"/>
      <c r="AI801" s="4"/>
      <c r="AJ801" s="4"/>
      <c r="AL801" s="4"/>
      <c r="AM801" s="4"/>
    </row>
    <row r="802" spans="2:39" x14ac:dyDescent="0.15">
      <c r="B802" s="4"/>
      <c r="C802" s="4"/>
      <c r="AH802" s="6"/>
      <c r="AI802" s="4"/>
      <c r="AJ802" s="4"/>
      <c r="AL802" s="4"/>
      <c r="AM802" s="4"/>
    </row>
    <row r="803" spans="2:39" x14ac:dyDescent="0.15">
      <c r="B803" s="4"/>
      <c r="C803" s="4"/>
      <c r="AH803" s="6"/>
      <c r="AI803" s="4"/>
      <c r="AJ803" s="4"/>
      <c r="AL803" s="4"/>
      <c r="AM803" s="4"/>
    </row>
    <row r="804" spans="2:39" x14ac:dyDescent="0.15">
      <c r="B804" s="4"/>
      <c r="C804" s="4"/>
      <c r="AH804" s="6"/>
      <c r="AI804" s="4"/>
      <c r="AJ804" s="4"/>
      <c r="AL804" s="4"/>
      <c r="AM804" s="4"/>
    </row>
    <row r="805" spans="2:39" x14ac:dyDescent="0.15">
      <c r="B805" s="4"/>
      <c r="C805" s="4"/>
      <c r="AH805" s="6"/>
      <c r="AI805" s="4"/>
      <c r="AJ805" s="4"/>
      <c r="AL805" s="4"/>
      <c r="AM805" s="4"/>
    </row>
    <row r="806" spans="2:39" x14ac:dyDescent="0.15">
      <c r="B806" s="4"/>
      <c r="C806" s="4"/>
      <c r="AH806" s="6"/>
      <c r="AI806" s="4"/>
      <c r="AJ806" s="4"/>
      <c r="AL806" s="4"/>
      <c r="AM806" s="4"/>
    </row>
    <row r="807" spans="2:39" x14ac:dyDescent="0.15">
      <c r="B807" s="4"/>
      <c r="C807" s="4"/>
      <c r="AH807" s="6"/>
      <c r="AI807" s="4"/>
      <c r="AJ807" s="4"/>
      <c r="AL807" s="4"/>
      <c r="AM807" s="4"/>
    </row>
    <row r="808" spans="2:39" x14ac:dyDescent="0.15">
      <c r="B808" s="4"/>
      <c r="C808" s="4"/>
      <c r="AH808" s="6"/>
      <c r="AI808" s="4"/>
      <c r="AJ808" s="4"/>
      <c r="AL808" s="4"/>
      <c r="AM808" s="4"/>
    </row>
    <row r="809" spans="2:39" x14ac:dyDescent="0.15">
      <c r="B809" s="4"/>
      <c r="C809" s="4"/>
      <c r="AH809" s="6"/>
      <c r="AI809" s="4"/>
      <c r="AJ809" s="4"/>
      <c r="AL809" s="4"/>
      <c r="AM809" s="4"/>
    </row>
    <row r="810" spans="2:39" x14ac:dyDescent="0.15">
      <c r="B810" s="4"/>
      <c r="C810" s="4"/>
      <c r="AH810" s="6"/>
      <c r="AI810" s="4"/>
      <c r="AJ810" s="4"/>
      <c r="AL810" s="4"/>
      <c r="AM810" s="4"/>
    </row>
    <row r="811" spans="2:39" x14ac:dyDescent="0.15">
      <c r="B811" s="4"/>
      <c r="C811" s="4"/>
      <c r="AH811" s="6"/>
      <c r="AI811" s="4"/>
      <c r="AJ811" s="4"/>
      <c r="AL811" s="4"/>
      <c r="AM811" s="4"/>
    </row>
    <row r="812" spans="2:39" x14ac:dyDescent="0.15">
      <c r="B812" s="4"/>
      <c r="C812" s="4"/>
      <c r="AH812" s="6"/>
      <c r="AI812" s="4"/>
      <c r="AJ812" s="4"/>
      <c r="AL812" s="4"/>
      <c r="AM812" s="4"/>
    </row>
    <row r="813" spans="2:39" x14ac:dyDescent="0.15">
      <c r="B813" s="4"/>
      <c r="C813" s="4"/>
      <c r="AH813" s="6"/>
      <c r="AI813" s="4"/>
      <c r="AJ813" s="4"/>
      <c r="AL813" s="4"/>
      <c r="AM813" s="4"/>
    </row>
    <row r="814" spans="2:39" x14ac:dyDescent="0.15">
      <c r="B814" s="4"/>
      <c r="C814" s="4"/>
      <c r="AH814" s="6"/>
      <c r="AI814" s="4"/>
      <c r="AJ814" s="4"/>
      <c r="AL814" s="4"/>
      <c r="AM814" s="4"/>
    </row>
    <row r="815" spans="2:39" x14ac:dyDescent="0.15">
      <c r="B815" s="4"/>
      <c r="C815" s="4"/>
      <c r="AH815" s="6"/>
      <c r="AI815" s="4"/>
      <c r="AJ815" s="4"/>
      <c r="AL815" s="4"/>
      <c r="AM815" s="4"/>
    </row>
    <row r="816" spans="2:39" x14ac:dyDescent="0.15">
      <c r="B816" s="4"/>
      <c r="C816" s="4"/>
      <c r="AH816" s="6"/>
      <c r="AI816" s="4"/>
      <c r="AJ816" s="4"/>
      <c r="AL816" s="4"/>
      <c r="AM816" s="4"/>
    </row>
    <row r="817" spans="2:39" x14ac:dyDescent="0.15">
      <c r="B817" s="4"/>
      <c r="C817" s="4"/>
      <c r="AH817" s="6"/>
      <c r="AI817" s="4"/>
      <c r="AJ817" s="4"/>
      <c r="AL817" s="4"/>
      <c r="AM817" s="4"/>
    </row>
    <row r="818" spans="2:39" x14ac:dyDescent="0.15">
      <c r="B818" s="4"/>
      <c r="C818" s="4"/>
      <c r="AH818" s="6"/>
      <c r="AI818" s="4"/>
      <c r="AJ818" s="4"/>
      <c r="AL818" s="4"/>
      <c r="AM818" s="4"/>
    </row>
    <row r="819" spans="2:39" x14ac:dyDescent="0.15">
      <c r="B819" s="4"/>
      <c r="C819" s="4"/>
      <c r="AH819" s="6"/>
      <c r="AI819" s="4"/>
      <c r="AJ819" s="4"/>
      <c r="AL819" s="4"/>
      <c r="AM819" s="4"/>
    </row>
    <row r="820" spans="2:39" x14ac:dyDescent="0.15">
      <c r="B820" s="4"/>
      <c r="C820" s="4"/>
      <c r="AH820" s="6"/>
      <c r="AI820" s="4"/>
      <c r="AJ820" s="4"/>
      <c r="AL820" s="4"/>
      <c r="AM820" s="4"/>
    </row>
    <row r="821" spans="2:39" x14ac:dyDescent="0.15">
      <c r="B821" s="4"/>
      <c r="C821" s="4"/>
      <c r="AH821" s="6"/>
      <c r="AI821" s="4"/>
      <c r="AJ821" s="4"/>
      <c r="AL821" s="4"/>
      <c r="AM821" s="4"/>
    </row>
    <row r="822" spans="2:39" x14ac:dyDescent="0.15">
      <c r="B822" s="4"/>
      <c r="C822" s="4"/>
      <c r="AH822" s="6"/>
      <c r="AI822" s="4"/>
      <c r="AJ822" s="4"/>
      <c r="AL822" s="4"/>
      <c r="AM822" s="4"/>
    </row>
    <row r="823" spans="2:39" x14ac:dyDescent="0.15">
      <c r="B823" s="4"/>
      <c r="C823" s="4"/>
      <c r="AH823" s="6"/>
      <c r="AI823" s="4"/>
      <c r="AJ823" s="4"/>
      <c r="AL823" s="4"/>
      <c r="AM823" s="4"/>
    </row>
    <row r="824" spans="2:39" x14ac:dyDescent="0.15">
      <c r="B824" s="4"/>
      <c r="C824" s="4"/>
      <c r="AH824" s="6"/>
      <c r="AI824" s="4"/>
      <c r="AJ824" s="4"/>
      <c r="AL824" s="4"/>
      <c r="AM824" s="4"/>
    </row>
    <row r="825" spans="2:39" x14ac:dyDescent="0.15">
      <c r="B825" s="4"/>
      <c r="C825" s="4"/>
      <c r="AH825" s="6"/>
      <c r="AI825" s="4"/>
      <c r="AJ825" s="4"/>
      <c r="AL825" s="4"/>
      <c r="AM825" s="4"/>
    </row>
    <row r="826" spans="2:39" x14ac:dyDescent="0.15">
      <c r="B826" s="4"/>
      <c r="C826" s="4"/>
      <c r="AH826" s="6"/>
      <c r="AI826" s="4"/>
      <c r="AJ826" s="4"/>
      <c r="AL826" s="4"/>
      <c r="AM826" s="4"/>
    </row>
    <row r="827" spans="2:39" x14ac:dyDescent="0.15">
      <c r="B827" s="4"/>
      <c r="C827" s="4"/>
      <c r="AH827" s="6"/>
      <c r="AI827" s="4"/>
      <c r="AJ827" s="4"/>
      <c r="AL827" s="4"/>
      <c r="AM827" s="4"/>
    </row>
    <row r="828" spans="2:39" x14ac:dyDescent="0.15">
      <c r="B828" s="4"/>
      <c r="C828" s="4"/>
      <c r="AH828" s="6"/>
      <c r="AI828" s="4"/>
      <c r="AJ828" s="4"/>
      <c r="AL828" s="4"/>
      <c r="AM828" s="4"/>
    </row>
    <row r="829" spans="2:39" x14ac:dyDescent="0.15">
      <c r="B829" s="4"/>
      <c r="C829" s="4"/>
      <c r="AH829" s="6"/>
      <c r="AI829" s="4"/>
      <c r="AJ829" s="4"/>
      <c r="AL829" s="4"/>
      <c r="AM829" s="4"/>
    </row>
    <row r="830" spans="2:39" x14ac:dyDescent="0.15">
      <c r="B830" s="4"/>
      <c r="C830" s="4"/>
      <c r="AH830" s="6"/>
      <c r="AI830" s="4"/>
      <c r="AJ830" s="4"/>
      <c r="AL830" s="4"/>
      <c r="AM830" s="4"/>
    </row>
    <row r="831" spans="2:39" x14ac:dyDescent="0.15">
      <c r="B831" s="4"/>
      <c r="C831" s="4"/>
      <c r="AH831" s="6"/>
      <c r="AI831" s="4"/>
      <c r="AJ831" s="4"/>
      <c r="AL831" s="4"/>
      <c r="AM831" s="4"/>
    </row>
    <row r="832" spans="2:39" x14ac:dyDescent="0.15">
      <c r="B832" s="4"/>
      <c r="C832" s="4"/>
      <c r="AH832" s="6"/>
      <c r="AI832" s="4"/>
      <c r="AJ832" s="4"/>
      <c r="AL832" s="4"/>
      <c r="AM832" s="4"/>
    </row>
    <row r="833" spans="2:39" x14ac:dyDescent="0.15">
      <c r="B833" s="4"/>
      <c r="C833" s="4"/>
      <c r="AH833" s="6"/>
      <c r="AI833" s="4"/>
      <c r="AJ833" s="4"/>
      <c r="AL833" s="4"/>
      <c r="AM833" s="4"/>
    </row>
    <row r="834" spans="2:39" x14ac:dyDescent="0.15">
      <c r="B834" s="4"/>
      <c r="C834" s="4"/>
      <c r="AH834" s="6"/>
      <c r="AI834" s="4"/>
      <c r="AJ834" s="4"/>
      <c r="AL834" s="4"/>
      <c r="AM834" s="4"/>
    </row>
    <row r="835" spans="2:39" x14ac:dyDescent="0.15">
      <c r="B835" s="4"/>
      <c r="C835" s="4"/>
      <c r="AH835" s="6"/>
      <c r="AI835" s="4"/>
      <c r="AJ835" s="4"/>
      <c r="AL835" s="4"/>
      <c r="AM835" s="4"/>
    </row>
    <row r="836" spans="2:39" x14ac:dyDescent="0.15">
      <c r="B836" s="4"/>
      <c r="C836" s="4"/>
      <c r="AH836" s="6"/>
      <c r="AI836" s="4"/>
      <c r="AJ836" s="4"/>
      <c r="AL836" s="4"/>
      <c r="AM836" s="4"/>
    </row>
    <row r="837" spans="2:39" x14ac:dyDescent="0.15">
      <c r="B837" s="4"/>
      <c r="C837" s="4"/>
      <c r="AH837" s="6"/>
      <c r="AI837" s="4"/>
      <c r="AJ837" s="4"/>
      <c r="AL837" s="4"/>
      <c r="AM837" s="4"/>
    </row>
    <row r="838" spans="2:39" x14ac:dyDescent="0.15">
      <c r="B838" s="4"/>
      <c r="C838" s="4"/>
      <c r="AH838" s="6"/>
      <c r="AI838" s="4"/>
      <c r="AJ838" s="4"/>
      <c r="AL838" s="4"/>
      <c r="AM838" s="4"/>
    </row>
    <row r="839" spans="2:39" x14ac:dyDescent="0.15">
      <c r="B839" s="4"/>
      <c r="C839" s="4"/>
      <c r="AH839" s="6"/>
      <c r="AI839" s="4"/>
      <c r="AJ839" s="4"/>
      <c r="AL839" s="4"/>
      <c r="AM839" s="4"/>
    </row>
    <row r="840" spans="2:39" x14ac:dyDescent="0.15">
      <c r="B840" s="4"/>
      <c r="C840" s="4"/>
      <c r="AH840" s="6"/>
      <c r="AI840" s="4"/>
      <c r="AJ840" s="4"/>
      <c r="AL840" s="4"/>
      <c r="AM840" s="4"/>
    </row>
    <row r="841" spans="2:39" x14ac:dyDescent="0.15">
      <c r="B841" s="4"/>
      <c r="C841" s="4"/>
      <c r="AH841" s="6"/>
      <c r="AI841" s="4"/>
      <c r="AJ841" s="4"/>
      <c r="AL841" s="4"/>
      <c r="AM841" s="4"/>
    </row>
    <row r="842" spans="2:39" x14ac:dyDescent="0.15">
      <c r="B842" s="4"/>
      <c r="C842" s="4"/>
      <c r="AH842" s="6"/>
      <c r="AI842" s="4"/>
      <c r="AJ842" s="4"/>
      <c r="AL842" s="4"/>
      <c r="AM842" s="4"/>
    </row>
    <row r="843" spans="2:39" x14ac:dyDescent="0.15">
      <c r="B843" s="4"/>
      <c r="C843" s="4"/>
      <c r="AH843" s="6"/>
      <c r="AI843" s="4"/>
      <c r="AJ843" s="4"/>
      <c r="AL843" s="4"/>
      <c r="AM843" s="4"/>
    </row>
    <row r="844" spans="2:39" x14ac:dyDescent="0.15">
      <c r="B844" s="4"/>
      <c r="C844" s="4"/>
      <c r="AH844" s="6"/>
      <c r="AI844" s="4"/>
      <c r="AJ844" s="4"/>
      <c r="AL844" s="4"/>
      <c r="AM844" s="4"/>
    </row>
    <row r="845" spans="2:39" x14ac:dyDescent="0.15">
      <c r="B845" s="4"/>
      <c r="C845" s="4"/>
      <c r="AH845" s="6"/>
      <c r="AI845" s="4"/>
      <c r="AJ845" s="4"/>
      <c r="AL845" s="4"/>
      <c r="AM845" s="4"/>
    </row>
    <row r="846" spans="2:39" x14ac:dyDescent="0.15">
      <c r="B846" s="4"/>
      <c r="C846" s="4"/>
      <c r="AH846" s="6"/>
      <c r="AI846" s="4"/>
      <c r="AJ846" s="4"/>
      <c r="AL846" s="4"/>
      <c r="AM846" s="4"/>
    </row>
    <row r="847" spans="2:39" x14ac:dyDescent="0.15">
      <c r="B847" s="4"/>
      <c r="C847" s="4"/>
      <c r="AH847" s="6"/>
      <c r="AI847" s="4"/>
      <c r="AJ847" s="4"/>
      <c r="AL847" s="4"/>
      <c r="AM847" s="4"/>
    </row>
    <row r="848" spans="2:39" x14ac:dyDescent="0.15">
      <c r="B848" s="4"/>
      <c r="C848" s="4"/>
      <c r="AH848" s="6"/>
      <c r="AI848" s="4"/>
      <c r="AJ848" s="4"/>
      <c r="AL848" s="4"/>
      <c r="AM848" s="4"/>
    </row>
    <row r="849" spans="2:39" x14ac:dyDescent="0.15">
      <c r="B849" s="4"/>
      <c r="C849" s="4"/>
      <c r="AH849" s="6"/>
      <c r="AI849" s="4"/>
      <c r="AJ849" s="4"/>
      <c r="AL849" s="4"/>
      <c r="AM849" s="4"/>
    </row>
    <row r="850" spans="2:39" x14ac:dyDescent="0.15">
      <c r="B850" s="4"/>
      <c r="C850" s="4"/>
      <c r="AH850" s="6"/>
      <c r="AI850" s="4"/>
      <c r="AJ850" s="4"/>
      <c r="AL850" s="4"/>
      <c r="AM850" s="4"/>
    </row>
    <row r="851" spans="2:39" x14ac:dyDescent="0.15">
      <c r="B851" s="4"/>
      <c r="C851" s="4"/>
      <c r="AH851" s="6"/>
      <c r="AI851" s="4"/>
      <c r="AJ851" s="4"/>
      <c r="AL851" s="4"/>
      <c r="AM851" s="4"/>
    </row>
    <row r="852" spans="2:39" x14ac:dyDescent="0.15">
      <c r="B852" s="4"/>
      <c r="C852" s="4"/>
      <c r="AH852" s="6"/>
      <c r="AI852" s="4"/>
      <c r="AJ852" s="4"/>
      <c r="AL852" s="4"/>
      <c r="AM852" s="4"/>
    </row>
    <row r="853" spans="2:39" x14ac:dyDescent="0.15">
      <c r="B853" s="4"/>
      <c r="C853" s="4"/>
      <c r="AH853" s="6"/>
      <c r="AI853" s="4"/>
      <c r="AJ853" s="4"/>
      <c r="AL853" s="4"/>
      <c r="AM853" s="4"/>
    </row>
    <row r="854" spans="2:39" x14ac:dyDescent="0.15">
      <c r="B854" s="4"/>
      <c r="C854" s="4"/>
      <c r="AH854" s="6"/>
      <c r="AI854" s="4"/>
      <c r="AJ854" s="4"/>
      <c r="AL854" s="4"/>
      <c r="AM854" s="4"/>
    </row>
    <row r="855" spans="2:39" x14ac:dyDescent="0.15">
      <c r="B855" s="4"/>
      <c r="C855" s="4"/>
      <c r="AH855" s="6"/>
      <c r="AI855" s="4"/>
      <c r="AJ855" s="4"/>
      <c r="AL855" s="4"/>
      <c r="AM855" s="4"/>
    </row>
    <row r="856" spans="2:39" x14ac:dyDescent="0.15">
      <c r="B856" s="4"/>
      <c r="C856" s="4"/>
      <c r="AH856" s="6"/>
      <c r="AI856" s="4"/>
      <c r="AJ856" s="4"/>
      <c r="AL856" s="4"/>
      <c r="AM856" s="4"/>
    </row>
    <row r="857" spans="2:39" x14ac:dyDescent="0.15">
      <c r="B857" s="4"/>
      <c r="C857" s="4"/>
      <c r="AH857" s="6"/>
      <c r="AI857" s="4"/>
      <c r="AJ857" s="4"/>
      <c r="AL857" s="4"/>
      <c r="AM857" s="4"/>
    </row>
    <row r="858" spans="2:39" x14ac:dyDescent="0.15">
      <c r="B858" s="4"/>
      <c r="C858" s="4"/>
      <c r="AH858" s="6"/>
      <c r="AI858" s="4"/>
      <c r="AJ858" s="4"/>
      <c r="AL858" s="4"/>
      <c r="AM858" s="4"/>
    </row>
    <row r="859" spans="2:39" x14ac:dyDescent="0.15">
      <c r="B859" s="4"/>
      <c r="C859" s="4"/>
      <c r="AH859" s="6"/>
      <c r="AI859" s="4"/>
      <c r="AJ859" s="4"/>
      <c r="AL859" s="4"/>
      <c r="AM859" s="4"/>
    </row>
    <row r="860" spans="2:39" x14ac:dyDescent="0.15">
      <c r="B860" s="4"/>
      <c r="C860" s="4"/>
      <c r="AH860" s="6"/>
      <c r="AI860" s="4"/>
      <c r="AJ860" s="4"/>
      <c r="AL860" s="4"/>
      <c r="AM860" s="4"/>
    </row>
    <row r="861" spans="2:39" x14ac:dyDescent="0.15">
      <c r="B861" s="4"/>
      <c r="C861" s="4"/>
      <c r="AH861" s="6"/>
      <c r="AI861" s="4"/>
      <c r="AJ861" s="4"/>
      <c r="AL861" s="4"/>
      <c r="AM861" s="4"/>
    </row>
    <row r="862" spans="2:39" x14ac:dyDescent="0.15">
      <c r="B862" s="4"/>
      <c r="C862" s="4"/>
      <c r="AH862" s="6"/>
      <c r="AI862" s="4"/>
      <c r="AJ862" s="4"/>
      <c r="AL862" s="4"/>
      <c r="AM862" s="4"/>
    </row>
    <row r="863" spans="2:39" x14ac:dyDescent="0.15">
      <c r="B863" s="4"/>
      <c r="C863" s="4"/>
      <c r="AH863" s="6"/>
      <c r="AI863" s="4"/>
      <c r="AJ863" s="4"/>
      <c r="AL863" s="4"/>
      <c r="AM863" s="4"/>
    </row>
    <row r="864" spans="2:39" x14ac:dyDescent="0.15">
      <c r="B864" s="4"/>
      <c r="C864" s="4"/>
      <c r="AH864" s="6"/>
      <c r="AI864" s="4"/>
      <c r="AJ864" s="4"/>
      <c r="AL864" s="4"/>
      <c r="AM864" s="4"/>
    </row>
    <row r="865" spans="2:39" x14ac:dyDescent="0.15">
      <c r="B865" s="4"/>
      <c r="C865" s="4"/>
      <c r="AH865" s="6"/>
      <c r="AI865" s="4"/>
      <c r="AJ865" s="4"/>
      <c r="AL865" s="4"/>
      <c r="AM865" s="4"/>
    </row>
    <row r="866" spans="2:39" x14ac:dyDescent="0.15">
      <c r="B866" s="4"/>
      <c r="C866" s="4"/>
      <c r="AH866" s="6"/>
      <c r="AI866" s="4"/>
      <c r="AJ866" s="4"/>
      <c r="AL866" s="4"/>
      <c r="AM866" s="4"/>
    </row>
    <row r="867" spans="2:39" x14ac:dyDescent="0.15">
      <c r="B867" s="4"/>
      <c r="C867" s="4"/>
      <c r="AH867" s="6"/>
      <c r="AI867" s="4"/>
      <c r="AJ867" s="4"/>
      <c r="AL867" s="4"/>
      <c r="AM867" s="4"/>
    </row>
    <row r="868" spans="2:39" x14ac:dyDescent="0.15">
      <c r="B868" s="4"/>
      <c r="C868" s="4"/>
      <c r="AH868" s="6"/>
      <c r="AI868" s="4"/>
      <c r="AJ868" s="4"/>
      <c r="AL868" s="4"/>
      <c r="AM868" s="4"/>
    </row>
    <row r="869" spans="2:39" x14ac:dyDescent="0.15">
      <c r="B869" s="4"/>
      <c r="C869" s="4"/>
      <c r="AH869" s="6"/>
      <c r="AI869" s="4"/>
      <c r="AJ869" s="4"/>
      <c r="AL869" s="4"/>
      <c r="AM869" s="4"/>
    </row>
    <row r="870" spans="2:39" x14ac:dyDescent="0.15">
      <c r="B870" s="4"/>
      <c r="C870" s="4"/>
      <c r="AH870" s="6"/>
      <c r="AI870" s="4"/>
      <c r="AJ870" s="4"/>
      <c r="AL870" s="4"/>
      <c r="AM870" s="4"/>
    </row>
    <row r="871" spans="2:39" x14ac:dyDescent="0.15">
      <c r="B871" s="4"/>
      <c r="C871" s="4"/>
      <c r="AH871" s="6"/>
      <c r="AI871" s="4"/>
      <c r="AJ871" s="4"/>
      <c r="AL871" s="4"/>
      <c r="AM871" s="4"/>
    </row>
    <row r="872" spans="2:39" x14ac:dyDescent="0.15">
      <c r="B872" s="4"/>
      <c r="C872" s="4"/>
      <c r="AH872" s="6"/>
      <c r="AI872" s="4"/>
      <c r="AJ872" s="4"/>
      <c r="AL872" s="4"/>
      <c r="AM872" s="4"/>
    </row>
    <row r="873" spans="2:39" x14ac:dyDescent="0.15">
      <c r="B873" s="4"/>
      <c r="C873" s="4"/>
      <c r="AH873" s="6"/>
      <c r="AI873" s="4"/>
      <c r="AJ873" s="4"/>
      <c r="AL873" s="4"/>
      <c r="AM873" s="4"/>
    </row>
    <row r="874" spans="2:39" x14ac:dyDescent="0.15">
      <c r="B874" s="4"/>
      <c r="C874" s="4"/>
      <c r="AH874" s="6"/>
      <c r="AI874" s="4"/>
      <c r="AJ874" s="4"/>
      <c r="AL874" s="4"/>
      <c r="AM874" s="4"/>
    </row>
    <row r="875" spans="2:39" x14ac:dyDescent="0.15">
      <c r="B875" s="4"/>
      <c r="C875" s="4"/>
      <c r="AH875" s="6"/>
      <c r="AI875" s="4"/>
      <c r="AJ875" s="4"/>
      <c r="AL875" s="4"/>
      <c r="AM875" s="4"/>
    </row>
    <row r="876" spans="2:39" x14ac:dyDescent="0.15">
      <c r="B876" s="4"/>
      <c r="C876" s="4"/>
      <c r="AH876" s="6"/>
      <c r="AI876" s="4"/>
      <c r="AJ876" s="4"/>
      <c r="AL876" s="4"/>
      <c r="AM876" s="4"/>
    </row>
    <row r="877" spans="2:39" x14ac:dyDescent="0.15">
      <c r="B877" s="4"/>
      <c r="C877" s="4"/>
      <c r="AH877" s="6"/>
      <c r="AI877" s="4"/>
      <c r="AJ877" s="4"/>
      <c r="AL877" s="4"/>
      <c r="AM877" s="4"/>
    </row>
    <row r="878" spans="2:39" x14ac:dyDescent="0.15">
      <c r="B878" s="4"/>
      <c r="C878" s="4"/>
      <c r="AH878" s="6"/>
      <c r="AI878" s="4"/>
      <c r="AJ878" s="4"/>
      <c r="AL878" s="4"/>
      <c r="AM878" s="4"/>
    </row>
    <row r="879" spans="2:39" x14ac:dyDescent="0.15">
      <c r="B879" s="4"/>
      <c r="C879" s="4"/>
      <c r="AH879" s="6"/>
      <c r="AI879" s="4"/>
      <c r="AJ879" s="4"/>
      <c r="AL879" s="4"/>
      <c r="AM879" s="4"/>
    </row>
    <row r="880" spans="2:39" x14ac:dyDescent="0.15">
      <c r="B880" s="4"/>
      <c r="C880" s="4"/>
      <c r="AH880" s="6"/>
      <c r="AI880" s="4"/>
      <c r="AJ880" s="4"/>
      <c r="AL880" s="4"/>
      <c r="AM880" s="4"/>
    </row>
    <row r="881" spans="2:39" x14ac:dyDescent="0.15">
      <c r="B881" s="4"/>
      <c r="C881" s="4"/>
      <c r="AH881" s="6"/>
      <c r="AI881" s="4"/>
      <c r="AJ881" s="4"/>
      <c r="AL881" s="4"/>
      <c r="AM881" s="4"/>
    </row>
    <row r="882" spans="2:39" x14ac:dyDescent="0.15">
      <c r="B882" s="4"/>
      <c r="C882" s="4"/>
      <c r="AH882" s="6"/>
      <c r="AI882" s="4"/>
      <c r="AJ882" s="4"/>
      <c r="AL882" s="4"/>
      <c r="AM882" s="4"/>
    </row>
    <row r="883" spans="2:39" x14ac:dyDescent="0.15">
      <c r="B883" s="4"/>
      <c r="C883" s="4"/>
      <c r="AH883" s="6"/>
      <c r="AI883" s="4"/>
      <c r="AJ883" s="4"/>
      <c r="AL883" s="4"/>
      <c r="AM883" s="4"/>
    </row>
    <row r="884" spans="2:39" x14ac:dyDescent="0.15">
      <c r="B884" s="4"/>
      <c r="C884" s="4"/>
      <c r="AH884" s="6"/>
      <c r="AI884" s="4"/>
      <c r="AJ884" s="4"/>
      <c r="AL884" s="4"/>
      <c r="AM884" s="4"/>
    </row>
    <row r="885" spans="2:39" x14ac:dyDescent="0.15">
      <c r="B885" s="4"/>
      <c r="C885" s="4"/>
      <c r="AH885" s="6"/>
      <c r="AI885" s="4"/>
      <c r="AJ885" s="4"/>
      <c r="AL885" s="4"/>
      <c r="AM885" s="4"/>
    </row>
    <row r="886" spans="2:39" x14ac:dyDescent="0.15">
      <c r="B886" s="4"/>
      <c r="C886" s="4"/>
      <c r="AH886" s="6"/>
      <c r="AI886" s="4"/>
      <c r="AJ886" s="4"/>
      <c r="AL886" s="4"/>
      <c r="AM886" s="4"/>
    </row>
    <row r="887" spans="2:39" x14ac:dyDescent="0.15">
      <c r="B887" s="4"/>
      <c r="C887" s="4"/>
      <c r="AH887" s="6"/>
      <c r="AI887" s="4"/>
      <c r="AJ887" s="4"/>
      <c r="AL887" s="4"/>
      <c r="AM887" s="4"/>
    </row>
    <row r="888" spans="2:39" x14ac:dyDescent="0.15">
      <c r="B888" s="4"/>
      <c r="C888" s="4"/>
      <c r="AH888" s="6"/>
      <c r="AI888" s="4"/>
      <c r="AJ888" s="4"/>
      <c r="AL888" s="4"/>
      <c r="AM888" s="4"/>
    </row>
    <row r="889" spans="2:39" x14ac:dyDescent="0.15">
      <c r="B889" s="4"/>
      <c r="C889" s="4"/>
      <c r="AH889" s="6"/>
      <c r="AI889" s="4"/>
      <c r="AJ889" s="4"/>
      <c r="AL889" s="4"/>
      <c r="AM889" s="4"/>
    </row>
    <row r="890" spans="2:39" x14ac:dyDescent="0.15">
      <c r="B890" s="4"/>
      <c r="C890" s="4"/>
      <c r="AH890" s="6"/>
      <c r="AI890" s="4"/>
      <c r="AJ890" s="4"/>
      <c r="AL890" s="4"/>
      <c r="AM890" s="4"/>
    </row>
    <row r="891" spans="2:39" x14ac:dyDescent="0.15">
      <c r="B891" s="4"/>
      <c r="C891" s="4"/>
      <c r="AH891" s="6"/>
      <c r="AI891" s="4"/>
      <c r="AJ891" s="4"/>
      <c r="AL891" s="4"/>
      <c r="AM891" s="4"/>
    </row>
    <row r="892" spans="2:39" x14ac:dyDescent="0.15">
      <c r="B892" s="4"/>
      <c r="C892" s="4"/>
      <c r="AH892" s="6"/>
      <c r="AI892" s="4"/>
      <c r="AJ892" s="4"/>
      <c r="AL892" s="4"/>
      <c r="AM892" s="4"/>
    </row>
    <row r="893" spans="2:39" x14ac:dyDescent="0.15">
      <c r="B893" s="4"/>
      <c r="C893" s="4"/>
      <c r="AH893" s="6"/>
      <c r="AI893" s="4"/>
      <c r="AJ893" s="4"/>
      <c r="AL893" s="4"/>
      <c r="AM893" s="4"/>
    </row>
    <row r="894" spans="2:39" x14ac:dyDescent="0.15">
      <c r="B894" s="4"/>
      <c r="C894" s="4"/>
      <c r="AH894" s="6"/>
      <c r="AI894" s="4"/>
      <c r="AJ894" s="4"/>
      <c r="AL894" s="4"/>
      <c r="AM894" s="4"/>
    </row>
    <row r="895" spans="2:39" x14ac:dyDescent="0.15">
      <c r="B895" s="4"/>
      <c r="C895" s="4"/>
      <c r="AH895" s="6"/>
      <c r="AI895" s="4"/>
      <c r="AJ895" s="4"/>
      <c r="AL895" s="4"/>
      <c r="AM895" s="4"/>
    </row>
    <row r="896" spans="2:39" x14ac:dyDescent="0.15">
      <c r="B896" s="4"/>
      <c r="C896" s="4"/>
      <c r="AH896" s="6"/>
      <c r="AI896" s="4"/>
      <c r="AJ896" s="4"/>
      <c r="AL896" s="4"/>
      <c r="AM896" s="4"/>
    </row>
    <row r="897" spans="2:39" x14ac:dyDescent="0.15">
      <c r="B897" s="4"/>
      <c r="C897" s="4"/>
      <c r="AH897" s="6"/>
      <c r="AI897" s="4"/>
      <c r="AJ897" s="4"/>
      <c r="AL897" s="4"/>
      <c r="AM897" s="4"/>
    </row>
    <row r="898" spans="2:39" x14ac:dyDescent="0.15">
      <c r="B898" s="4"/>
      <c r="C898" s="4"/>
      <c r="AH898" s="6"/>
      <c r="AI898" s="4"/>
      <c r="AJ898" s="4"/>
      <c r="AL898" s="4"/>
      <c r="AM898" s="4"/>
    </row>
    <row r="899" spans="2:39" x14ac:dyDescent="0.15">
      <c r="B899" s="4"/>
      <c r="C899" s="4"/>
      <c r="AH899" s="6"/>
      <c r="AI899" s="4"/>
      <c r="AJ899" s="4"/>
      <c r="AL899" s="4"/>
      <c r="AM899" s="4"/>
    </row>
    <row r="900" spans="2:39" x14ac:dyDescent="0.15">
      <c r="B900" s="4"/>
      <c r="C900" s="4"/>
      <c r="AH900" s="6"/>
      <c r="AI900" s="4"/>
      <c r="AJ900" s="4"/>
      <c r="AL900" s="4"/>
      <c r="AM900" s="4"/>
    </row>
    <row r="901" spans="2:39" x14ac:dyDescent="0.15">
      <c r="B901" s="4"/>
      <c r="C901" s="4"/>
      <c r="AH901" s="6"/>
      <c r="AI901" s="4"/>
      <c r="AJ901" s="4"/>
      <c r="AL901" s="4"/>
      <c r="AM901" s="4"/>
    </row>
    <row r="902" spans="2:39" x14ac:dyDescent="0.15">
      <c r="B902" s="4"/>
      <c r="C902" s="4"/>
      <c r="AH902" s="6"/>
      <c r="AI902" s="4"/>
      <c r="AJ902" s="4"/>
      <c r="AL902" s="4"/>
      <c r="AM902" s="4"/>
    </row>
    <row r="903" spans="2:39" x14ac:dyDescent="0.15">
      <c r="B903" s="4"/>
      <c r="C903" s="4"/>
      <c r="AH903" s="6"/>
      <c r="AI903" s="4"/>
      <c r="AJ903" s="4"/>
      <c r="AL903" s="4"/>
      <c r="AM903" s="4"/>
    </row>
    <row r="904" spans="2:39" x14ac:dyDescent="0.15">
      <c r="B904" s="4"/>
      <c r="C904" s="4"/>
      <c r="AH904" s="6"/>
      <c r="AI904" s="4"/>
      <c r="AJ904" s="4"/>
      <c r="AL904" s="4"/>
      <c r="AM904" s="4"/>
    </row>
    <row r="905" spans="2:39" x14ac:dyDescent="0.15">
      <c r="B905" s="4"/>
      <c r="C905" s="4"/>
      <c r="AH905" s="6"/>
      <c r="AI905" s="4"/>
      <c r="AJ905" s="4"/>
      <c r="AL905" s="4"/>
      <c r="AM905" s="4"/>
    </row>
    <row r="906" spans="2:39" x14ac:dyDescent="0.15">
      <c r="B906" s="4"/>
      <c r="C906" s="4"/>
      <c r="AH906" s="6"/>
      <c r="AI906" s="4"/>
      <c r="AJ906" s="4"/>
      <c r="AL906" s="4"/>
      <c r="AM906" s="4"/>
    </row>
    <row r="907" spans="2:39" x14ac:dyDescent="0.15">
      <c r="B907" s="4"/>
      <c r="C907" s="4"/>
      <c r="AH907" s="6"/>
      <c r="AI907" s="4"/>
      <c r="AJ907" s="4"/>
      <c r="AL907" s="4"/>
      <c r="AM907" s="4"/>
    </row>
    <row r="908" spans="2:39" x14ac:dyDescent="0.15">
      <c r="B908" s="4"/>
      <c r="C908" s="4"/>
      <c r="AH908" s="6"/>
      <c r="AI908" s="4"/>
      <c r="AJ908" s="4"/>
      <c r="AL908" s="4"/>
      <c r="AM908" s="4"/>
    </row>
    <row r="909" spans="2:39" x14ac:dyDescent="0.15">
      <c r="B909" s="4"/>
      <c r="C909" s="4"/>
      <c r="AH909" s="6"/>
      <c r="AI909" s="4"/>
      <c r="AJ909" s="4"/>
      <c r="AL909" s="4"/>
      <c r="AM909" s="4"/>
    </row>
    <row r="910" spans="2:39" x14ac:dyDescent="0.15">
      <c r="B910" s="4"/>
      <c r="C910" s="4"/>
      <c r="AH910" s="6"/>
      <c r="AI910" s="4"/>
      <c r="AJ910" s="4"/>
      <c r="AL910" s="4"/>
      <c r="AM910" s="4"/>
    </row>
    <row r="911" spans="2:39" x14ac:dyDescent="0.15">
      <c r="B911" s="4"/>
      <c r="C911" s="4"/>
      <c r="AH911" s="6"/>
      <c r="AI911" s="4"/>
      <c r="AJ911" s="4"/>
      <c r="AL911" s="4"/>
      <c r="AM911" s="4"/>
    </row>
    <row r="912" spans="2:39" x14ac:dyDescent="0.15">
      <c r="B912" s="4"/>
      <c r="C912" s="4"/>
      <c r="AH912" s="6"/>
      <c r="AI912" s="4"/>
      <c r="AJ912" s="4"/>
      <c r="AL912" s="4"/>
      <c r="AM912" s="4"/>
    </row>
    <row r="913" spans="2:39" x14ac:dyDescent="0.15">
      <c r="B913" s="4"/>
      <c r="C913" s="4"/>
      <c r="AH913" s="6"/>
      <c r="AI913" s="4"/>
      <c r="AJ913" s="4"/>
      <c r="AL913" s="4"/>
      <c r="AM913" s="4"/>
    </row>
    <row r="914" spans="2:39" x14ac:dyDescent="0.15">
      <c r="B914" s="4"/>
      <c r="C914" s="4"/>
      <c r="AH914" s="6"/>
      <c r="AI914" s="4"/>
      <c r="AJ914" s="4"/>
      <c r="AL914" s="4"/>
      <c r="AM914" s="4"/>
    </row>
    <row r="915" spans="2:39" x14ac:dyDescent="0.15">
      <c r="B915" s="4"/>
      <c r="C915" s="4"/>
      <c r="AH915" s="6"/>
      <c r="AI915" s="4"/>
      <c r="AJ915" s="4"/>
      <c r="AL915" s="4"/>
      <c r="AM915" s="4"/>
    </row>
    <row r="916" spans="2:39" x14ac:dyDescent="0.15">
      <c r="B916" s="4"/>
      <c r="C916" s="4"/>
      <c r="AH916" s="6"/>
      <c r="AI916" s="4"/>
      <c r="AJ916" s="4"/>
      <c r="AL916" s="4"/>
      <c r="AM916" s="4"/>
    </row>
    <row r="917" spans="2:39" x14ac:dyDescent="0.15">
      <c r="B917" s="4"/>
      <c r="C917" s="4"/>
      <c r="AH917" s="6"/>
      <c r="AI917" s="4"/>
      <c r="AJ917" s="4"/>
      <c r="AL917" s="4"/>
      <c r="AM917" s="4"/>
    </row>
    <row r="918" spans="2:39" x14ac:dyDescent="0.15">
      <c r="B918" s="4"/>
      <c r="C918" s="4"/>
      <c r="AH918" s="6"/>
      <c r="AI918" s="4"/>
      <c r="AJ918" s="4"/>
      <c r="AL918" s="4"/>
      <c r="AM918" s="4"/>
    </row>
    <row r="919" spans="2:39" x14ac:dyDescent="0.15">
      <c r="B919" s="4"/>
      <c r="C919" s="4"/>
      <c r="AH919" s="6"/>
      <c r="AI919" s="4"/>
      <c r="AJ919" s="4"/>
      <c r="AL919" s="4"/>
      <c r="AM919" s="4"/>
    </row>
    <row r="920" spans="2:39" x14ac:dyDescent="0.15">
      <c r="B920" s="4"/>
      <c r="C920" s="4"/>
      <c r="AH920" s="6"/>
      <c r="AI920" s="4"/>
      <c r="AJ920" s="4"/>
      <c r="AL920" s="4"/>
      <c r="AM920" s="4"/>
    </row>
    <row r="921" spans="2:39" x14ac:dyDescent="0.15">
      <c r="B921" s="4"/>
      <c r="C921" s="4"/>
      <c r="AH921" s="6"/>
      <c r="AI921" s="4"/>
      <c r="AJ921" s="4"/>
      <c r="AL921" s="4"/>
      <c r="AM921" s="4"/>
    </row>
    <row r="922" spans="2:39" x14ac:dyDescent="0.15">
      <c r="B922" s="4"/>
      <c r="C922" s="4"/>
      <c r="AH922" s="6"/>
      <c r="AI922" s="4"/>
      <c r="AJ922" s="4"/>
      <c r="AL922" s="4"/>
      <c r="AM922" s="4"/>
    </row>
    <row r="923" spans="2:39" x14ac:dyDescent="0.15">
      <c r="B923" s="4"/>
      <c r="C923" s="4"/>
      <c r="AH923" s="6"/>
      <c r="AI923" s="4"/>
      <c r="AJ923" s="4"/>
      <c r="AL923" s="4"/>
      <c r="AM923" s="4"/>
    </row>
    <row r="924" spans="2:39" x14ac:dyDescent="0.15">
      <c r="B924" s="4"/>
      <c r="C924" s="4"/>
      <c r="AH924" s="6"/>
      <c r="AI924" s="4"/>
      <c r="AJ924" s="4"/>
      <c r="AL924" s="4"/>
      <c r="AM924" s="4"/>
    </row>
    <row r="925" spans="2:39" x14ac:dyDescent="0.15">
      <c r="B925" s="4"/>
      <c r="C925" s="4"/>
      <c r="AH925" s="6"/>
      <c r="AI925" s="4"/>
      <c r="AJ925" s="4"/>
      <c r="AL925" s="4"/>
      <c r="AM925" s="4"/>
    </row>
    <row r="926" spans="2:39" x14ac:dyDescent="0.15">
      <c r="B926" s="4"/>
      <c r="C926" s="4"/>
      <c r="AH926" s="6"/>
      <c r="AI926" s="4"/>
      <c r="AJ926" s="4"/>
      <c r="AL926" s="4"/>
      <c r="AM926" s="4"/>
    </row>
    <row r="927" spans="2:39" x14ac:dyDescent="0.15">
      <c r="B927" s="4"/>
      <c r="C927" s="4"/>
      <c r="AH927" s="6"/>
      <c r="AI927" s="4"/>
      <c r="AJ927" s="4"/>
      <c r="AL927" s="4"/>
      <c r="AM927" s="4"/>
    </row>
    <row r="928" spans="2:39" x14ac:dyDescent="0.15">
      <c r="B928" s="4"/>
      <c r="C928" s="4"/>
      <c r="AH928" s="6"/>
      <c r="AI928" s="4"/>
      <c r="AJ928" s="4"/>
      <c r="AL928" s="4"/>
      <c r="AM928" s="4"/>
    </row>
    <row r="929" spans="2:39" x14ac:dyDescent="0.15">
      <c r="B929" s="4"/>
      <c r="C929" s="4"/>
      <c r="AH929" s="6"/>
      <c r="AI929" s="4"/>
      <c r="AJ929" s="4"/>
      <c r="AL929" s="4"/>
      <c r="AM929" s="4"/>
    </row>
    <row r="930" spans="2:39" x14ac:dyDescent="0.15">
      <c r="B930" s="4"/>
      <c r="C930" s="4"/>
      <c r="AH930" s="6"/>
      <c r="AI930" s="4"/>
      <c r="AJ930" s="4"/>
      <c r="AL930" s="4"/>
      <c r="AM930" s="4"/>
    </row>
    <row r="931" spans="2:39" x14ac:dyDescent="0.15">
      <c r="B931" s="4"/>
      <c r="C931" s="4"/>
      <c r="AH931" s="6"/>
      <c r="AI931" s="4"/>
      <c r="AJ931" s="4"/>
      <c r="AL931" s="4"/>
      <c r="AM931" s="4"/>
    </row>
    <row r="932" spans="2:39" x14ac:dyDescent="0.15">
      <c r="B932" s="4"/>
      <c r="C932" s="4"/>
      <c r="AH932" s="6"/>
      <c r="AI932" s="4"/>
      <c r="AJ932" s="4"/>
      <c r="AL932" s="4"/>
      <c r="AM932" s="4"/>
    </row>
    <row r="933" spans="2:39" x14ac:dyDescent="0.15">
      <c r="B933" s="4"/>
      <c r="C933" s="4"/>
      <c r="AH933" s="6"/>
      <c r="AI933" s="4"/>
      <c r="AJ933" s="4"/>
      <c r="AL933" s="4"/>
      <c r="AM933" s="4"/>
    </row>
    <row r="934" spans="2:39" x14ac:dyDescent="0.15">
      <c r="B934" s="4"/>
      <c r="C934" s="4"/>
      <c r="AH934" s="6"/>
      <c r="AI934" s="4"/>
      <c r="AJ934" s="4"/>
      <c r="AL934" s="4"/>
      <c r="AM934" s="4"/>
    </row>
    <row r="935" spans="2:39" x14ac:dyDescent="0.15">
      <c r="B935" s="4"/>
      <c r="C935" s="4"/>
      <c r="AH935" s="6"/>
      <c r="AI935" s="4"/>
      <c r="AJ935" s="4"/>
      <c r="AL935" s="4"/>
      <c r="AM935" s="4"/>
    </row>
    <row r="936" spans="2:39" x14ac:dyDescent="0.15">
      <c r="B936" s="4"/>
      <c r="C936" s="4"/>
      <c r="AH936" s="6"/>
      <c r="AI936" s="4"/>
      <c r="AJ936" s="4"/>
      <c r="AL936" s="4"/>
      <c r="AM936" s="4"/>
    </row>
    <row r="937" spans="2:39" x14ac:dyDescent="0.15">
      <c r="B937" s="4"/>
      <c r="C937" s="4"/>
      <c r="AH937" s="6"/>
      <c r="AI937" s="4"/>
      <c r="AJ937" s="4"/>
      <c r="AL937" s="4"/>
      <c r="AM937" s="4"/>
    </row>
    <row r="938" spans="2:39" x14ac:dyDescent="0.15">
      <c r="B938" s="4"/>
      <c r="C938" s="4"/>
      <c r="AH938" s="6"/>
      <c r="AI938" s="4"/>
      <c r="AJ938" s="4"/>
      <c r="AL938" s="4"/>
      <c r="AM938" s="4"/>
    </row>
    <row r="939" spans="2:39" x14ac:dyDescent="0.15">
      <c r="B939" s="4"/>
      <c r="C939" s="4"/>
      <c r="AH939" s="6"/>
      <c r="AI939" s="4"/>
      <c r="AJ939" s="4"/>
      <c r="AL939" s="4"/>
      <c r="AM939" s="4"/>
    </row>
    <row r="940" spans="2:39" x14ac:dyDescent="0.15">
      <c r="B940" s="4"/>
      <c r="C940" s="4"/>
      <c r="AH940" s="6"/>
      <c r="AI940" s="4"/>
      <c r="AJ940" s="4"/>
      <c r="AL940" s="4"/>
      <c r="AM940" s="4"/>
    </row>
    <row r="941" spans="2:39" x14ac:dyDescent="0.15">
      <c r="B941" s="4"/>
      <c r="C941" s="4"/>
      <c r="AH941" s="6"/>
      <c r="AI941" s="4"/>
      <c r="AJ941" s="4"/>
      <c r="AL941" s="4"/>
      <c r="AM941" s="4"/>
    </row>
    <row r="942" spans="2:39" x14ac:dyDescent="0.15">
      <c r="B942" s="4"/>
      <c r="C942" s="4"/>
      <c r="AH942" s="6"/>
      <c r="AI942" s="4"/>
      <c r="AJ942" s="4"/>
      <c r="AL942" s="4"/>
      <c r="AM942" s="4"/>
    </row>
    <row r="943" spans="2:39" x14ac:dyDescent="0.15">
      <c r="B943" s="4"/>
      <c r="C943" s="4"/>
      <c r="AH943" s="6"/>
      <c r="AI943" s="4"/>
      <c r="AJ943" s="4"/>
      <c r="AL943" s="4"/>
      <c r="AM943" s="4"/>
    </row>
    <row r="944" spans="2:39" x14ac:dyDescent="0.15">
      <c r="B944" s="4"/>
      <c r="C944" s="4"/>
      <c r="AH944" s="6"/>
      <c r="AI944" s="4"/>
      <c r="AJ944" s="4"/>
      <c r="AL944" s="4"/>
      <c r="AM944" s="4"/>
    </row>
    <row r="945" spans="2:39" x14ac:dyDescent="0.15">
      <c r="B945" s="4"/>
      <c r="C945" s="4"/>
      <c r="AH945" s="6"/>
      <c r="AI945" s="4"/>
      <c r="AJ945" s="4"/>
      <c r="AL945" s="4"/>
      <c r="AM945" s="4"/>
    </row>
    <row r="946" spans="2:39" x14ac:dyDescent="0.15">
      <c r="B946" s="4"/>
      <c r="C946" s="4"/>
      <c r="AH946" s="6"/>
      <c r="AI946" s="4"/>
      <c r="AJ946" s="4"/>
      <c r="AL946" s="4"/>
      <c r="AM946" s="4"/>
    </row>
    <row r="947" spans="2:39" x14ac:dyDescent="0.15">
      <c r="B947" s="4"/>
      <c r="C947" s="4"/>
      <c r="AH947" s="6"/>
      <c r="AI947" s="4"/>
      <c r="AJ947" s="4"/>
      <c r="AL947" s="4"/>
      <c r="AM947" s="4"/>
    </row>
    <row r="948" spans="2:39" x14ac:dyDescent="0.15">
      <c r="B948" s="4"/>
      <c r="C948" s="4"/>
      <c r="AH948" s="6"/>
      <c r="AI948" s="4"/>
      <c r="AJ948" s="4"/>
      <c r="AL948" s="4"/>
      <c r="AM948" s="4"/>
    </row>
    <row r="949" spans="2:39" x14ac:dyDescent="0.15">
      <c r="B949" s="4"/>
      <c r="C949" s="4"/>
      <c r="AH949" s="6"/>
      <c r="AI949" s="4"/>
      <c r="AJ949" s="4"/>
      <c r="AL949" s="4"/>
      <c r="AM949" s="4"/>
    </row>
    <row r="950" spans="2:39" x14ac:dyDescent="0.15">
      <c r="B950" s="4"/>
      <c r="C950" s="4"/>
      <c r="AH950" s="6"/>
      <c r="AI950" s="4"/>
      <c r="AJ950" s="4"/>
      <c r="AL950" s="4"/>
      <c r="AM950" s="4"/>
    </row>
    <row r="951" spans="2:39" x14ac:dyDescent="0.15">
      <c r="B951" s="4"/>
      <c r="C951" s="4"/>
      <c r="AH951" s="6"/>
      <c r="AI951" s="4"/>
      <c r="AJ951" s="4"/>
      <c r="AL951" s="4"/>
      <c r="AM951" s="4"/>
    </row>
    <row r="952" spans="2:39" x14ac:dyDescent="0.15">
      <c r="B952" s="4"/>
      <c r="C952" s="4"/>
      <c r="AH952" s="6"/>
      <c r="AI952" s="4"/>
      <c r="AJ952" s="4"/>
      <c r="AL952" s="4"/>
      <c r="AM952" s="4"/>
    </row>
    <row r="953" spans="2:39" x14ac:dyDescent="0.15">
      <c r="B953" s="4"/>
      <c r="C953" s="4"/>
      <c r="AH953" s="6"/>
      <c r="AI953" s="4"/>
      <c r="AJ953" s="4"/>
      <c r="AL953" s="4"/>
      <c r="AM953" s="4"/>
    </row>
    <row r="954" spans="2:39" x14ac:dyDescent="0.15">
      <c r="B954" s="4"/>
      <c r="C954" s="4"/>
      <c r="AH954" s="6"/>
      <c r="AI954" s="4"/>
      <c r="AJ954" s="4"/>
      <c r="AL954" s="4"/>
      <c r="AM954" s="4"/>
    </row>
    <row r="955" spans="2:39" x14ac:dyDescent="0.15">
      <c r="B955" s="4"/>
      <c r="C955" s="4"/>
      <c r="AH955" s="6"/>
      <c r="AI955" s="4"/>
      <c r="AJ955" s="4"/>
      <c r="AL955" s="4"/>
      <c r="AM955" s="4"/>
    </row>
    <row r="956" spans="2:39" x14ac:dyDescent="0.15">
      <c r="B956" s="4"/>
      <c r="C956" s="4"/>
      <c r="AH956" s="6"/>
      <c r="AI956" s="4"/>
      <c r="AJ956" s="4"/>
      <c r="AL956" s="4"/>
      <c r="AM956" s="4"/>
    </row>
    <row r="957" spans="2:39" x14ac:dyDescent="0.15">
      <c r="B957" s="4"/>
      <c r="C957" s="4"/>
      <c r="AH957" s="6"/>
      <c r="AI957" s="4"/>
      <c r="AJ957" s="4"/>
      <c r="AL957" s="4"/>
      <c r="AM957" s="4"/>
    </row>
    <row r="958" spans="2:39" x14ac:dyDescent="0.15">
      <c r="B958" s="4"/>
      <c r="C958" s="4"/>
      <c r="AH958" s="6"/>
      <c r="AI958" s="4"/>
      <c r="AJ958" s="4"/>
      <c r="AL958" s="4"/>
      <c r="AM958" s="4"/>
    </row>
    <row r="959" spans="2:39" x14ac:dyDescent="0.15">
      <c r="B959" s="4"/>
      <c r="C959" s="4"/>
      <c r="AH959" s="6"/>
      <c r="AI959" s="4"/>
      <c r="AJ959" s="4"/>
      <c r="AL959" s="4"/>
      <c r="AM959" s="4"/>
    </row>
    <row r="960" spans="2:39" x14ac:dyDescent="0.15">
      <c r="B960" s="4"/>
      <c r="C960" s="4"/>
      <c r="AH960" s="6"/>
      <c r="AI960" s="4"/>
      <c r="AJ960" s="4"/>
      <c r="AL960" s="4"/>
      <c r="AM960" s="4"/>
    </row>
    <row r="961" spans="2:39" x14ac:dyDescent="0.15">
      <c r="B961" s="4"/>
      <c r="C961" s="4"/>
      <c r="AH961" s="6"/>
      <c r="AI961" s="4"/>
      <c r="AJ961" s="4"/>
      <c r="AL961" s="4"/>
      <c r="AM961" s="4"/>
    </row>
    <row r="962" spans="2:39" x14ac:dyDescent="0.15">
      <c r="B962" s="4"/>
      <c r="C962" s="4"/>
      <c r="AH962" s="6"/>
      <c r="AI962" s="4"/>
      <c r="AJ962" s="4"/>
      <c r="AL962" s="4"/>
      <c r="AM962" s="4"/>
    </row>
    <row r="963" spans="2:39" x14ac:dyDescent="0.15">
      <c r="B963" s="4"/>
      <c r="C963" s="4"/>
      <c r="AH963" s="6"/>
      <c r="AI963" s="4"/>
      <c r="AJ963" s="4"/>
      <c r="AL963" s="4"/>
      <c r="AM963" s="4"/>
    </row>
    <row r="964" spans="2:39" x14ac:dyDescent="0.15">
      <c r="B964" s="4"/>
      <c r="C964" s="4"/>
      <c r="AH964" s="6"/>
      <c r="AI964" s="4"/>
      <c r="AJ964" s="4"/>
      <c r="AL964" s="4"/>
      <c r="AM964" s="4"/>
    </row>
    <row r="965" spans="2:39" x14ac:dyDescent="0.15">
      <c r="B965" s="4"/>
      <c r="C965" s="4"/>
      <c r="AH965" s="6"/>
      <c r="AI965" s="4"/>
      <c r="AJ965" s="4"/>
      <c r="AL965" s="4"/>
      <c r="AM965" s="4"/>
    </row>
    <row r="966" spans="2:39" x14ac:dyDescent="0.15">
      <c r="B966" s="4"/>
      <c r="C966" s="4"/>
      <c r="AH966" s="6"/>
      <c r="AI966" s="4"/>
      <c r="AJ966" s="4"/>
      <c r="AL966" s="4"/>
      <c r="AM966" s="4"/>
    </row>
    <row r="967" spans="2:39" x14ac:dyDescent="0.15">
      <c r="B967" s="4"/>
      <c r="C967" s="4"/>
      <c r="AH967" s="6"/>
      <c r="AI967" s="4"/>
      <c r="AJ967" s="4"/>
      <c r="AL967" s="4"/>
      <c r="AM967" s="4"/>
    </row>
    <row r="968" spans="2:39" x14ac:dyDescent="0.15">
      <c r="B968" s="4"/>
      <c r="C968" s="4"/>
      <c r="AH968" s="6"/>
      <c r="AI968" s="4"/>
      <c r="AJ968" s="4"/>
      <c r="AL968" s="4"/>
      <c r="AM968" s="4"/>
    </row>
    <row r="969" spans="2:39" x14ac:dyDescent="0.15">
      <c r="B969" s="4"/>
      <c r="C969" s="4"/>
      <c r="AH969" s="6"/>
      <c r="AI969" s="4"/>
      <c r="AJ969" s="4"/>
      <c r="AL969" s="4"/>
      <c r="AM969" s="4"/>
    </row>
    <row r="970" spans="2:39" x14ac:dyDescent="0.15">
      <c r="B970" s="4"/>
      <c r="C970" s="4"/>
      <c r="AH970" s="6"/>
      <c r="AI970" s="4"/>
      <c r="AJ970" s="4"/>
      <c r="AL970" s="4"/>
      <c r="AM970" s="4"/>
    </row>
    <row r="971" spans="2:39" x14ac:dyDescent="0.15">
      <c r="B971" s="4"/>
      <c r="C971" s="4"/>
      <c r="AH971" s="6"/>
      <c r="AI971" s="4"/>
      <c r="AJ971" s="4"/>
      <c r="AL971" s="4"/>
      <c r="AM971" s="4"/>
    </row>
    <row r="972" spans="2:39" x14ac:dyDescent="0.15">
      <c r="B972" s="4"/>
      <c r="C972" s="4"/>
      <c r="AH972" s="6"/>
      <c r="AI972" s="11"/>
      <c r="AJ972" s="4"/>
      <c r="AL972" s="4"/>
      <c r="AM972" s="4"/>
    </row>
    <row r="973" spans="2:39" x14ac:dyDescent="0.15">
      <c r="B973" s="4"/>
      <c r="C973" s="4"/>
      <c r="AH973" s="6"/>
      <c r="AI973" s="4"/>
      <c r="AJ973" s="4"/>
      <c r="AL973" s="4"/>
      <c r="AM973" s="4"/>
    </row>
    <row r="974" spans="2:39" x14ac:dyDescent="0.15">
      <c r="B974" s="4"/>
      <c r="C974" s="4"/>
      <c r="AH974" s="6"/>
      <c r="AI974" s="4"/>
      <c r="AJ974" s="4"/>
      <c r="AL974" s="4"/>
      <c r="AM974" s="4"/>
    </row>
    <row r="975" spans="2:39" x14ac:dyDescent="0.15">
      <c r="B975" s="4"/>
      <c r="C975" s="4"/>
      <c r="AH975" s="6"/>
      <c r="AI975" s="4"/>
      <c r="AJ975" s="4"/>
      <c r="AL975" s="4"/>
      <c r="AM975" s="4"/>
    </row>
    <row r="976" spans="2:39" x14ac:dyDescent="0.15">
      <c r="B976" s="4"/>
      <c r="C976" s="4"/>
      <c r="AH976" s="6"/>
      <c r="AI976" s="4"/>
      <c r="AJ976" s="4"/>
      <c r="AL976" s="4"/>
      <c r="AM976" s="4"/>
    </row>
    <row r="977" spans="2:39" x14ac:dyDescent="0.15">
      <c r="B977" s="4"/>
      <c r="C977" s="4"/>
      <c r="AH977" s="6"/>
      <c r="AI977" s="4"/>
      <c r="AJ977" s="4"/>
      <c r="AL977" s="4"/>
      <c r="AM977" s="4"/>
    </row>
    <row r="978" spans="2:39" x14ac:dyDescent="0.15">
      <c r="B978" s="4"/>
      <c r="C978" s="4"/>
      <c r="AH978" s="6"/>
      <c r="AI978" s="4"/>
      <c r="AJ978" s="4"/>
      <c r="AL978" s="4"/>
      <c r="AM978" s="4"/>
    </row>
    <row r="979" spans="2:39" x14ac:dyDescent="0.15">
      <c r="B979" s="4"/>
      <c r="C979" s="4"/>
      <c r="AH979" s="6"/>
      <c r="AI979" s="4"/>
      <c r="AJ979" s="4"/>
      <c r="AL979" s="4"/>
      <c r="AM979" s="4"/>
    </row>
    <row r="980" spans="2:39" x14ac:dyDescent="0.15">
      <c r="B980" s="4"/>
      <c r="C980" s="4"/>
      <c r="AH980" s="6"/>
      <c r="AI980" s="4"/>
      <c r="AJ980" s="4"/>
      <c r="AL980" s="4"/>
      <c r="AM980" s="4"/>
    </row>
    <row r="981" spans="2:39" x14ac:dyDescent="0.15">
      <c r="B981" s="4"/>
      <c r="C981" s="4"/>
      <c r="AH981" s="6"/>
      <c r="AI981" s="4"/>
      <c r="AJ981" s="4"/>
      <c r="AL981" s="4"/>
      <c r="AM981" s="4"/>
    </row>
    <row r="982" spans="2:39" x14ac:dyDescent="0.15">
      <c r="B982" s="4"/>
      <c r="C982" s="4"/>
      <c r="AH982" s="6"/>
      <c r="AI982" s="4"/>
      <c r="AJ982" s="4"/>
      <c r="AL982" s="4"/>
      <c r="AM982" s="4"/>
    </row>
    <row r="983" spans="2:39" x14ac:dyDescent="0.15">
      <c r="B983" s="4"/>
      <c r="C983" s="4"/>
      <c r="AH983" s="6"/>
      <c r="AI983" s="4"/>
      <c r="AJ983" s="4"/>
      <c r="AL983" s="4"/>
      <c r="AM983" s="4"/>
    </row>
    <row r="984" spans="2:39" x14ac:dyDescent="0.15">
      <c r="B984" s="4"/>
      <c r="C984" s="4"/>
      <c r="AH984" s="6"/>
      <c r="AI984" s="4"/>
      <c r="AJ984" s="4"/>
      <c r="AL984" s="4"/>
      <c r="AM984" s="4"/>
    </row>
    <row r="985" spans="2:39" x14ac:dyDescent="0.15">
      <c r="B985" s="4"/>
      <c r="C985" s="4"/>
      <c r="AH985" s="6"/>
      <c r="AI985" s="4"/>
      <c r="AJ985" s="4"/>
      <c r="AL985" s="4"/>
      <c r="AM985" s="4"/>
    </row>
    <row r="986" spans="2:39" x14ac:dyDescent="0.15">
      <c r="B986" s="4"/>
      <c r="C986" s="4"/>
      <c r="AH986" s="6"/>
      <c r="AI986" s="4"/>
      <c r="AJ986" s="4"/>
      <c r="AL986" s="4"/>
      <c r="AM986" s="4"/>
    </row>
    <row r="987" spans="2:39" x14ac:dyDescent="0.15">
      <c r="B987" s="4"/>
      <c r="C987" s="4"/>
      <c r="AH987" s="6"/>
      <c r="AI987" s="4"/>
      <c r="AJ987" s="4"/>
      <c r="AL987" s="4"/>
      <c r="AM987" s="4"/>
    </row>
    <row r="988" spans="2:39" x14ac:dyDescent="0.15">
      <c r="B988" s="4"/>
      <c r="C988" s="4"/>
      <c r="AH988" s="6"/>
      <c r="AI988" s="4"/>
      <c r="AJ988" s="4"/>
      <c r="AL988" s="4"/>
      <c r="AM988" s="4"/>
    </row>
    <row r="989" spans="2:39" x14ac:dyDescent="0.15">
      <c r="B989" s="4"/>
      <c r="C989" s="4"/>
      <c r="AH989" s="6"/>
      <c r="AI989" s="4"/>
      <c r="AJ989" s="4"/>
      <c r="AL989" s="4"/>
      <c r="AM989" s="4"/>
    </row>
    <row r="990" spans="2:39" x14ac:dyDescent="0.15">
      <c r="B990" s="4"/>
      <c r="C990" s="4"/>
      <c r="AH990" s="6"/>
      <c r="AI990" s="4"/>
      <c r="AJ990" s="4"/>
      <c r="AL990" s="4"/>
      <c r="AM990" s="4"/>
    </row>
    <row r="991" spans="2:39" x14ac:dyDescent="0.15">
      <c r="B991" s="4"/>
      <c r="C991" s="4"/>
      <c r="AH991" s="6"/>
      <c r="AI991" s="4"/>
      <c r="AJ991" s="4"/>
      <c r="AL991" s="4"/>
      <c r="AM991" s="4"/>
    </row>
    <row r="992" spans="2:39" x14ac:dyDescent="0.15">
      <c r="B992" s="4"/>
      <c r="C992" s="4"/>
      <c r="AH992" s="6"/>
      <c r="AI992" s="4"/>
      <c r="AJ992" s="4"/>
      <c r="AL992" s="4"/>
      <c r="AM992" s="4"/>
    </row>
    <row r="993" spans="2:39" x14ac:dyDescent="0.15">
      <c r="B993" s="4"/>
      <c r="C993" s="4"/>
      <c r="AH993" s="6"/>
      <c r="AI993" s="4"/>
      <c r="AJ993" s="4"/>
      <c r="AL993" s="4"/>
      <c r="AM993" s="4"/>
    </row>
    <row r="994" spans="2:39" x14ac:dyDescent="0.15">
      <c r="B994" s="4"/>
      <c r="C994" s="4"/>
      <c r="AH994" s="6"/>
      <c r="AI994" s="4"/>
      <c r="AJ994" s="4"/>
      <c r="AL994" s="4"/>
      <c r="AM994" s="4"/>
    </row>
    <row r="995" spans="2:39" x14ac:dyDescent="0.15">
      <c r="B995" s="4"/>
      <c r="C995" s="4"/>
      <c r="AH995" s="6"/>
      <c r="AI995" s="4"/>
      <c r="AJ995" s="4"/>
      <c r="AL995" s="4"/>
      <c r="AM995" s="4"/>
    </row>
    <row r="996" spans="2:39" x14ac:dyDescent="0.15">
      <c r="B996" s="4"/>
      <c r="C996" s="4"/>
      <c r="AH996" s="6"/>
      <c r="AI996" s="4"/>
      <c r="AJ996" s="4"/>
      <c r="AL996" s="4"/>
      <c r="AM996" s="4"/>
    </row>
    <row r="997" spans="2:39" x14ac:dyDescent="0.15">
      <c r="B997" s="4"/>
      <c r="C997" s="4"/>
      <c r="AH997" s="6"/>
      <c r="AI997" s="4"/>
      <c r="AJ997" s="4"/>
      <c r="AL997" s="4"/>
      <c r="AM997" s="4"/>
    </row>
    <row r="998" spans="2:39" x14ac:dyDescent="0.15">
      <c r="B998" s="4"/>
      <c r="C998" s="4"/>
      <c r="AH998" s="6"/>
      <c r="AI998" s="4"/>
      <c r="AJ998" s="4"/>
      <c r="AL998" s="4"/>
      <c r="AM998" s="4"/>
    </row>
    <row r="999" spans="2:39" x14ac:dyDescent="0.15">
      <c r="B999" s="4"/>
      <c r="C999" s="4"/>
      <c r="AH999" s="6"/>
      <c r="AI999" s="4"/>
      <c r="AJ999" s="4"/>
      <c r="AL999" s="4"/>
      <c r="AM999" s="4"/>
    </row>
    <row r="1000" spans="2:39" x14ac:dyDescent="0.15">
      <c r="B1000" s="4"/>
      <c r="C1000" s="4"/>
      <c r="AH1000" s="6"/>
      <c r="AI1000" s="4"/>
      <c r="AJ1000" s="4"/>
      <c r="AL1000" s="4"/>
      <c r="AM1000" s="4"/>
    </row>
    <row r="1001" spans="2:39" x14ac:dyDescent="0.15">
      <c r="B1001" s="4"/>
      <c r="C1001" s="4"/>
      <c r="AH1001" s="6"/>
      <c r="AI1001" s="4"/>
      <c r="AJ1001" s="4"/>
      <c r="AL1001" s="4"/>
      <c r="AM1001" s="4"/>
    </row>
    <row r="1002" spans="2:39" x14ac:dyDescent="0.15">
      <c r="B1002" s="4"/>
      <c r="C1002" s="4"/>
      <c r="AH1002" s="6"/>
      <c r="AI1002" s="4"/>
      <c r="AJ1002" s="4"/>
      <c r="AL1002" s="4"/>
      <c r="AM1002" s="4"/>
    </row>
    <row r="1003" spans="2:39" x14ac:dyDescent="0.15">
      <c r="AH1003" s="6"/>
      <c r="AI1003" s="4"/>
      <c r="AJ1003" s="4"/>
      <c r="AL1003" s="4"/>
      <c r="AM1003" s="4"/>
    </row>
    <row r="1004" spans="2:39" x14ac:dyDescent="0.15">
      <c r="AH1004" s="6"/>
      <c r="AI1004" s="4"/>
      <c r="AJ1004" s="4"/>
      <c r="AL1004" s="4"/>
      <c r="AM1004" s="4"/>
    </row>
    <row r="1005" spans="2:39" x14ac:dyDescent="0.15">
      <c r="AH1005" s="6"/>
      <c r="AI1005" s="4"/>
      <c r="AJ1005" s="4"/>
      <c r="AL1005" s="4"/>
      <c r="AM1005" s="4"/>
    </row>
    <row r="1079" spans="35:35" x14ac:dyDescent="0.15">
      <c r="AI1079" s="7"/>
    </row>
    <row r="1092" spans="35:35" x14ac:dyDescent="0.15">
      <c r="AI1092" s="7"/>
    </row>
    <row r="1096" spans="35:35" x14ac:dyDescent="0.15">
      <c r="AI1096" s="7"/>
    </row>
    <row r="1098" spans="35:35" x14ac:dyDescent="0.15">
      <c r="AI1098" s="7"/>
    </row>
    <row r="1102" spans="35:35" x14ac:dyDescent="0.15">
      <c r="AI1102" s="7"/>
    </row>
    <row r="1111" spans="35:35" x14ac:dyDescent="0.15">
      <c r="AI1111" s="7"/>
    </row>
    <row r="1116" spans="35:35" x14ac:dyDescent="0.15">
      <c r="AI1116" s="7"/>
    </row>
    <row r="1146" spans="35:35" x14ac:dyDescent="0.15">
      <c r="AI1146" s="7"/>
    </row>
    <row r="1151" spans="35:35" x14ac:dyDescent="0.15">
      <c r="AI1151" s="7"/>
    </row>
    <row r="1160" spans="35:35" x14ac:dyDescent="0.15">
      <c r="AI1160" s="7"/>
    </row>
    <row r="1162" spans="35:35" x14ac:dyDescent="0.15">
      <c r="AI1162" s="7"/>
    </row>
    <row r="1164" spans="35:35" x14ac:dyDescent="0.15">
      <c r="AI1164" s="7"/>
    </row>
    <row r="1512" spans="35:35" x14ac:dyDescent="0.15">
      <c r="AI1512" s="7"/>
    </row>
    <row r="5477" spans="35:35" x14ac:dyDescent="0.15">
      <c r="AI5477" s="7"/>
    </row>
    <row r="5478" spans="35:35" x14ac:dyDescent="0.15">
      <c r="AI5478" s="7"/>
    </row>
    <row r="5479" spans="35:35" x14ac:dyDescent="0.15">
      <c r="AI5479" s="7"/>
    </row>
    <row r="5481" spans="35:35" x14ac:dyDescent="0.15">
      <c r="AI5481" s="7"/>
    </row>
    <row r="5482" spans="35:35" x14ac:dyDescent="0.15">
      <c r="AI5482" s="7"/>
    </row>
    <row r="5483" spans="35:35" x14ac:dyDescent="0.15">
      <c r="AI5483" s="7"/>
    </row>
    <row r="5484" spans="35:35" x14ac:dyDescent="0.15">
      <c r="AI5484" s="7"/>
    </row>
    <row r="5485" spans="35:35" x14ac:dyDescent="0.15">
      <c r="AI5485" s="7"/>
    </row>
    <row r="5486" spans="35:35" x14ac:dyDescent="0.15">
      <c r="AI5486" s="7"/>
    </row>
    <row r="5508" spans="35:35" x14ac:dyDescent="0.15">
      <c r="AI5508" s="7"/>
    </row>
    <row r="5509" spans="35:35" x14ac:dyDescent="0.15">
      <c r="AI5509" s="7"/>
    </row>
    <row r="5510" spans="35:35" x14ac:dyDescent="0.15">
      <c r="AI5510" s="7"/>
    </row>
    <row r="5511" spans="35:35" x14ac:dyDescent="0.15">
      <c r="AI5511" s="7"/>
    </row>
    <row r="5512" spans="35:35" x14ac:dyDescent="0.15">
      <c r="AI5512" s="7"/>
    </row>
    <row r="5513" spans="35:35" x14ac:dyDescent="0.15">
      <c r="AI5513" s="7"/>
    </row>
    <row r="5514" spans="35:35" x14ac:dyDescent="0.15">
      <c r="AI5514" s="7"/>
    </row>
    <row r="5515" spans="35:35" x14ac:dyDescent="0.15">
      <c r="AI5515" s="7"/>
    </row>
    <row r="5516" spans="35:35" x14ac:dyDescent="0.15">
      <c r="AI5516" s="7"/>
    </row>
    <row r="5517" spans="35:35" x14ac:dyDescent="0.15">
      <c r="AI5517" s="7"/>
    </row>
    <row r="5518" spans="35:35" x14ac:dyDescent="0.15">
      <c r="AI5518" s="7"/>
    </row>
    <row r="5519" spans="35:35" x14ac:dyDescent="0.15">
      <c r="AI5519" s="7"/>
    </row>
    <row r="5520" spans="35:35" x14ac:dyDescent="0.15">
      <c r="AI5520" s="7"/>
    </row>
    <row r="5521" spans="35:35" x14ac:dyDescent="0.15">
      <c r="AI5521" s="7"/>
    </row>
    <row r="5522" spans="35:35" x14ac:dyDescent="0.15">
      <c r="AI5522" s="7"/>
    </row>
    <row r="5523" spans="35:35" x14ac:dyDescent="0.15">
      <c r="AI5523" s="7"/>
    </row>
    <row r="5524" spans="35:35" x14ac:dyDescent="0.15">
      <c r="AI5524" s="7"/>
    </row>
    <row r="5525" spans="35:35" x14ac:dyDescent="0.15">
      <c r="AI5525" s="7"/>
    </row>
    <row r="5526" spans="35:35" x14ac:dyDescent="0.15">
      <c r="AI5526" s="7"/>
    </row>
    <row r="5527" spans="35:35" x14ac:dyDescent="0.15">
      <c r="AI5527" s="7"/>
    </row>
    <row r="5528" spans="35:35" x14ac:dyDescent="0.15">
      <c r="AI5528" s="7"/>
    </row>
    <row r="5529" spans="35:35" x14ac:dyDescent="0.15">
      <c r="AI5529" s="7"/>
    </row>
    <row r="5530" spans="35:35" x14ac:dyDescent="0.15">
      <c r="AI5530" s="7"/>
    </row>
    <row r="5531" spans="35:35" x14ac:dyDescent="0.15">
      <c r="AI5531" s="7"/>
    </row>
    <row r="5532" spans="35:35" x14ac:dyDescent="0.15">
      <c r="AI5532" s="7"/>
    </row>
    <row r="5533" spans="35:35" x14ac:dyDescent="0.15">
      <c r="AI5533" s="7"/>
    </row>
    <row r="5534" spans="35:35" x14ac:dyDescent="0.15">
      <c r="AI5534" s="7"/>
    </row>
    <row r="5535" spans="35:35" x14ac:dyDescent="0.15">
      <c r="AI5535" s="7"/>
    </row>
    <row r="5536" spans="35:35" x14ac:dyDescent="0.15">
      <c r="AI5536" s="7"/>
    </row>
    <row r="5537" spans="35:35" x14ac:dyDescent="0.15">
      <c r="AI5537" s="7"/>
    </row>
    <row r="5538" spans="35:35" x14ac:dyDescent="0.15">
      <c r="AI5538" s="7"/>
    </row>
    <row r="5539" spans="35:35" x14ac:dyDescent="0.15">
      <c r="AI5539" s="7"/>
    </row>
    <row r="5540" spans="35:35" x14ac:dyDescent="0.15">
      <c r="AI5540" s="7"/>
    </row>
    <row r="5541" spans="35:35" x14ac:dyDescent="0.15">
      <c r="AI5541" s="7"/>
    </row>
    <row r="5559" spans="35:35" x14ac:dyDescent="0.15">
      <c r="AI5559" s="7"/>
    </row>
    <row r="5560" spans="35:35" x14ac:dyDescent="0.15">
      <c r="AI5560" s="7"/>
    </row>
    <row r="5561" spans="35:35" x14ac:dyDescent="0.15">
      <c r="AI5561" s="7"/>
    </row>
    <row r="5562" spans="35:35" x14ac:dyDescent="0.15">
      <c r="AI5562" s="7"/>
    </row>
    <row r="5563" spans="35:35" x14ac:dyDescent="0.15">
      <c r="AI5563" s="7"/>
    </row>
    <row r="5564" spans="35:35" x14ac:dyDescent="0.15">
      <c r="AI5564" s="7"/>
    </row>
    <row r="5565" spans="35:35" x14ac:dyDescent="0.15">
      <c r="AI5565" s="7"/>
    </row>
    <row r="5566" spans="35:35" x14ac:dyDescent="0.15">
      <c r="AI5566" s="7"/>
    </row>
    <row r="5567" spans="35:35" x14ac:dyDescent="0.15">
      <c r="AI5567" s="7"/>
    </row>
    <row r="5573" spans="35:35" x14ac:dyDescent="0.15">
      <c r="AI5573" s="7"/>
    </row>
    <row r="5574" spans="35:35" x14ac:dyDescent="0.15">
      <c r="AI5574" s="7"/>
    </row>
    <row r="5575" spans="35:35" x14ac:dyDescent="0.15">
      <c r="AI5575" s="7"/>
    </row>
    <row r="5576" spans="35:35" x14ac:dyDescent="0.15">
      <c r="AI5576" s="7"/>
    </row>
    <row r="5577" spans="35:35" x14ac:dyDescent="0.15">
      <c r="AI5577" s="7"/>
    </row>
    <row r="5578" spans="35:35" x14ac:dyDescent="0.15">
      <c r="AI5578" s="7"/>
    </row>
    <row r="5579" spans="35:35" x14ac:dyDescent="0.15">
      <c r="AI5579" s="7"/>
    </row>
    <row r="5580" spans="35:35" x14ac:dyDescent="0.15">
      <c r="AI5580" s="7"/>
    </row>
    <row r="5591" spans="35:35" x14ac:dyDescent="0.15">
      <c r="AI5591" s="7"/>
    </row>
    <row r="5592" spans="35:35" x14ac:dyDescent="0.15">
      <c r="AI5592" s="7"/>
    </row>
    <row r="5593" spans="35:35" x14ac:dyDescent="0.15">
      <c r="AI5593" s="7"/>
    </row>
    <row r="5594" spans="35:35" x14ac:dyDescent="0.15">
      <c r="AI5594" s="7"/>
    </row>
    <row r="5595" spans="35:35" x14ac:dyDescent="0.15">
      <c r="AI5595" s="7"/>
    </row>
    <row r="5596" spans="35:35" x14ac:dyDescent="0.15">
      <c r="AI5596" s="7"/>
    </row>
    <row r="5597" spans="35:35" x14ac:dyDescent="0.15">
      <c r="AI5597" s="7"/>
    </row>
    <row r="5598" spans="35:35" x14ac:dyDescent="0.15">
      <c r="AI5598" s="7"/>
    </row>
    <row r="5599" spans="35:35" x14ac:dyDescent="0.15">
      <c r="AI5599" s="7"/>
    </row>
    <row r="5600" spans="35:35" x14ac:dyDescent="0.15">
      <c r="AI5600" s="7"/>
    </row>
    <row r="5601" spans="35:35" x14ac:dyDescent="0.15">
      <c r="AI5601" s="7"/>
    </row>
    <row r="5602" spans="35:35" x14ac:dyDescent="0.15">
      <c r="AI5602" s="7"/>
    </row>
    <row r="5603" spans="35:35" x14ac:dyDescent="0.15">
      <c r="AI5603" s="7"/>
    </row>
    <row r="5604" spans="35:35" x14ac:dyDescent="0.15">
      <c r="AI5604" s="7"/>
    </row>
    <row r="5605" spans="35:35" x14ac:dyDescent="0.15">
      <c r="AI5605" s="7"/>
    </row>
    <row r="5606" spans="35:35" x14ac:dyDescent="0.15">
      <c r="AI5606" s="7"/>
    </row>
    <row r="5607" spans="35:35" x14ac:dyDescent="0.15">
      <c r="AI5607" s="7"/>
    </row>
    <row r="5608" spans="35:35" x14ac:dyDescent="0.15">
      <c r="AI5608" s="7"/>
    </row>
    <row r="5609" spans="35:35" x14ac:dyDescent="0.15">
      <c r="AI5609" s="7"/>
    </row>
    <row r="5610" spans="35:35" x14ac:dyDescent="0.15">
      <c r="AI5610" s="7"/>
    </row>
    <row r="5611" spans="35:35" x14ac:dyDescent="0.15">
      <c r="AI5611" s="7"/>
    </row>
    <row r="5612" spans="35:35" x14ac:dyDescent="0.15">
      <c r="AI5612" s="7"/>
    </row>
    <row r="5613" spans="35:35" x14ac:dyDescent="0.15">
      <c r="AI5613" s="7"/>
    </row>
    <row r="5614" spans="35:35" x14ac:dyDescent="0.15">
      <c r="AI5614" s="7"/>
    </row>
    <row r="5615" spans="35:35" x14ac:dyDescent="0.15">
      <c r="AI5615" s="7"/>
    </row>
    <row r="5616" spans="35:35" x14ac:dyDescent="0.15">
      <c r="AI5616" s="7"/>
    </row>
    <row r="5623" spans="35:35" x14ac:dyDescent="0.15">
      <c r="AI5623" s="7"/>
    </row>
    <row r="5624" spans="35:35" x14ac:dyDescent="0.15">
      <c r="AI5624" s="7"/>
    </row>
    <row r="5625" spans="35:35" x14ac:dyDescent="0.15">
      <c r="AI5625" s="7"/>
    </row>
    <row r="5626" spans="35:35" x14ac:dyDescent="0.15">
      <c r="AI5626" s="7"/>
    </row>
    <row r="5627" spans="35:35" x14ac:dyDescent="0.15">
      <c r="AI5627" s="7"/>
    </row>
    <row r="5628" spans="35:35" x14ac:dyDescent="0.15">
      <c r="AI5628" s="7"/>
    </row>
    <row r="5629" spans="35:35" x14ac:dyDescent="0.15">
      <c r="AI5629" s="7"/>
    </row>
    <row r="5630" spans="35:35" x14ac:dyDescent="0.15">
      <c r="AI5630" s="7"/>
    </row>
    <row r="5631" spans="35:35" x14ac:dyDescent="0.15">
      <c r="AI5631" s="7"/>
    </row>
    <row r="5632" spans="35:35" x14ac:dyDescent="0.15">
      <c r="AI5632" s="7"/>
    </row>
    <row r="5633" spans="35:35" x14ac:dyDescent="0.15">
      <c r="AI5633" s="7"/>
    </row>
    <row r="5634" spans="35:35" x14ac:dyDescent="0.15">
      <c r="AI5634" s="7"/>
    </row>
    <row r="5635" spans="35:35" x14ac:dyDescent="0.15">
      <c r="AI5635" s="7"/>
    </row>
    <row r="5636" spans="35:35" x14ac:dyDescent="0.15">
      <c r="AI5636" s="7"/>
    </row>
    <row r="5637" spans="35:35" x14ac:dyDescent="0.15">
      <c r="AI5637" s="7"/>
    </row>
    <row r="5638" spans="35:35" x14ac:dyDescent="0.15">
      <c r="AI5638" s="7"/>
    </row>
    <row r="5639" spans="35:35" x14ac:dyDescent="0.15">
      <c r="AI5639" s="7"/>
    </row>
    <row r="5640" spans="35:35" x14ac:dyDescent="0.15">
      <c r="AI5640" s="7"/>
    </row>
    <row r="5641" spans="35:35" x14ac:dyDescent="0.15">
      <c r="AI5641" s="7"/>
    </row>
    <row r="5642" spans="35:35" x14ac:dyDescent="0.15">
      <c r="AI5642" s="7"/>
    </row>
    <row r="5643" spans="35:35" x14ac:dyDescent="0.15">
      <c r="AI5643" s="7"/>
    </row>
    <row r="5644" spans="35:35" x14ac:dyDescent="0.15">
      <c r="AI5644" s="7"/>
    </row>
    <row r="5645" spans="35:35" x14ac:dyDescent="0.15">
      <c r="AI5645" s="7"/>
    </row>
    <row r="5646" spans="35:35" x14ac:dyDescent="0.15">
      <c r="AI5646" s="7"/>
    </row>
    <row r="5647" spans="35:35" x14ac:dyDescent="0.15">
      <c r="AI5647" s="7"/>
    </row>
    <row r="5648" spans="35:35" x14ac:dyDescent="0.15">
      <c r="AI5648" s="7"/>
    </row>
    <row r="5649" spans="35:35" x14ac:dyDescent="0.15">
      <c r="AI5649" s="7"/>
    </row>
    <row r="5650" spans="35:35" x14ac:dyDescent="0.15">
      <c r="AI5650" s="7"/>
    </row>
    <row r="5651" spans="35:35" x14ac:dyDescent="0.15">
      <c r="AI5651" s="7"/>
    </row>
    <row r="5652" spans="35:35" x14ac:dyDescent="0.15">
      <c r="AI5652" s="7"/>
    </row>
    <row r="5653" spans="35:35" x14ac:dyDescent="0.15">
      <c r="AI5653" s="7"/>
    </row>
    <row r="5654" spans="35:35" x14ac:dyDescent="0.15">
      <c r="AI5654" s="7"/>
    </row>
    <row r="5656" spans="35:35" x14ac:dyDescent="0.15">
      <c r="AI5656" s="7"/>
    </row>
    <row r="5657" spans="35:35" x14ac:dyDescent="0.15">
      <c r="AI5657" s="7"/>
    </row>
    <row r="5658" spans="35:35" x14ac:dyDescent="0.15">
      <c r="AI5658" s="7"/>
    </row>
    <row r="5659" spans="35:35" x14ac:dyDescent="0.15">
      <c r="AI5659" s="7"/>
    </row>
    <row r="5660" spans="35:35" x14ac:dyDescent="0.15">
      <c r="AI5660" s="7"/>
    </row>
    <row r="5664" spans="35:35" x14ac:dyDescent="0.15">
      <c r="AI5664" s="7"/>
    </row>
    <row r="5665" spans="35:35" x14ac:dyDescent="0.15">
      <c r="AI5665" s="7"/>
    </row>
    <row r="5666" spans="35:35" x14ac:dyDescent="0.15">
      <c r="AI5666" s="7"/>
    </row>
    <row r="5673" spans="35:35" x14ac:dyDescent="0.15">
      <c r="AI5673" s="7"/>
    </row>
    <row r="5674" spans="35:35" x14ac:dyDescent="0.15">
      <c r="AI5674" s="7"/>
    </row>
    <row r="5675" spans="35:35" x14ac:dyDescent="0.15">
      <c r="AI5675" s="7"/>
    </row>
    <row r="5676" spans="35:35" x14ac:dyDescent="0.15">
      <c r="AI5676" s="7"/>
    </row>
    <row r="5677" spans="35:35" x14ac:dyDescent="0.15">
      <c r="AI5677" s="7"/>
    </row>
    <row r="5678" spans="35:35" x14ac:dyDescent="0.15">
      <c r="AI5678" s="7"/>
    </row>
    <row r="5679" spans="35:35" x14ac:dyDescent="0.15">
      <c r="AI5679" s="7"/>
    </row>
    <row r="5680" spans="35:35" x14ac:dyDescent="0.15">
      <c r="AI5680" s="7"/>
    </row>
    <row r="5681" spans="35:35" x14ac:dyDescent="0.15">
      <c r="AI5681" s="7"/>
    </row>
    <row r="5682" spans="35:35" x14ac:dyDescent="0.15">
      <c r="AI5682" s="7"/>
    </row>
    <row r="5683" spans="35:35" x14ac:dyDescent="0.15">
      <c r="AI5683" s="7"/>
    </row>
    <row r="5684" spans="35:35" x14ac:dyDescent="0.15">
      <c r="AI5684" s="7"/>
    </row>
    <row r="5685" spans="35:35" x14ac:dyDescent="0.15">
      <c r="AI5685" s="7"/>
    </row>
    <row r="5686" spans="35:35" x14ac:dyDescent="0.15">
      <c r="AI5686" s="7"/>
    </row>
    <row r="5687" spans="35:35" x14ac:dyDescent="0.15">
      <c r="AI5687" s="7"/>
    </row>
    <row r="5688" spans="35:35" x14ac:dyDescent="0.15">
      <c r="AI5688" s="7"/>
    </row>
    <row r="5689" spans="35:35" x14ac:dyDescent="0.15">
      <c r="AI5689" s="7"/>
    </row>
    <row r="5690" spans="35:35" x14ac:dyDescent="0.15">
      <c r="AI5690" s="7"/>
    </row>
    <row r="5691" spans="35:35" x14ac:dyDescent="0.15">
      <c r="AI5691" s="7"/>
    </row>
    <row r="5692" spans="35:35" x14ac:dyDescent="0.15">
      <c r="AI5692" s="7"/>
    </row>
    <row r="5693" spans="35:35" x14ac:dyDescent="0.15">
      <c r="AI5693" s="7"/>
    </row>
    <row r="5695" spans="35:35" x14ac:dyDescent="0.15">
      <c r="AI5695" s="7"/>
    </row>
    <row r="5696" spans="35:35" x14ac:dyDescent="0.15">
      <c r="AI5696" s="7"/>
    </row>
    <row r="5697" spans="35:35" x14ac:dyDescent="0.15">
      <c r="AI5697" s="7"/>
    </row>
    <row r="5698" spans="35:35" x14ac:dyDescent="0.15">
      <c r="AI5698" s="7"/>
    </row>
    <row r="5699" spans="35:35" x14ac:dyDescent="0.15">
      <c r="AI5699" s="7"/>
    </row>
    <row r="5700" spans="35:35" x14ac:dyDescent="0.15">
      <c r="AI5700" s="7"/>
    </row>
    <row r="5701" spans="35:35" x14ac:dyDescent="0.15">
      <c r="AI5701" s="7"/>
    </row>
    <row r="5702" spans="35:35" x14ac:dyDescent="0.15">
      <c r="AI5702" s="7"/>
    </row>
    <row r="5703" spans="35:35" x14ac:dyDescent="0.15">
      <c r="AI5703" s="7"/>
    </row>
    <row r="5704" spans="35:35" x14ac:dyDescent="0.15">
      <c r="AI5704" s="7"/>
    </row>
    <row r="5705" spans="35:35" x14ac:dyDescent="0.15">
      <c r="AI5705" s="7"/>
    </row>
    <row r="5706" spans="35:35" x14ac:dyDescent="0.15">
      <c r="AI5706" s="7"/>
    </row>
    <row r="5707" spans="35:35" x14ac:dyDescent="0.15">
      <c r="AI5707" s="7"/>
    </row>
    <row r="5708" spans="35:35" x14ac:dyDescent="0.15">
      <c r="AI5708" s="7"/>
    </row>
    <row r="5709" spans="35:35" x14ac:dyDescent="0.15">
      <c r="AI5709" s="7"/>
    </row>
    <row r="5710" spans="35:35" x14ac:dyDescent="0.15">
      <c r="AI5710" s="7"/>
    </row>
    <row r="5711" spans="35:35" x14ac:dyDescent="0.15">
      <c r="AI5711" s="7"/>
    </row>
    <row r="5712" spans="35:35" x14ac:dyDescent="0.15">
      <c r="AI5712" s="7"/>
    </row>
    <row r="5713" spans="35:35" x14ac:dyDescent="0.15">
      <c r="AI5713" s="7"/>
    </row>
    <row r="5714" spans="35:35" x14ac:dyDescent="0.15">
      <c r="AI5714" s="7"/>
    </row>
    <row r="5725" spans="35:35" x14ac:dyDescent="0.15">
      <c r="AI5725" s="7"/>
    </row>
    <row r="5726" spans="35:35" x14ac:dyDescent="0.15">
      <c r="AI5726" s="7"/>
    </row>
    <row r="5727" spans="35:35" x14ac:dyDescent="0.15">
      <c r="AI5727" s="7"/>
    </row>
    <row r="5728" spans="35:35" x14ac:dyDescent="0.15">
      <c r="AI5728" s="7"/>
    </row>
    <row r="5729" spans="35:35" x14ac:dyDescent="0.15">
      <c r="AI5729" s="7"/>
    </row>
    <row r="5730" spans="35:35" x14ac:dyDescent="0.15">
      <c r="AI5730" s="7"/>
    </row>
    <row r="5748" spans="35:35" x14ac:dyDescent="0.15">
      <c r="AI5748" s="7"/>
    </row>
    <row r="5749" spans="35:35" x14ac:dyDescent="0.15">
      <c r="AI5749" s="7"/>
    </row>
    <row r="5750" spans="35:35" x14ac:dyDescent="0.15">
      <c r="AI5750" s="7"/>
    </row>
    <row r="5751" spans="35:35" x14ac:dyDescent="0.15">
      <c r="AI5751" s="7"/>
    </row>
    <row r="5752" spans="35:35" x14ac:dyDescent="0.15">
      <c r="AI5752" s="7"/>
    </row>
    <row r="5753" spans="35:35" x14ac:dyDescent="0.15">
      <c r="AI5753" s="7"/>
    </row>
    <row r="5754" spans="35:35" x14ac:dyDescent="0.15">
      <c r="AI5754" s="7"/>
    </row>
    <row r="5755" spans="35:35" x14ac:dyDescent="0.15">
      <c r="AI5755" s="7"/>
    </row>
    <row r="5756" spans="35:35" x14ac:dyDescent="0.15">
      <c r="AI5756" s="7"/>
    </row>
    <row r="5757" spans="35:35" x14ac:dyDescent="0.15">
      <c r="AI5757" s="7"/>
    </row>
    <row r="5758" spans="35:35" x14ac:dyDescent="0.15">
      <c r="AI5758" s="7"/>
    </row>
    <row r="5759" spans="35:35" x14ac:dyDescent="0.15">
      <c r="AI5759" s="7"/>
    </row>
    <row r="5760" spans="35:35" x14ac:dyDescent="0.15">
      <c r="AI5760" s="7"/>
    </row>
    <row r="5761" spans="35:35" x14ac:dyDescent="0.15">
      <c r="AI5761" s="7"/>
    </row>
    <row r="5762" spans="35:35" x14ac:dyDescent="0.15">
      <c r="AI5762" s="7"/>
    </row>
    <row r="5763" spans="35:35" x14ac:dyDescent="0.15">
      <c r="AI5763" s="7"/>
    </row>
    <row r="5764" spans="35:35" x14ac:dyDescent="0.15">
      <c r="AI5764" s="7"/>
    </row>
    <row r="5765" spans="35:35" x14ac:dyDescent="0.15">
      <c r="AI5765" s="7"/>
    </row>
    <row r="5766" spans="35:35" x14ac:dyDescent="0.15">
      <c r="AI5766" s="7"/>
    </row>
    <row r="5879" spans="35:35" x14ac:dyDescent="0.15">
      <c r="AI5879" s="7"/>
    </row>
    <row r="5880" spans="35:35" x14ac:dyDescent="0.15">
      <c r="AI5880" s="7"/>
    </row>
    <row r="5881" spans="35:35" x14ac:dyDescent="0.15">
      <c r="AI5881" s="7"/>
    </row>
    <row r="5951" spans="35:35" x14ac:dyDescent="0.15">
      <c r="AI5951" s="7"/>
    </row>
    <row r="5952" spans="35:35" x14ac:dyDescent="0.15">
      <c r="AI5952" s="7"/>
    </row>
    <row r="5953" spans="35:35" x14ac:dyDescent="0.15">
      <c r="AI5953" s="7"/>
    </row>
    <row r="5954" spans="35:35" x14ac:dyDescent="0.15">
      <c r="AI5954" s="7"/>
    </row>
    <row r="5955" spans="35:35" x14ac:dyDescent="0.15">
      <c r="AI5955" s="7"/>
    </row>
    <row r="5956" spans="35:35" x14ac:dyDescent="0.15">
      <c r="AI5956" s="7"/>
    </row>
    <row r="6687" spans="35:35" x14ac:dyDescent="0.15">
      <c r="AI6687" s="7"/>
    </row>
  </sheetData>
  <mergeCells count="2">
    <mergeCell ref="AI1:AJ3"/>
    <mergeCell ref="AL1:AM3"/>
  </mergeCells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51</vt:i4>
      </vt:variant>
    </vt:vector>
  </HeadingPairs>
  <TitlesOfParts>
    <vt:vector size="56" baseType="lpstr">
      <vt:lpstr>標準</vt:lpstr>
      <vt:lpstr>日機装</vt:lpstr>
      <vt:lpstr>オリエンタル</vt:lpstr>
      <vt:lpstr>ITパック</vt:lpstr>
      <vt:lpstr>抽出</vt:lpstr>
      <vt:lpstr>FilNameH</vt:lpstr>
      <vt:lpstr>FilNameN</vt:lpstr>
      <vt:lpstr>FilNameO</vt:lpstr>
      <vt:lpstr>FNameH</vt:lpstr>
      <vt:lpstr>FNameN</vt:lpstr>
      <vt:lpstr>FNameO</vt:lpstr>
      <vt:lpstr>Fukumu</vt:lpstr>
      <vt:lpstr>Hakkoubi</vt:lpstr>
      <vt:lpstr>HDay</vt:lpstr>
      <vt:lpstr>Hizuke</vt:lpstr>
      <vt:lpstr>HizukeO</vt:lpstr>
      <vt:lpstr>HSyuF</vt:lpstr>
      <vt:lpstr>ITDate</vt:lpstr>
      <vt:lpstr>ITend</vt:lpstr>
      <vt:lpstr>ITPack</vt:lpstr>
      <vt:lpstr>KaiName</vt:lpstr>
      <vt:lpstr>KaisyaCD</vt:lpstr>
      <vt:lpstr>KaisyaCD747</vt:lpstr>
      <vt:lpstr>KaisyaCDO</vt:lpstr>
      <vt:lpstr>KaisyaName</vt:lpstr>
      <vt:lpstr>KaisyaNo</vt:lpstr>
      <vt:lpstr>Kpumoku</vt:lpstr>
      <vt:lpstr>MaxH</vt:lpstr>
      <vt:lpstr>NDay</vt:lpstr>
      <vt:lpstr>NenGappi</vt:lpstr>
      <vt:lpstr>Nikki</vt:lpstr>
      <vt:lpstr>Orient</vt:lpstr>
      <vt:lpstr>OrientIT</vt:lpstr>
      <vt:lpstr>ITパック!Print_Area</vt:lpstr>
      <vt:lpstr>オリエンタル!Print_Area</vt:lpstr>
      <vt:lpstr>抽出!Print_Area</vt:lpstr>
      <vt:lpstr>日機装!Print_Area</vt:lpstr>
      <vt:lpstr>標準!Print_Area</vt:lpstr>
      <vt:lpstr>ITパック!Print_Titles</vt:lpstr>
      <vt:lpstr>オリエンタル!Print_Titles</vt:lpstr>
      <vt:lpstr>日機装!Print_Titles</vt:lpstr>
      <vt:lpstr>標準!Print_Titles</vt:lpstr>
      <vt:lpstr>RirwkiDataSuu</vt:lpstr>
      <vt:lpstr>SeihinnTB</vt:lpstr>
      <vt:lpstr>SyukkaF</vt:lpstr>
      <vt:lpstr>SyukkaFO</vt:lpstr>
      <vt:lpstr>SyukkaR</vt:lpstr>
      <vt:lpstr>SyukkaZ</vt:lpstr>
      <vt:lpstr>SyuuDay</vt:lpstr>
      <vt:lpstr>Tnyu</vt:lpstr>
      <vt:lpstr>UnoMax</vt:lpstr>
      <vt:lpstr>UnoMin</vt:lpstr>
      <vt:lpstr>ZaiDatasuu</vt:lpstr>
      <vt:lpstr>Zaiko</vt:lpstr>
      <vt:lpstr>ZaikoHyou</vt:lpstr>
      <vt:lpstr>ZaikoR</vt:lpstr>
    </vt:vector>
  </TitlesOfParts>
  <Company>MARSYS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RIC-205</dc:creator>
  <cp:lastModifiedBy>RIC-227</cp:lastModifiedBy>
  <cp:lastPrinted>2017-10-03T05:43:25Z</cp:lastPrinted>
  <dcterms:created xsi:type="dcterms:W3CDTF">2011-02-03T05:34:07Z</dcterms:created>
  <dcterms:modified xsi:type="dcterms:W3CDTF">2022-01-06T04:20:55Z</dcterms:modified>
</cp:coreProperties>
</file>