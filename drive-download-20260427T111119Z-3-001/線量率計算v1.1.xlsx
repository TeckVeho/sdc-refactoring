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-229\Desktop\線量率計　分離校正計算\改定案\"/>
    </mc:Choice>
  </mc:AlternateContent>
  <xr:revisionPtr revIDLastSave="0" documentId="13_ncr:1_{424A7038-A6F9-4C2E-8470-7E70DF74B9D4}" xr6:coauthVersionLast="47" xr6:coauthVersionMax="47" xr10:uidLastSave="{00000000-0000-0000-0000-000000000000}"/>
  <bookViews>
    <workbookView xWindow="-108" yWindow="-108" windowWidth="23256" windowHeight="12576" xr2:uid="{249E1D04-80F7-48CD-AF5A-E9B728BAB8A3}"/>
  </bookViews>
  <sheets>
    <sheet name="線量率RATE" sheetId="9" r:id="rId1"/>
    <sheet name="積算INTEG " sheetId="10" r:id="rId2"/>
    <sheet name="改訂履歴" sheetId="7" r:id="rId3"/>
    <sheet name="Sheet1" sheetId="6" r:id="rId4"/>
  </sheets>
  <definedNames>
    <definedName name="_xlnm.Print_Area" localSheetId="2">改訂履歴!$B$1:$E$25</definedName>
    <definedName name="_xlnm.Print_Area" localSheetId="1">'積算INTEG '!$A$1:$AD$44</definedName>
    <definedName name="_xlnm.Print_Area" localSheetId="0">線量率RATE!$A$1:$AE$46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10" l="1"/>
  <c r="S24" i="9"/>
  <c r="R31" i="10"/>
  <c r="S31" i="10" l="1"/>
  <c r="U31" i="10" s="1"/>
  <c r="E31" i="10" s="1"/>
  <c r="U6" i="10"/>
  <c r="S17" i="9"/>
  <c r="S18" i="9"/>
  <c r="S20" i="9"/>
  <c r="V24" i="9"/>
  <c r="E25" i="9" s="1"/>
  <c r="S32" i="9"/>
  <c r="S31" i="9"/>
  <c r="S19" i="9"/>
  <c r="T32" i="9"/>
  <c r="U11" i="10"/>
  <c r="U37" i="10"/>
  <c r="E37" i="10" s="1"/>
  <c r="S32" i="10"/>
  <c r="R32" i="10" s="1"/>
  <c r="U24" i="10"/>
  <c r="E25" i="10" s="1"/>
  <c r="W11" i="10"/>
  <c r="R20" i="10" s="1"/>
  <c r="V11" i="9"/>
  <c r="E12" i="9" s="1"/>
  <c r="V37" i="9"/>
  <c r="E37" i="9" s="1"/>
  <c r="V31" i="9"/>
  <c r="E31" i="9" s="1"/>
  <c r="T31" i="9"/>
  <c r="X11" i="9"/>
  <c r="V6" i="9"/>
  <c r="R17" i="10" l="1"/>
  <c r="R18" i="10"/>
  <c r="E12" i="10"/>
  <c r="H46" i="10"/>
  <c r="R19" i="10"/>
  <c r="E6" i="10"/>
  <c r="G42" i="10"/>
  <c r="H46" i="9"/>
  <c r="H37" i="9"/>
  <c r="H43" i="9" s="1"/>
  <c r="E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RIC-229</author>
  </authors>
  <commentList>
    <comment ref="R5" authorId="0" shapeId="0" xr:uid="{61C52981-F3DB-4426-B111-CD5C2E01D0A3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線量率はJQA校正</t>
        </r>
      </text>
    </comment>
    <comment ref="S11" authorId="0" shapeId="0" xr:uid="{0D466200-B77F-40E4-832A-F5A88D894CA1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JQA分はCo水に換算
ANTMはそのまま</t>
        </r>
      </text>
    </comment>
    <comment ref="S17" authorId="0" shapeId="0" xr:uid="{CF33C739-D1CE-4147-A7DA-68AB49CEF50F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Cs校正定数×換算係数</t>
        </r>
      </text>
    </comment>
    <comment ref="Z32" authorId="0" shapeId="0" xr:uid="{752A4747-41AF-40D6-8D28-56348F5FF8E8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線量率の校正はJQA
積算の校正もJQA
（2024年12月現在）
</t>
        </r>
      </text>
    </comment>
    <comment ref="S37" authorId="0" shapeId="0" xr:uid="{10803973-AFF0-46BA-8629-468776106AF2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エクセル計算だと0.8992（4桁表示）になるので安全側を見て0.8991を採用（手入力）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RIC-229</author>
  </authors>
  <commentList>
    <comment ref="Q5" authorId="0" shapeId="0" xr:uid="{54A20DB6-A8EB-42C9-AE73-5EF0F0C60A91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積算はANTM校正</t>
        </r>
      </text>
    </comment>
    <comment ref="R11" authorId="0" shapeId="0" xr:uid="{5B515025-B542-495A-BFB6-04CE756DC8E0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JQA分はCo水に換算
ANTMはそのまま</t>
        </r>
      </text>
    </comment>
    <comment ref="R17" authorId="0" shapeId="0" xr:uid="{E05CEC77-DC45-4096-875D-A798FDB1CC26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Cs校正定数×換算係数</t>
        </r>
      </text>
    </comment>
    <comment ref="X32" authorId="0" shapeId="0" xr:uid="{CC20E447-781D-40AE-BF56-85C7FBF1861D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レンジで不確かさが異なる場合は最大値を採用する
</t>
        </r>
      </text>
    </comment>
    <comment ref="Y32" authorId="0" shapeId="0" xr:uid="{918C55A3-9B20-4F53-BB9E-EA5C5B809D0C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線量率の校正はJQA
積算の校正もJQA
（2024年12月現在）</t>
        </r>
      </text>
    </comment>
    <comment ref="R37" authorId="0" shapeId="0" xr:uid="{9F35C8B0-5560-41B6-99B9-3CE0B9D87720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エクセル計算だと0.8992（4桁表示）になるので安全側を見て0.8991を採用（手入力）</t>
        </r>
      </text>
    </comment>
  </commentList>
</comments>
</file>

<file path=xl/sharedStrings.xml><?xml version="1.0" encoding="utf-8"?>
<sst xmlns="http://schemas.openxmlformats.org/spreadsheetml/2006/main" count="299" uniqueCount="109">
  <si>
    <t>電離箱</t>
    <rPh sb="0" eb="2">
      <t>デンリ</t>
    </rPh>
    <rPh sb="2" eb="3">
      <t>バコ</t>
    </rPh>
    <phoneticPr fontId="1"/>
  </si>
  <si>
    <t>電位計</t>
    <rPh sb="0" eb="2">
      <t>デンイ</t>
    </rPh>
    <rPh sb="2" eb="3">
      <t>ケイ</t>
    </rPh>
    <phoneticPr fontId="1"/>
  </si>
  <si>
    <t>読み値</t>
    <rPh sb="0" eb="1">
      <t>ヨ</t>
    </rPh>
    <rPh sb="2" eb="3">
      <t>チ</t>
    </rPh>
    <phoneticPr fontId="1"/>
  </si>
  <si>
    <t>選択</t>
    <rPh sb="0" eb="2">
      <t>センタク</t>
    </rPh>
    <phoneticPr fontId="1"/>
  </si>
  <si>
    <t>あり</t>
    <phoneticPr fontId="1"/>
  </si>
  <si>
    <t>なし</t>
    <phoneticPr fontId="1"/>
  </si>
  <si>
    <t>Gy/h</t>
    <phoneticPr fontId="1"/>
  </si>
  <si>
    <t>線量率</t>
    <rPh sb="0" eb="3">
      <t>センリョウリツ</t>
    </rPh>
    <phoneticPr fontId="1"/>
  </si>
  <si>
    <t>＃3302229</t>
    <phoneticPr fontId="1"/>
  </si>
  <si>
    <t>＃4502260</t>
    <phoneticPr fontId="1"/>
  </si>
  <si>
    <t>＃1102</t>
    <phoneticPr fontId="1"/>
  </si>
  <si>
    <t>＃1244</t>
    <phoneticPr fontId="1"/>
  </si>
  <si>
    <t>＃1200</t>
    <phoneticPr fontId="1"/>
  </si>
  <si>
    <t>＃1202</t>
    <phoneticPr fontId="1"/>
  </si>
  <si>
    <t>＃1238</t>
    <phoneticPr fontId="1"/>
  </si>
  <si>
    <t>＃1203</t>
    <phoneticPr fontId="1"/>
  </si>
  <si>
    <t>＃1205</t>
    <phoneticPr fontId="1"/>
  </si>
  <si>
    <t>Co水</t>
    <rPh sb="2" eb="3">
      <t>ミズ</t>
    </rPh>
    <phoneticPr fontId="1"/>
  </si>
  <si>
    <t>Cs空気</t>
    <rPh sb="2" eb="4">
      <t>クウキ</t>
    </rPh>
    <phoneticPr fontId="1"/>
  </si>
  <si>
    <t>選択定数</t>
    <rPh sb="0" eb="2">
      <t>センタク</t>
    </rPh>
    <rPh sb="2" eb="4">
      <t>テイスウ</t>
    </rPh>
    <phoneticPr fontId="1"/>
  </si>
  <si>
    <t>温度</t>
    <rPh sb="0" eb="2">
      <t>オンド</t>
    </rPh>
    <phoneticPr fontId="1"/>
  </si>
  <si>
    <t>気圧</t>
    <rPh sb="0" eb="2">
      <t>キアツ</t>
    </rPh>
    <phoneticPr fontId="1"/>
  </si>
  <si>
    <t>℃</t>
    <phoneticPr fontId="1"/>
  </si>
  <si>
    <t>hPa</t>
    <phoneticPr fontId="1"/>
  </si>
  <si>
    <t>補正有の場合は入力</t>
    <rPh sb="0" eb="2">
      <t>ホセイ</t>
    </rPh>
    <rPh sb="2" eb="3">
      <t>アリ</t>
    </rPh>
    <rPh sb="4" eb="6">
      <t>バアイ</t>
    </rPh>
    <rPh sb="7" eb="9">
      <t>ニュウリョク</t>
    </rPh>
    <phoneticPr fontId="1"/>
  </si>
  <si>
    <t>温度・気圧補正</t>
    <rPh sb="0" eb="2">
      <t>オンド</t>
    </rPh>
    <rPh sb="3" eb="5">
      <t>キアツ</t>
    </rPh>
    <rPh sb="5" eb="7">
      <t>ホセイ</t>
    </rPh>
    <phoneticPr fontId="1"/>
  </si>
  <si>
    <t>温度気圧補正係数（標準計測法12より）</t>
    <rPh sb="0" eb="2">
      <t>オンド</t>
    </rPh>
    <rPh sb="2" eb="4">
      <t>キアツ</t>
    </rPh>
    <rPh sb="4" eb="6">
      <t>ホセイ</t>
    </rPh>
    <rPh sb="6" eb="8">
      <t>ケイスウ</t>
    </rPh>
    <rPh sb="9" eb="11">
      <t>ヒョウジュン</t>
    </rPh>
    <rPh sb="11" eb="14">
      <t>ケイソクホウ</t>
    </rPh>
    <phoneticPr fontId="1"/>
  </si>
  <si>
    <t>T=測定時の温度℃</t>
    <rPh sb="2" eb="4">
      <t>ソクテイ</t>
    </rPh>
    <rPh sb="4" eb="5">
      <t>ジ</t>
    </rPh>
    <rPh sb="6" eb="8">
      <t>オンド</t>
    </rPh>
    <phoneticPr fontId="1"/>
  </si>
  <si>
    <t>T0＝22.0℃</t>
    <phoneticPr fontId="1"/>
  </si>
  <si>
    <t>JQA</t>
    <phoneticPr fontId="1"/>
  </si>
  <si>
    <t>ANTM</t>
    <phoneticPr fontId="1"/>
  </si>
  <si>
    <t>P=測定時の気圧hPa</t>
    <rPh sb="2" eb="5">
      <t>ソクテイジ</t>
    </rPh>
    <rPh sb="6" eb="8">
      <t>キアツ</t>
    </rPh>
    <phoneticPr fontId="1"/>
  </si>
  <si>
    <t>合成不確かさ</t>
    <rPh sb="0" eb="2">
      <t>ゴウセイ</t>
    </rPh>
    <rPh sb="2" eb="4">
      <t>フタシ</t>
    </rPh>
    <phoneticPr fontId="1"/>
  </si>
  <si>
    <t>不確かさ(線量率)</t>
    <rPh sb="0" eb="2">
      <t>フタシ</t>
    </rPh>
    <rPh sb="5" eb="8">
      <t>センリョウリツ</t>
    </rPh>
    <phoneticPr fontId="1"/>
  </si>
  <si>
    <t>使用係数</t>
    <rPh sb="0" eb="2">
      <t>シヨウ</t>
    </rPh>
    <rPh sb="2" eb="4">
      <t>ケイスウ</t>
    </rPh>
    <phoneticPr fontId="1"/>
  </si>
  <si>
    <t>ANTM：（公財）医用原子力技術研究振興財団</t>
    <rPh sb="6" eb="8">
      <t>コウザイ</t>
    </rPh>
    <rPh sb="9" eb="11">
      <t>イヨウ</t>
    </rPh>
    <rPh sb="11" eb="14">
      <t>ゲンシリョク</t>
    </rPh>
    <rPh sb="14" eb="16">
      <t>ギジュツ</t>
    </rPh>
    <rPh sb="16" eb="18">
      <t>ケンキュウ</t>
    </rPh>
    <rPh sb="18" eb="20">
      <t>シンコウ</t>
    </rPh>
    <rPh sb="20" eb="22">
      <t>ザイダン</t>
    </rPh>
    <phoneticPr fontId="1"/>
  </si>
  <si>
    <t>JQA：(一財)日本品質保証機構</t>
    <rPh sb="5" eb="7">
      <t>イチザイ</t>
    </rPh>
    <rPh sb="8" eb="10">
      <t>ニホン</t>
    </rPh>
    <rPh sb="10" eb="12">
      <t>ヒンシツ</t>
    </rPh>
    <rPh sb="12" eb="14">
      <t>ホショウ</t>
    </rPh>
    <rPh sb="14" eb="16">
      <t>キコウ</t>
    </rPh>
    <phoneticPr fontId="1"/>
  </si>
  <si>
    <t>Gy/nC</t>
    <phoneticPr fontId="1"/>
  </si>
  <si>
    <t>1A=1C/s=3600C/h</t>
    <phoneticPr fontId="1"/>
  </si>
  <si>
    <t>1pA=3.6nC/h</t>
    <phoneticPr fontId="1"/>
  </si>
  <si>
    <t>pA</t>
    <phoneticPr fontId="1"/>
  </si>
  <si>
    <t>校正証明書</t>
    <rPh sb="0" eb="2">
      <t>コウセイ</t>
    </rPh>
    <rPh sb="2" eb="5">
      <t>ショウメイショ</t>
    </rPh>
    <phoneticPr fontId="1"/>
  </si>
  <si>
    <t>Cs空気―Co水換算係数(Co水/Cs空気)</t>
    <rPh sb="2" eb="4">
      <t>クウキ</t>
    </rPh>
    <rPh sb="7" eb="8">
      <t>ミズ</t>
    </rPh>
    <rPh sb="8" eb="10">
      <t>カンザン</t>
    </rPh>
    <rPh sb="10" eb="12">
      <t>ケイスウ</t>
    </rPh>
    <rPh sb="15" eb="16">
      <t>ミズ</t>
    </rPh>
    <rPh sb="19" eb="21">
      <t>クウキ</t>
    </rPh>
    <phoneticPr fontId="1"/>
  </si>
  <si>
    <t>線量率＝</t>
    <rPh sb="0" eb="3">
      <t>センリョウリツ</t>
    </rPh>
    <phoneticPr fontId="1"/>
  </si>
  <si>
    <t>最終的な線量不足を防ぐため、不確かさは線量率が下がる方向を採用</t>
    <rPh sb="0" eb="3">
      <t>サイシュウテキ</t>
    </rPh>
    <rPh sb="4" eb="6">
      <t>センリョウ</t>
    </rPh>
    <rPh sb="6" eb="8">
      <t>フソク</t>
    </rPh>
    <rPh sb="9" eb="10">
      <t>フセ</t>
    </rPh>
    <rPh sb="14" eb="16">
      <t>フタシ</t>
    </rPh>
    <rPh sb="19" eb="22">
      <t>センリョウリツ</t>
    </rPh>
    <rPh sb="23" eb="24">
      <t>サ</t>
    </rPh>
    <rPh sb="26" eb="28">
      <t>ホウコウ</t>
    </rPh>
    <rPh sb="29" eb="31">
      <t>サイヨウ</t>
    </rPh>
    <phoneticPr fontId="1"/>
  </si>
  <si>
    <t>1-（不確かさ/100）</t>
    <rPh sb="3" eb="5">
      <t>フタシ</t>
    </rPh>
    <phoneticPr fontId="1"/>
  </si>
  <si>
    <t>有効数字4桁で計算</t>
    <rPh sb="0" eb="2">
      <t>ユウコウ</t>
    </rPh>
    <rPh sb="2" eb="4">
      <t>スウジ</t>
    </rPh>
    <rPh sb="5" eb="6">
      <t>ケタ</t>
    </rPh>
    <rPh sb="7" eb="9">
      <t>ケイサン</t>
    </rPh>
    <phoneticPr fontId="1"/>
  </si>
  <si>
    <t>Gy</t>
    <phoneticPr fontId="1"/>
  </si>
  <si>
    <t>nC</t>
    <phoneticPr fontId="1"/>
  </si>
  <si>
    <t>線量＝</t>
    <rPh sb="0" eb="2">
      <t>センリョウ</t>
    </rPh>
    <phoneticPr fontId="1"/>
  </si>
  <si>
    <t>ケーブル補正</t>
    <rPh sb="4" eb="6">
      <t>ホセイ</t>
    </rPh>
    <phoneticPr fontId="1"/>
  </si>
  <si>
    <t>質量エネルギー吸収係数（アイソトープ手帳12版）</t>
    <rPh sb="0" eb="2">
      <t>シツリョウ</t>
    </rPh>
    <rPh sb="7" eb="9">
      <t>キュウシュウ</t>
    </rPh>
    <rPh sb="9" eb="11">
      <t>ケイスウ</t>
    </rPh>
    <rPh sb="18" eb="20">
      <t>テチョウ</t>
    </rPh>
    <rPh sb="22" eb="23">
      <t>ハン</t>
    </rPh>
    <phoneticPr fontId="1"/>
  </si>
  <si>
    <t>Co空気</t>
    <rPh sb="2" eb="4">
      <t>クウキ</t>
    </rPh>
    <phoneticPr fontId="1"/>
  </si>
  <si>
    <t>ケーブル補正（Co空気換算）</t>
    <rPh sb="4" eb="6">
      <t>ホセイ</t>
    </rPh>
    <rPh sb="9" eb="11">
      <t>クウキ</t>
    </rPh>
    <rPh sb="11" eb="13">
      <t>カンザン</t>
    </rPh>
    <phoneticPr fontId="1"/>
  </si>
  <si>
    <t>=Co空気/Co水</t>
    <phoneticPr fontId="1"/>
  </si>
  <si>
    <t>通常の計算（確認用）</t>
    <rPh sb="0" eb="2">
      <t>ツウジョウ</t>
    </rPh>
    <rPh sb="3" eb="5">
      <t>ケイサン</t>
    </rPh>
    <rPh sb="6" eb="9">
      <t>カクニンヨウ</t>
    </rPh>
    <phoneticPr fontId="1"/>
  </si>
  <si>
    <t>不確かさ＝1-（√（電位計不確かさ＾2＋電離箱不確かさ＾２）/100）</t>
    <rPh sb="10" eb="13">
      <t>デンイケイ</t>
    </rPh>
    <rPh sb="13" eb="15">
      <t>フタシ</t>
    </rPh>
    <rPh sb="20" eb="22">
      <t>デンリ</t>
    </rPh>
    <rPh sb="22" eb="23">
      <t>バコ</t>
    </rPh>
    <rPh sb="23" eb="25">
      <t>フタシ</t>
    </rPh>
    <phoneticPr fontId="1"/>
  </si>
  <si>
    <t>線量</t>
    <rPh sb="0" eb="2">
      <t>センリョウ</t>
    </rPh>
    <phoneticPr fontId="1"/>
  </si>
  <si>
    <t>電位計校正定数（RATE）×電離箱校正定数×温度・気圧補正係数×不確かさ×ケーブル補正係数×3.6×　表示値</t>
    <rPh sb="0" eb="2">
      <t>デンイ</t>
    </rPh>
    <rPh sb="2" eb="3">
      <t>ケイ</t>
    </rPh>
    <rPh sb="3" eb="5">
      <t>コウセイ</t>
    </rPh>
    <rPh sb="5" eb="7">
      <t>テイスウ</t>
    </rPh>
    <rPh sb="14" eb="16">
      <t>デンリ</t>
    </rPh>
    <rPh sb="16" eb="17">
      <t>バコ</t>
    </rPh>
    <rPh sb="17" eb="19">
      <t>コウセイ</t>
    </rPh>
    <rPh sb="19" eb="21">
      <t>テイスウ</t>
    </rPh>
    <rPh sb="22" eb="24">
      <t>オンド</t>
    </rPh>
    <rPh sb="25" eb="27">
      <t>キアツ</t>
    </rPh>
    <rPh sb="27" eb="29">
      <t>ホセイ</t>
    </rPh>
    <rPh sb="29" eb="31">
      <t>ケイスウ</t>
    </rPh>
    <rPh sb="32" eb="34">
      <t>フタシ</t>
    </rPh>
    <rPh sb="41" eb="43">
      <t>ホセイ</t>
    </rPh>
    <rPh sb="43" eb="45">
      <t>ケイスウ</t>
    </rPh>
    <rPh sb="51" eb="53">
      <t>ヒョウジ</t>
    </rPh>
    <rPh sb="53" eb="54">
      <t>チ</t>
    </rPh>
    <phoneticPr fontId="1"/>
  </si>
  <si>
    <t>電位計校正定数（INTEG）×電離箱校正定数×温度・気圧補正係数×不確かさ×ケーブル補正係数×表示値</t>
    <rPh sb="0" eb="2">
      <t>デンイ</t>
    </rPh>
    <rPh sb="2" eb="3">
      <t>ケイ</t>
    </rPh>
    <rPh sb="3" eb="5">
      <t>コウセイ</t>
    </rPh>
    <rPh sb="5" eb="7">
      <t>テイスウ</t>
    </rPh>
    <rPh sb="15" eb="17">
      <t>デンリ</t>
    </rPh>
    <rPh sb="17" eb="18">
      <t>バコ</t>
    </rPh>
    <rPh sb="18" eb="20">
      <t>コウセイ</t>
    </rPh>
    <rPh sb="20" eb="22">
      <t>テイスウ</t>
    </rPh>
    <rPh sb="23" eb="25">
      <t>オンド</t>
    </rPh>
    <rPh sb="26" eb="28">
      <t>キアツ</t>
    </rPh>
    <rPh sb="28" eb="30">
      <t>ホセイ</t>
    </rPh>
    <rPh sb="30" eb="32">
      <t>ケイスウ</t>
    </rPh>
    <rPh sb="33" eb="35">
      <t>フタシ</t>
    </rPh>
    <rPh sb="42" eb="44">
      <t>ホセイ</t>
    </rPh>
    <rPh sb="44" eb="46">
      <t>ケイスウ</t>
    </rPh>
    <rPh sb="47" eb="49">
      <t>ヒョウジ</t>
    </rPh>
    <rPh sb="49" eb="50">
      <t>チ</t>
    </rPh>
    <phoneticPr fontId="1"/>
  </si>
  <si>
    <t>ケーブル補正（Co空気換算）=Co空気/Co水</t>
    <rPh sb="4" eb="6">
      <t>ホセイ</t>
    </rPh>
    <rPh sb="9" eb="11">
      <t>クウキ</t>
    </rPh>
    <rPh sb="11" eb="13">
      <t>カンザン</t>
    </rPh>
    <phoneticPr fontId="1"/>
  </si>
  <si>
    <t>改訂履歴</t>
  </si>
  <si>
    <r>
      <t>版</t>
    </r>
    <r>
      <rPr>
        <sz val="10.5"/>
        <rFont val="Century"/>
        <family val="1"/>
      </rPr>
      <t xml:space="preserve"> *1</t>
    </r>
  </si>
  <si>
    <r>
      <t>制定</t>
    </r>
    <r>
      <rPr>
        <sz val="10.5"/>
        <rFont val="Century"/>
        <family val="1"/>
      </rPr>
      <t>/</t>
    </r>
    <r>
      <rPr>
        <sz val="10.5"/>
        <rFont val="ＭＳ 明朝"/>
        <family val="1"/>
        <charset val="128"/>
      </rPr>
      <t>改訂日</t>
    </r>
  </si>
  <si>
    <t>実施日</t>
  </si>
  <si>
    <t>新規制定</t>
    <phoneticPr fontId="12"/>
  </si>
  <si>
    <r>
      <t>*1</t>
    </r>
    <r>
      <rPr>
        <sz val="10.5"/>
        <rFont val="ＭＳ 明朝"/>
        <family val="1"/>
        <charset val="128"/>
      </rPr>
      <t>　改訂版数を記入</t>
    </r>
  </si>
  <si>
    <t>2023/12/27</t>
    <phoneticPr fontId="14"/>
  </si>
  <si>
    <t>改訂箇所</t>
    <phoneticPr fontId="1"/>
  </si>
  <si>
    <t>〇</t>
    <phoneticPr fontId="1"/>
  </si>
  <si>
    <t>　〇：校正済み。使用可</t>
    <rPh sb="3" eb="5">
      <t>コウセイ</t>
    </rPh>
    <rPh sb="5" eb="6">
      <t>ズ</t>
    </rPh>
    <rPh sb="8" eb="11">
      <t>シヨウカ</t>
    </rPh>
    <phoneticPr fontId="1"/>
  </si>
  <si>
    <t>ver.0.0</t>
    <phoneticPr fontId="1"/>
  </si>
  <si>
    <r>
      <t>κ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TP</t>
    </r>
    <r>
      <rPr>
        <b/>
        <sz val="11"/>
        <color theme="1"/>
        <rFont val="游ゴシック"/>
        <family val="3"/>
        <charset val="128"/>
        <scheme val="minor"/>
      </rPr>
      <t>=(273.2+T)/(273.2+T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)*(P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/P))</t>
    </r>
    <phoneticPr fontId="1"/>
  </si>
  <si>
    <r>
      <t>κ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TP</t>
    </r>
    <r>
      <rPr>
        <b/>
        <sz val="11"/>
        <color theme="1"/>
        <rFont val="游ゴシック"/>
        <family val="3"/>
        <charset val="128"/>
        <scheme val="minor"/>
      </rPr>
      <t>=(273.2+T)/(273.2+T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)*(P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/P)</t>
    </r>
    <phoneticPr fontId="1"/>
  </si>
  <si>
    <r>
      <t>T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＝22.0℃</t>
    </r>
    <phoneticPr fontId="1"/>
  </si>
  <si>
    <r>
      <t>P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=1013.3hPa</t>
    </r>
    <phoneticPr fontId="1"/>
  </si>
  <si>
    <t>受付番号</t>
    <rPh sb="0" eb="2">
      <t>ウケツケ</t>
    </rPh>
    <rPh sb="2" eb="4">
      <t>バンゴウ</t>
    </rPh>
    <phoneticPr fontId="1"/>
  </si>
  <si>
    <t>受付番号</t>
    <rPh sb="0" eb="4">
      <t>ウケツケバンゴウ</t>
    </rPh>
    <phoneticPr fontId="1"/>
  </si>
  <si>
    <t>設定線量</t>
    <rPh sb="0" eb="2">
      <t>セッテイ</t>
    </rPh>
    <rPh sb="2" eb="4">
      <t>センリョウ</t>
    </rPh>
    <phoneticPr fontId="1"/>
  </si>
  <si>
    <t>照射時間</t>
    <rPh sb="0" eb="2">
      <t>ショウシャ</t>
    </rPh>
    <rPh sb="2" eb="4">
      <t>ジカン</t>
    </rPh>
    <phoneticPr fontId="1"/>
  </si>
  <si>
    <t>h</t>
    <phoneticPr fontId="1"/>
  </si>
  <si>
    <t>（設定線量/線量率）</t>
    <rPh sb="1" eb="3">
      <t>セッテイ</t>
    </rPh>
    <rPh sb="3" eb="5">
      <t>センリョウ</t>
    </rPh>
    <rPh sb="6" eb="9">
      <t>センリョウリツ</t>
    </rPh>
    <phoneticPr fontId="1"/>
  </si>
  <si>
    <t>ver.0.1</t>
  </si>
  <si>
    <t>・2月校正分を追加した
・線量率に照射時間の算出を追加した</t>
    <rPh sb="2" eb="3">
      <t>ガツ</t>
    </rPh>
    <rPh sb="3" eb="5">
      <t>コウセイ</t>
    </rPh>
    <rPh sb="5" eb="6">
      <t>ブン</t>
    </rPh>
    <rPh sb="7" eb="9">
      <t>ツイカ</t>
    </rPh>
    <rPh sb="13" eb="16">
      <t>センリョウリツ</t>
    </rPh>
    <rPh sb="17" eb="19">
      <t>ショウシャ</t>
    </rPh>
    <rPh sb="19" eb="21">
      <t>ジカン</t>
    </rPh>
    <rPh sb="22" eb="24">
      <t>サンシュツ</t>
    </rPh>
    <rPh sb="25" eb="27">
      <t>ツイカ</t>
    </rPh>
    <phoneticPr fontId="1"/>
  </si>
  <si>
    <t>2024/03/18</t>
    <phoneticPr fontId="1"/>
  </si>
  <si>
    <t>2024/03/19</t>
    <phoneticPr fontId="1"/>
  </si>
  <si>
    <t>小数点以下第2位を切り上げ</t>
    <rPh sb="0" eb="3">
      <t>ショウスウテン</t>
    </rPh>
    <rPh sb="3" eb="5">
      <t>イカ</t>
    </rPh>
    <rPh sb="5" eb="6">
      <t>ダイ</t>
    </rPh>
    <rPh sb="7" eb="8">
      <t>イ</t>
    </rPh>
    <rPh sb="9" eb="10">
      <t>キ</t>
    </rPh>
    <rPh sb="11" eb="12">
      <t>ア</t>
    </rPh>
    <phoneticPr fontId="1"/>
  </si>
  <si>
    <t>ver.0.2</t>
  </si>
  <si>
    <t>＃1253</t>
    <phoneticPr fontId="1"/>
  </si>
  <si>
    <t>％</t>
    <phoneticPr fontId="1"/>
  </si>
  <si>
    <t>＃1132（0.2ml）を廃止し、＃1253（0.2ml）を追加した</t>
    <rPh sb="13" eb="15">
      <t>ハイシ</t>
    </rPh>
    <rPh sb="30" eb="32">
      <t>ツイカ</t>
    </rPh>
    <phoneticPr fontId="1"/>
  </si>
  <si>
    <t>2024/04/04</t>
    <phoneticPr fontId="1"/>
  </si>
  <si>
    <t>＃1289</t>
    <phoneticPr fontId="1"/>
  </si>
  <si>
    <t>ver.0.3</t>
  </si>
  <si>
    <t>・＃1289（0.2ml）を追加した
・校正中の機器を使用不可にした</t>
    <rPh sb="20" eb="23">
      <t>コウセイチュウ</t>
    </rPh>
    <rPh sb="24" eb="26">
      <t>キキ</t>
    </rPh>
    <rPh sb="27" eb="29">
      <t>シヨウ</t>
    </rPh>
    <rPh sb="29" eb="31">
      <t>フカ</t>
    </rPh>
    <phoneticPr fontId="1"/>
  </si>
  <si>
    <t>　×：校正中。使用不可</t>
    <rPh sb="3" eb="6">
      <t>コウセイチュウ</t>
    </rPh>
    <rPh sb="7" eb="9">
      <t>シヨウ</t>
    </rPh>
    <rPh sb="9" eb="11">
      <t>フカ</t>
    </rPh>
    <phoneticPr fontId="1"/>
  </si>
  <si>
    <t>E-05とかだとrounddownの桁注意</t>
    <rPh sb="18" eb="19">
      <t>ケタ</t>
    </rPh>
    <rPh sb="19" eb="21">
      <t>チュウイ</t>
    </rPh>
    <phoneticPr fontId="1"/>
  </si>
  <si>
    <t>計算がある場合は表示が小数点以下3桁目になるようにを切り捨てする。ただし電位計は小数点以下4桁表示で計算は別途実施</t>
    <rPh sb="0" eb="2">
      <t>ケイサン</t>
    </rPh>
    <rPh sb="5" eb="7">
      <t>バアイ</t>
    </rPh>
    <rPh sb="8" eb="10">
      <t>ヒョウジ</t>
    </rPh>
    <rPh sb="11" eb="14">
      <t>ショウスウテン</t>
    </rPh>
    <rPh sb="14" eb="16">
      <t>イカ</t>
    </rPh>
    <rPh sb="17" eb="18">
      <t>ケタ</t>
    </rPh>
    <rPh sb="18" eb="19">
      <t>メ</t>
    </rPh>
    <rPh sb="26" eb="27">
      <t>キ</t>
    </rPh>
    <rPh sb="28" eb="29">
      <t>ス</t>
    </rPh>
    <rPh sb="36" eb="38">
      <t>デンイ</t>
    </rPh>
    <rPh sb="38" eb="39">
      <t>ケイ</t>
    </rPh>
    <rPh sb="40" eb="45">
      <t>ショウスウテンイカ</t>
    </rPh>
    <rPh sb="46" eb="47">
      <t>ケタ</t>
    </rPh>
    <rPh sb="47" eb="49">
      <t>ヒョウジ</t>
    </rPh>
    <rPh sb="50" eb="52">
      <t>ケイサン</t>
    </rPh>
    <rPh sb="53" eb="55">
      <t>ベット</t>
    </rPh>
    <rPh sb="55" eb="57">
      <t>ジッシ</t>
    </rPh>
    <phoneticPr fontId="1"/>
  </si>
  <si>
    <t>ver.1.0</t>
    <phoneticPr fontId="1"/>
  </si>
  <si>
    <t>・11月校正分を更新
・校正中の2月校正分を使用不可にした
・各使用係数の計算を切り捨てにした</t>
    <rPh sb="3" eb="4">
      <t>ガツ</t>
    </rPh>
    <rPh sb="4" eb="6">
      <t>コウセイ</t>
    </rPh>
    <rPh sb="6" eb="7">
      <t>ブン</t>
    </rPh>
    <rPh sb="8" eb="10">
      <t>コウシン</t>
    </rPh>
    <rPh sb="12" eb="15">
      <t>コウセイチュウ</t>
    </rPh>
    <rPh sb="17" eb="18">
      <t>ガツ</t>
    </rPh>
    <rPh sb="18" eb="20">
      <t>コウセイ</t>
    </rPh>
    <rPh sb="20" eb="21">
      <t>ブン</t>
    </rPh>
    <rPh sb="22" eb="24">
      <t>シヨウ</t>
    </rPh>
    <rPh sb="24" eb="26">
      <t>フカ</t>
    </rPh>
    <rPh sb="31" eb="32">
      <t>カク</t>
    </rPh>
    <rPh sb="32" eb="34">
      <t>シヨウ</t>
    </rPh>
    <rPh sb="34" eb="36">
      <t>ケイスウ</t>
    </rPh>
    <rPh sb="37" eb="39">
      <t>ケイサン</t>
    </rPh>
    <rPh sb="40" eb="41">
      <t>キ</t>
    </rPh>
    <rPh sb="42" eb="43">
      <t>ス</t>
    </rPh>
    <phoneticPr fontId="1"/>
  </si>
  <si>
    <t>2024/12/24</t>
    <phoneticPr fontId="1"/>
  </si>
  <si>
    <t>以下余白</t>
    <rPh sb="0" eb="3">
      <t>イカヨハク</t>
    </rPh>
    <phoneticPr fontId="1"/>
  </si>
  <si>
    <t>線量率計算</t>
  </si>
  <si>
    <t>線量率RATE　ver.1.1</t>
    <rPh sb="0" eb="3">
      <t>センリョウリツ</t>
    </rPh>
    <phoneticPr fontId="1"/>
  </si>
  <si>
    <t>積算INTEG　ver.1.1</t>
    <rPh sb="0" eb="2">
      <t>セキサン</t>
    </rPh>
    <phoneticPr fontId="1"/>
  </si>
  <si>
    <t>ver.1.1</t>
    <phoneticPr fontId="1"/>
  </si>
  <si>
    <t>2月校正分を更新</t>
    <rPh sb="1" eb="2">
      <t>ガツ</t>
    </rPh>
    <rPh sb="2" eb="4">
      <t>コウセイ</t>
    </rPh>
    <rPh sb="4" eb="5">
      <t>ブン</t>
    </rPh>
    <rPh sb="6" eb="8">
      <t>コウシン</t>
    </rPh>
    <phoneticPr fontId="1"/>
  </si>
  <si>
    <t>2025/3/13</t>
    <phoneticPr fontId="1"/>
  </si>
  <si>
    <t>2025/3/14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</si>
</sst>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0E+00"/>
    <numFmt numFmtId="177" formatCode="0.0000E+00"/>
    <numFmt numFmtId="178" formatCode="0.000"/>
    <numFmt numFmtId="179" formatCode="0.0"/>
    <numFmt numFmtId="180" formatCode="0.00000.E+00"/>
    <numFmt numFmtId="181" formatCode="0.000.E+00"/>
    <numFmt numFmtId="182" formatCode="0.0_ "/>
    <numFmt numFmtId="183" formatCode="yyyy/mm/dd"/>
    <numFmt numFmtId="184" formatCode="0_ "/>
    <numFmt numFmtId="185" formatCode="0.0_);[Red]\(0.0\)"/>
  </numFmts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000000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明朝"/>
      <family val="1"/>
      <charset val="128"/>
    </font>
    <font>
      <sz val="10.5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0.5"/>
      <name val="Century"/>
      <family val="1"/>
    </font>
    <font>
      <sz val="6"/>
      <name val="ＭＳ Ｐゴシック"/>
      <family val="3"/>
      <charset val="128"/>
    </font>
    <font>
      <b/>
      <sz val="16"/>
      <color rgb="FFFF00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vertAlign val="subscript"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10.5"/>
      <name val="ＭＳ Ｐ明朝"/>
      <family val="1"/>
      <charset val="128"/>
    </font>
    <font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81">
    <xf numFmtId="0" fontId="0" fillId="0" borderId="0" xfId="0">
      <alignment vertical="center"/>
    </xf>
    <xf numFmtId="0" fontId="5" fillId="0" borderId="0" xfId="0" applyFont="1">
      <alignment vertical="center"/>
    </xf>
    <xf numFmtId="179" fontId="6" fillId="6" borderId="1" xfId="0" applyNumberFormat="1" applyFont="1" applyFill="1" applyBorder="1" applyProtection="1">
      <alignment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82" fontId="6" fillId="6" borderId="1" xfId="0" applyNumberFormat="1" applyFont="1" applyFill="1" applyBorder="1" applyProtection="1">
      <alignment vertical="center"/>
      <protection locked="0"/>
    </xf>
    <xf numFmtId="0" fontId="9" fillId="0" borderId="0" xfId="1"/>
    <xf numFmtId="0" fontId="11" fillId="0" borderId="0" xfId="1" applyFont="1" applyAlignment="1">
      <alignment horizontal="right" vertical="center"/>
    </xf>
    <xf numFmtId="0" fontId="11" fillId="0" borderId="2" xfId="1" applyFont="1" applyBorder="1" applyAlignment="1">
      <alignment horizontal="center" vertical="center" wrapText="1"/>
    </xf>
    <xf numFmtId="14" fontId="13" fillId="0" borderId="2" xfId="1" quotePrefix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justify" vertical="center" wrapText="1"/>
    </xf>
    <xf numFmtId="183" fontId="13" fillId="0" borderId="2" xfId="1" quotePrefix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justify" vertical="center" wrapText="1"/>
    </xf>
    <xf numFmtId="0" fontId="11" fillId="0" borderId="2" xfId="1" applyFont="1" applyBorder="1" applyAlignment="1">
      <alignment horizontal="left" vertical="center" wrapText="1"/>
    </xf>
    <xf numFmtId="0" fontId="11" fillId="0" borderId="2" xfId="1" applyFont="1" applyBorder="1" applyAlignment="1">
      <alignment vertical="center" wrapText="1"/>
    </xf>
    <xf numFmtId="183" fontId="13" fillId="0" borderId="2" xfId="1" quotePrefix="1" applyNumberFormat="1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13" fillId="0" borderId="0" xfId="1" applyFont="1" applyAlignment="1">
      <alignment horizontal="justify" vertical="center"/>
    </xf>
    <xf numFmtId="0" fontId="13" fillId="0" borderId="0" xfId="1" applyFont="1" applyAlignme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5" fillId="7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5" fillId="8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8" borderId="0" xfId="0" applyNumberFormat="1" applyFont="1" applyFill="1">
      <alignment vertical="center"/>
    </xf>
    <xf numFmtId="0" fontId="5" fillId="0" borderId="0" xfId="0" applyFont="1" applyProtection="1">
      <alignment vertical="center"/>
      <protection locked="0"/>
    </xf>
    <xf numFmtId="177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5" fillId="8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11" fontId="5" fillId="0" borderId="0" xfId="0" applyNumberFormat="1" applyFont="1">
      <alignment vertical="center"/>
    </xf>
    <xf numFmtId="0" fontId="5" fillId="2" borderId="0" xfId="0" applyFont="1" applyFill="1">
      <alignment vertical="center"/>
    </xf>
    <xf numFmtId="179" fontId="5" fillId="8" borderId="0" xfId="0" applyNumberFormat="1" applyFont="1" applyFill="1">
      <alignment vertical="center"/>
    </xf>
    <xf numFmtId="0" fontId="5" fillId="0" borderId="0" xfId="0" applyFont="1" applyAlignment="1">
      <alignment horizontal="left" vertical="center" wrapText="1"/>
    </xf>
    <xf numFmtId="179" fontId="5" fillId="0" borderId="0" xfId="0" applyNumberFormat="1" applyFont="1">
      <alignment vertical="center"/>
    </xf>
    <xf numFmtId="181" fontId="5" fillId="2" borderId="0" xfId="0" applyNumberFormat="1" applyFont="1" applyFill="1">
      <alignment vertical="center"/>
    </xf>
    <xf numFmtId="181" fontId="5" fillId="8" borderId="0" xfId="0" applyNumberFormat="1" applyFont="1" applyFill="1">
      <alignment vertical="center"/>
    </xf>
    <xf numFmtId="181" fontId="5" fillId="0" borderId="0" xfId="0" applyNumberFormat="1" applyFont="1">
      <alignment vertical="center"/>
    </xf>
    <xf numFmtId="0" fontId="5" fillId="2" borderId="0" xfId="0" quotePrefix="1" applyFont="1" applyFill="1">
      <alignment vertical="center"/>
    </xf>
    <xf numFmtId="0" fontId="5" fillId="0" borderId="0" xfId="0" quotePrefix="1" applyFont="1">
      <alignment vertical="center"/>
    </xf>
    <xf numFmtId="0" fontId="18" fillId="0" borderId="0" xfId="0" applyFont="1">
      <alignment vertical="center"/>
    </xf>
    <xf numFmtId="180" fontId="19" fillId="0" borderId="0" xfId="0" applyNumberFormat="1" applyFont="1" applyAlignment="1">
      <alignment horizontal="center" vertical="center"/>
    </xf>
    <xf numFmtId="0" fontId="18" fillId="3" borderId="0" xfId="0" applyFont="1" applyFill="1">
      <alignment vertical="center"/>
    </xf>
    <xf numFmtId="180" fontId="5" fillId="3" borderId="0" xfId="0" applyNumberFormat="1" applyFont="1" applyFill="1">
      <alignment vertical="center"/>
    </xf>
    <xf numFmtId="180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2" xfId="1" applyFont="1" applyBorder="1" applyAlignment="1">
      <alignment horizontal="justify" vertical="center" wrapText="1"/>
    </xf>
    <xf numFmtId="176" fontId="5" fillId="0" borderId="0" xfId="0" applyNumberFormat="1" applyFont="1" applyAlignment="1">
      <alignment horizontal="center" vertical="center"/>
    </xf>
    <xf numFmtId="0" fontId="5" fillId="9" borderId="0" xfId="0" applyFont="1" applyFill="1">
      <alignment vertical="center"/>
    </xf>
    <xf numFmtId="176" fontId="16" fillId="8" borderId="0" xfId="0" applyNumberFormat="1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/>
    </xf>
    <xf numFmtId="14" fontId="23" fillId="0" borderId="2" xfId="1" quotePrefix="1" applyNumberFormat="1" applyFont="1" applyBorder="1" applyAlignment="1">
      <alignment horizontal="center" vertical="center" wrapText="1"/>
    </xf>
    <xf numFmtId="0" fontId="24" fillId="0" borderId="0" xfId="1" applyFont="1"/>
    <xf numFmtId="0" fontId="18" fillId="4" borderId="0" xfId="0" applyFont="1" applyFill="1">
      <alignment vertical="center"/>
    </xf>
    <xf numFmtId="184" fontId="21" fillId="6" borderId="0" xfId="0" applyNumberFormat="1" applyFont="1" applyFill="1" applyAlignment="1" applyProtection="1">
      <alignment horizontal="center" vertical="center"/>
      <protection locked="0"/>
    </xf>
    <xf numFmtId="184" fontId="21" fillId="6" borderId="1" xfId="0" applyNumberFormat="1" applyFont="1" applyFill="1" applyBorder="1" applyAlignment="1" applyProtection="1">
      <alignment horizontal="center" vertical="center"/>
      <protection locked="0"/>
    </xf>
    <xf numFmtId="185" fontId="7" fillId="3" borderId="0" xfId="0" applyNumberFormat="1" applyFont="1" applyFill="1" applyAlignment="1">
      <alignment horizontal="center" vertical="center"/>
    </xf>
    <xf numFmtId="185" fontId="7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76" fontId="7" fillId="3" borderId="0" xfId="0" applyNumberFormat="1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</cellXfs>
  <cellStyles count="2">
    <cellStyle name="標準" xfId="0" builtinId="0"/>
    <cellStyle name="標準 2" xfId="1" xr:uid="{D2C5DC07-4AAC-4BFA-BA7C-9B420B2607A5}"/>
  </cellStyles>
  <dxfs count="0"/>
  <tableStyles count="0" defaultTableStyle="TableStyleMedium2" defaultPivotStyle="PivotStyleLight16"/>
  <colors>
    <mruColors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firstButton="1" fmlaLink="$U$6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checked="Checked" firstButton="1" fmlaLink="$U$1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Radio" firstButton="1" fmlaLink="$U$24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Radio" firstButton="1" fmlaLink="$U$31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checked="Checked" lockText="1" noThreeD="1"/>
</file>

<file path=xl/ctrlProps/ctrlProp21.xml><?xml version="1.0" encoding="utf-8"?>
<formControlPr xmlns="http://schemas.microsoft.com/office/spreadsheetml/2009/9/main" objectType="GBox" noThreeD="1"/>
</file>

<file path=xl/ctrlProps/ctrlProp22.xml><?xml version="1.0" encoding="utf-8"?>
<formControlPr xmlns="http://schemas.microsoft.com/office/spreadsheetml/2009/9/main" objectType="Radio" firstButton="1" fmlaLink="$U$37" lockText="1" noThreeD="1"/>
</file>

<file path=xl/ctrlProps/ctrlProp23.xml><?xml version="1.0" encoding="utf-8"?>
<formControlPr xmlns="http://schemas.microsoft.com/office/spreadsheetml/2009/9/main" objectType="Radio" checked="Checked" lockText="1" noThreeD="1"/>
</file>

<file path=xl/ctrlProps/ctrlProp24.xml><?xml version="1.0" encoding="utf-8"?>
<formControlPr xmlns="http://schemas.microsoft.com/office/spreadsheetml/2009/9/main" objectType="Radio" firstButton="1" fmlaLink="$T$6" lockText="1" noThreeD="1"/>
</file>

<file path=xl/ctrlProps/ctrlProp25.xml><?xml version="1.0" encoding="utf-8"?>
<formControlPr xmlns="http://schemas.microsoft.com/office/spreadsheetml/2009/9/main" objectType="Radio" checked="Checked" lockText="1" noThreeD="1"/>
</file>

<file path=xl/ctrlProps/ctrlProp26.xml><?xml version="1.0" encoding="utf-8"?>
<formControlPr xmlns="http://schemas.microsoft.com/office/spreadsheetml/2009/9/main" objectType="Radio" checked="Checked" firstButton="1" fmlaLink="$T$11" lockText="1" noThreeD="1"/>
</file>

<file path=xl/ctrlProps/ctrlProp27.xml><?xml version="1.0" encoding="utf-8"?>
<formControlPr xmlns="http://schemas.microsoft.com/office/spreadsheetml/2009/9/main" objectType="Radio" lockText="1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GBox" noThreeD="1"/>
</file>

<file path=xl/ctrlProps/ctrlProp31.xml><?xml version="1.0" encoding="utf-8"?>
<formControlPr xmlns="http://schemas.microsoft.com/office/spreadsheetml/2009/9/main" objectType="Radio" firstButton="1" fmlaLink="$T$24" lockText="1" noThreeD="1"/>
</file>

<file path=xl/ctrlProps/ctrlProp32.xml><?xml version="1.0" encoding="utf-8"?>
<formControlPr xmlns="http://schemas.microsoft.com/office/spreadsheetml/2009/9/main" objectType="Radio" checked="Checked" lockText="1" noThreeD="1"/>
</file>

<file path=xl/ctrlProps/ctrlProp33.xml><?xml version="1.0" encoding="utf-8"?>
<formControlPr xmlns="http://schemas.microsoft.com/office/spreadsheetml/2009/9/main" objectType="Radio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Radio" lockText="1" noThreeD="1"/>
</file>

<file path=xl/ctrlProps/ctrlProp37.xml><?xml version="1.0" encoding="utf-8"?>
<formControlPr xmlns="http://schemas.microsoft.com/office/spreadsheetml/2009/9/main" objectType="Radio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Radio" firstButton="1" fmlaLink="$T$31" lockText="1" noThreeD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Radio" checked="Checked" lockText="1" noThreeD="1"/>
</file>

<file path=xl/ctrlProps/ctrlProp42.xml><?xml version="1.0" encoding="utf-8"?>
<formControlPr xmlns="http://schemas.microsoft.com/office/spreadsheetml/2009/9/main" objectType="GBox" noThreeD="1"/>
</file>

<file path=xl/ctrlProps/ctrlProp43.xml><?xml version="1.0" encoding="utf-8"?>
<formControlPr xmlns="http://schemas.microsoft.com/office/spreadsheetml/2009/9/main" objectType="Radio" firstButton="1" fmlaLink="$T$37" lockText="1" noThreeD="1"/>
</file>

<file path=xl/ctrlProps/ctrlProp44.xml><?xml version="1.0" encoding="utf-8"?>
<formControlPr xmlns="http://schemas.microsoft.com/office/spreadsheetml/2009/9/main" objectType="Radio" checked="Checked" lockText="1" noThreeD="1"/>
</file>

<file path=xl/ctrlProps/ctrlProp45.xml><?xml version="1.0" encoding="utf-8"?>
<formControlPr xmlns="http://schemas.microsoft.com/office/spreadsheetml/2009/9/main" objectType="GBox" noThreeD="1"/>
</file>

<file path=xl/ctrlProps/ctrlProp46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662940</xdr:colOff>
          <xdr:row>5</xdr:row>
          <xdr:rowOff>22860</xdr:rowOff>
        </xdr:from>
        <xdr:to>
          <xdr:col>3</xdr:col>
          <xdr:colOff>106680</xdr:colOff>
          <xdr:row>6</xdr:row>
          <xdr:rowOff>30480</xdr:rowOff>
        </xdr:to>
        <xdr:sp macro="" textlink="">
          <xdr:nvSpPr>
            <xdr:cNvPr id="7169" name="Option 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＃3302229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662940</xdr:colOff>
          <xdr:row>5</xdr:row>
          <xdr:rowOff>220980</xdr:rowOff>
        </xdr:from>
        <xdr:to>
          <xdr:col>3</xdr:col>
          <xdr:colOff>137160</xdr:colOff>
          <xdr:row>7</xdr:row>
          <xdr:rowOff>38100</xdr:rowOff>
        </xdr:to>
        <xdr:sp macro="" textlink="">
          <xdr:nvSpPr>
            <xdr:cNvPr id="7170" name="Option 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＃4502260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220980</xdr:rowOff>
        </xdr:from>
        <xdr:to>
          <xdr:col>3</xdr:col>
          <xdr:colOff>441960</xdr:colOff>
          <xdr:row>12</xdr:row>
          <xdr:rowOff>15240</xdr:rowOff>
        </xdr:to>
        <xdr:sp macro="" textlink="">
          <xdr:nvSpPr>
            <xdr:cNvPr id="7171" name="Option 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＃1253（0.2ml）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22860</xdr:rowOff>
        </xdr:from>
        <xdr:to>
          <xdr:col>3</xdr:col>
          <xdr:colOff>449580</xdr:colOff>
          <xdr:row>13</xdr:row>
          <xdr:rowOff>0</xdr:rowOff>
        </xdr:to>
        <xdr:sp macro="" textlink="">
          <xdr:nvSpPr>
            <xdr:cNvPr id="7172" name="Option 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＃1289（0.2ml）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</xdr:colOff>
          <xdr:row>4</xdr:row>
          <xdr:rowOff>7620</xdr:rowOff>
        </xdr:from>
        <xdr:to>
          <xdr:col>4</xdr:col>
          <xdr:colOff>0</xdr:colOff>
          <xdr:row>7</xdr:row>
          <xdr:rowOff>243840</xdr:rowOff>
        </xdr:to>
        <xdr:sp macro="" textlink="">
          <xdr:nvSpPr>
            <xdr:cNvPr id="7173" name="Group Box 5" descr="電離箱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電位計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358140</xdr:colOff>
          <xdr:row>10</xdr:row>
          <xdr:rowOff>0</xdr:rowOff>
        </xdr:from>
        <xdr:to>
          <xdr:col>4</xdr:col>
          <xdr:colOff>0</xdr:colOff>
          <xdr:row>20</xdr:row>
          <xdr:rowOff>45720</xdr:rowOff>
        </xdr:to>
        <xdr:sp macro="" textlink="">
          <xdr:nvSpPr>
            <xdr:cNvPr id="7174" name="Group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0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電離箱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213360</xdr:rowOff>
        </xdr:from>
        <xdr:to>
          <xdr:col>3</xdr:col>
          <xdr:colOff>464820</xdr:colOff>
          <xdr:row>14</xdr:row>
          <xdr:rowOff>22860</xdr:rowOff>
        </xdr:to>
        <xdr:sp macro="" textlink="">
          <xdr:nvSpPr>
            <xdr:cNvPr id="7175" name="Option Button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0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＃1102（0.6ml）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358140</xdr:colOff>
          <xdr:row>23</xdr:row>
          <xdr:rowOff>30480</xdr:rowOff>
        </xdr:from>
        <xdr:to>
          <xdr:col>4</xdr:col>
          <xdr:colOff>0</xdr:colOff>
          <xdr:row>26</xdr:row>
          <xdr:rowOff>236220</xdr:rowOff>
        </xdr:to>
        <xdr:sp macro="" textlink="">
          <xdr:nvSpPr>
            <xdr:cNvPr id="7176" name="Group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0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温度・気圧補正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15240</xdr:rowOff>
        </xdr:from>
        <xdr:to>
          <xdr:col>3</xdr:col>
          <xdr:colOff>0</xdr:colOff>
          <xdr:row>24</xdr:row>
          <xdr:rowOff>228600</xdr:rowOff>
        </xdr:to>
        <xdr:sp macro="" textlink="">
          <xdr:nvSpPr>
            <xdr:cNvPr id="7177" name="Option Button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0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15240</xdr:rowOff>
        </xdr:from>
        <xdr:to>
          <xdr:col>3</xdr:col>
          <xdr:colOff>22860</xdr:colOff>
          <xdr:row>25</xdr:row>
          <xdr:rowOff>228600</xdr:rowOff>
        </xdr:to>
        <xdr:sp macro="" textlink="">
          <xdr:nvSpPr>
            <xdr:cNvPr id="7178" name="Option Butto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0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14</xdr:row>
          <xdr:rowOff>7620</xdr:rowOff>
        </xdr:from>
        <xdr:to>
          <xdr:col>3</xdr:col>
          <xdr:colOff>472440</xdr:colOff>
          <xdr:row>15</xdr:row>
          <xdr:rowOff>15240</xdr:rowOff>
        </xdr:to>
        <xdr:sp macro="" textlink="">
          <xdr:nvSpPr>
            <xdr:cNvPr id="7179" name="Option Butto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0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＃1244（0.6ml）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15</xdr:row>
          <xdr:rowOff>0</xdr:rowOff>
        </xdr:from>
        <xdr:to>
          <xdr:col>3</xdr:col>
          <xdr:colOff>457200</xdr:colOff>
          <xdr:row>16</xdr:row>
          <xdr:rowOff>22860</xdr:rowOff>
        </xdr:to>
        <xdr:sp macro="" textlink="">
          <xdr:nvSpPr>
            <xdr:cNvPr id="7180" name="Option Button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0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＃1238（0.6ml）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15</xdr:row>
          <xdr:rowOff>220980</xdr:rowOff>
        </xdr:from>
        <xdr:to>
          <xdr:col>3</xdr:col>
          <xdr:colOff>480060</xdr:colOff>
          <xdr:row>17</xdr:row>
          <xdr:rowOff>0</xdr:rowOff>
        </xdr:to>
        <xdr:sp macro="" textlink="">
          <xdr:nvSpPr>
            <xdr:cNvPr id="7181" name="Option Button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0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＃1200（6ml）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472440</xdr:colOff>
          <xdr:row>18</xdr:row>
          <xdr:rowOff>22860</xdr:rowOff>
        </xdr:to>
        <xdr:sp macro="" textlink="">
          <xdr:nvSpPr>
            <xdr:cNvPr id="7182" name="Option Button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0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＃1202（60ml）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220980</xdr:rowOff>
        </xdr:from>
        <xdr:to>
          <xdr:col>3</xdr:col>
          <xdr:colOff>464820</xdr:colOff>
          <xdr:row>19</xdr:row>
          <xdr:rowOff>22860</xdr:rowOff>
        </xdr:to>
        <xdr:sp macro="" textlink="">
          <xdr:nvSpPr>
            <xdr:cNvPr id="7183" name="Option Button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0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＃1203（60ml）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472440</xdr:colOff>
          <xdr:row>20</xdr:row>
          <xdr:rowOff>22860</xdr:rowOff>
        </xdr:to>
        <xdr:sp macro="" textlink="">
          <xdr:nvSpPr>
            <xdr:cNvPr id="7184" name="Option Button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＃1205（600ml）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29</xdr:row>
          <xdr:rowOff>0</xdr:rowOff>
        </xdr:from>
        <xdr:to>
          <xdr:col>4</xdr:col>
          <xdr:colOff>0</xdr:colOff>
          <xdr:row>33</xdr:row>
          <xdr:rowOff>22860</xdr:rowOff>
        </xdr:to>
        <xdr:sp macro="" textlink="">
          <xdr:nvSpPr>
            <xdr:cNvPr id="7185" name="Group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0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不確かさ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30</xdr:row>
          <xdr:rowOff>7620</xdr:rowOff>
        </xdr:from>
        <xdr:to>
          <xdr:col>2</xdr:col>
          <xdr:colOff>655320</xdr:colOff>
          <xdr:row>31</xdr:row>
          <xdr:rowOff>0</xdr:rowOff>
        </xdr:to>
        <xdr:sp macro="" textlink="">
          <xdr:nvSpPr>
            <xdr:cNvPr id="7186" name="Option Button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0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ANTM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31</xdr:row>
          <xdr:rowOff>7620</xdr:rowOff>
        </xdr:from>
        <xdr:to>
          <xdr:col>2</xdr:col>
          <xdr:colOff>655320</xdr:colOff>
          <xdr:row>32</xdr:row>
          <xdr:rowOff>0</xdr:rowOff>
        </xdr:to>
        <xdr:sp macro="" textlink="">
          <xdr:nvSpPr>
            <xdr:cNvPr id="7187" name="Option Button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JQA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32</xdr:row>
          <xdr:rowOff>7620</xdr:rowOff>
        </xdr:from>
        <xdr:to>
          <xdr:col>2</xdr:col>
          <xdr:colOff>655320</xdr:colOff>
          <xdr:row>33</xdr:row>
          <xdr:rowOff>0</xdr:rowOff>
        </xdr:to>
        <xdr:sp macro="" textlink="">
          <xdr:nvSpPr>
            <xdr:cNvPr id="7188" name="Option Button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365760</xdr:colOff>
          <xdr:row>35</xdr:row>
          <xdr:rowOff>15240</xdr:rowOff>
        </xdr:from>
        <xdr:to>
          <xdr:col>4</xdr:col>
          <xdr:colOff>0</xdr:colOff>
          <xdr:row>38</xdr:row>
          <xdr:rowOff>22860</xdr:rowOff>
        </xdr:to>
        <xdr:sp macro="" textlink="">
          <xdr:nvSpPr>
            <xdr:cNvPr id="7189" name="Group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ケーブル補正（空気）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36</xdr:row>
          <xdr:rowOff>30480</xdr:rowOff>
        </xdr:from>
        <xdr:to>
          <xdr:col>3</xdr:col>
          <xdr:colOff>312420</xdr:colOff>
          <xdr:row>36</xdr:row>
          <xdr:rowOff>259080</xdr:rowOff>
        </xdr:to>
        <xdr:sp macro="" textlink="">
          <xdr:nvSpPr>
            <xdr:cNvPr id="7190" name="Option Button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37</xdr:row>
          <xdr:rowOff>7620</xdr:rowOff>
        </xdr:from>
        <xdr:to>
          <xdr:col>3</xdr:col>
          <xdr:colOff>22860</xdr:colOff>
          <xdr:row>37</xdr:row>
          <xdr:rowOff>243840</xdr:rowOff>
        </xdr:to>
        <xdr:sp macro="" textlink="">
          <xdr:nvSpPr>
            <xdr:cNvPr id="7191" name="Option Button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なし（水）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640080</xdr:colOff>
      <xdr:row>43</xdr:row>
      <xdr:rowOff>0</xdr:rowOff>
    </xdr:from>
    <xdr:to>
      <xdr:col>5</xdr:col>
      <xdr:colOff>556260</xdr:colOff>
      <xdr:row>43</xdr:row>
      <xdr:rowOff>7620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3322320" y="10424160"/>
          <a:ext cx="800100" cy="762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899160</xdr:colOff>
      <xdr:row>38</xdr:row>
      <xdr:rowOff>99060</xdr:rowOff>
    </xdr:from>
    <xdr:to>
      <xdr:col>7</xdr:col>
      <xdr:colOff>906780</xdr:colOff>
      <xdr:row>40</xdr:row>
      <xdr:rowOff>220980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935980" y="9273540"/>
          <a:ext cx="7620" cy="57912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662940</xdr:colOff>
          <xdr:row>5</xdr:row>
          <xdr:rowOff>22860</xdr:rowOff>
        </xdr:from>
        <xdr:to>
          <xdr:col>3</xdr:col>
          <xdr:colOff>106680</xdr:colOff>
          <xdr:row>6</xdr:row>
          <xdr:rowOff>30480</xdr:rowOff>
        </xdr:to>
        <xdr:sp macro="" textlink="">
          <xdr:nvSpPr>
            <xdr:cNvPr id="9217" name="Option 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＃3302229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662940</xdr:colOff>
          <xdr:row>5</xdr:row>
          <xdr:rowOff>220980</xdr:rowOff>
        </xdr:from>
        <xdr:to>
          <xdr:col>3</xdr:col>
          <xdr:colOff>137160</xdr:colOff>
          <xdr:row>7</xdr:row>
          <xdr:rowOff>38100</xdr:rowOff>
        </xdr:to>
        <xdr:sp macro="" textlink="">
          <xdr:nvSpPr>
            <xdr:cNvPr id="9218" name="Option 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＃4502260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10</xdr:row>
          <xdr:rowOff>220980</xdr:rowOff>
        </xdr:from>
        <xdr:to>
          <xdr:col>3</xdr:col>
          <xdr:colOff>449580</xdr:colOff>
          <xdr:row>12</xdr:row>
          <xdr:rowOff>15240</xdr:rowOff>
        </xdr:to>
        <xdr:sp macro="" textlink="">
          <xdr:nvSpPr>
            <xdr:cNvPr id="9219" name="Option 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＃1253（0.2ml）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11</xdr:row>
          <xdr:rowOff>213360</xdr:rowOff>
        </xdr:from>
        <xdr:to>
          <xdr:col>3</xdr:col>
          <xdr:colOff>426720</xdr:colOff>
          <xdr:row>13</xdr:row>
          <xdr:rowOff>0</xdr:rowOff>
        </xdr:to>
        <xdr:sp macro="" textlink="">
          <xdr:nvSpPr>
            <xdr:cNvPr id="9220" name="Option 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＃1289（0.2ml）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396240</xdr:colOff>
          <xdr:row>4</xdr:row>
          <xdr:rowOff>7620</xdr:rowOff>
        </xdr:from>
        <xdr:to>
          <xdr:col>4</xdr:col>
          <xdr:colOff>0</xdr:colOff>
          <xdr:row>7</xdr:row>
          <xdr:rowOff>243840</xdr:rowOff>
        </xdr:to>
        <xdr:sp macro="" textlink="">
          <xdr:nvSpPr>
            <xdr:cNvPr id="9221" name="Group Box 5" descr="電離箱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電位計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12</xdr:row>
          <xdr:rowOff>198120</xdr:rowOff>
        </xdr:from>
        <xdr:to>
          <xdr:col>3</xdr:col>
          <xdr:colOff>480060</xdr:colOff>
          <xdr:row>14</xdr:row>
          <xdr:rowOff>7620</xdr:rowOff>
        </xdr:to>
        <xdr:sp macro="" textlink="">
          <xdr:nvSpPr>
            <xdr:cNvPr id="9223" name="Option 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＃1102（0.6ml）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358140</xdr:colOff>
          <xdr:row>23</xdr:row>
          <xdr:rowOff>7620</xdr:rowOff>
        </xdr:from>
        <xdr:to>
          <xdr:col>4</xdr:col>
          <xdr:colOff>0</xdr:colOff>
          <xdr:row>26</xdr:row>
          <xdr:rowOff>228600</xdr:rowOff>
        </xdr:to>
        <xdr:sp macro="" textlink="">
          <xdr:nvSpPr>
            <xdr:cNvPr id="9224" name="Group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温度・気圧補正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15240</xdr:rowOff>
        </xdr:from>
        <xdr:to>
          <xdr:col>3</xdr:col>
          <xdr:colOff>0</xdr:colOff>
          <xdr:row>24</xdr:row>
          <xdr:rowOff>228600</xdr:rowOff>
        </xdr:to>
        <xdr:sp macro="" textlink="">
          <xdr:nvSpPr>
            <xdr:cNvPr id="9225" name="Option Button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15240</xdr:rowOff>
        </xdr:from>
        <xdr:to>
          <xdr:col>3</xdr:col>
          <xdr:colOff>22860</xdr:colOff>
          <xdr:row>25</xdr:row>
          <xdr:rowOff>228600</xdr:rowOff>
        </xdr:to>
        <xdr:sp macro="" textlink="">
          <xdr:nvSpPr>
            <xdr:cNvPr id="9226" name="Option Butto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14</xdr:row>
          <xdr:rowOff>7620</xdr:rowOff>
        </xdr:from>
        <xdr:to>
          <xdr:col>3</xdr:col>
          <xdr:colOff>472440</xdr:colOff>
          <xdr:row>15</xdr:row>
          <xdr:rowOff>15240</xdr:rowOff>
        </xdr:to>
        <xdr:sp macro="" textlink="">
          <xdr:nvSpPr>
            <xdr:cNvPr id="9227" name="Option Button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＃1244（0.6ml）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15</xdr:row>
          <xdr:rowOff>0</xdr:rowOff>
        </xdr:from>
        <xdr:to>
          <xdr:col>3</xdr:col>
          <xdr:colOff>457200</xdr:colOff>
          <xdr:row>16</xdr:row>
          <xdr:rowOff>22860</xdr:rowOff>
        </xdr:to>
        <xdr:sp macro="" textlink="">
          <xdr:nvSpPr>
            <xdr:cNvPr id="9228" name="Option Button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＃1238（0.6ml）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15</xdr:row>
          <xdr:rowOff>220980</xdr:rowOff>
        </xdr:from>
        <xdr:to>
          <xdr:col>3</xdr:col>
          <xdr:colOff>480060</xdr:colOff>
          <xdr:row>17</xdr:row>
          <xdr:rowOff>0</xdr:rowOff>
        </xdr:to>
        <xdr:sp macro="" textlink="">
          <xdr:nvSpPr>
            <xdr:cNvPr id="9229" name="Option Button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＃1200（6ml）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472440</xdr:colOff>
          <xdr:row>18</xdr:row>
          <xdr:rowOff>22860</xdr:rowOff>
        </xdr:to>
        <xdr:sp macro="" textlink="">
          <xdr:nvSpPr>
            <xdr:cNvPr id="9230" name="Option Button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＃1202（60ml）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220980</xdr:rowOff>
        </xdr:from>
        <xdr:to>
          <xdr:col>3</xdr:col>
          <xdr:colOff>464820</xdr:colOff>
          <xdr:row>19</xdr:row>
          <xdr:rowOff>22860</xdr:rowOff>
        </xdr:to>
        <xdr:sp macro="" textlink="">
          <xdr:nvSpPr>
            <xdr:cNvPr id="9231" name="Option Button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＃1203（60ml）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472440</xdr:colOff>
          <xdr:row>20</xdr:row>
          <xdr:rowOff>22860</xdr:rowOff>
        </xdr:to>
        <xdr:sp macro="" textlink="">
          <xdr:nvSpPr>
            <xdr:cNvPr id="9232" name="Option Button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＃1205（600ml）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30</xdr:row>
          <xdr:rowOff>7620</xdr:rowOff>
        </xdr:from>
        <xdr:to>
          <xdr:col>2</xdr:col>
          <xdr:colOff>655320</xdr:colOff>
          <xdr:row>31</xdr:row>
          <xdr:rowOff>0</xdr:rowOff>
        </xdr:to>
        <xdr:sp macro="" textlink="">
          <xdr:nvSpPr>
            <xdr:cNvPr id="9233" name="Option Button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ANTM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31</xdr:row>
          <xdr:rowOff>7620</xdr:rowOff>
        </xdr:from>
        <xdr:to>
          <xdr:col>2</xdr:col>
          <xdr:colOff>655320</xdr:colOff>
          <xdr:row>32</xdr:row>
          <xdr:rowOff>0</xdr:rowOff>
        </xdr:to>
        <xdr:sp macro="" textlink="">
          <xdr:nvSpPr>
            <xdr:cNvPr id="9234" name="Option Button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JQA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32</xdr:row>
          <xdr:rowOff>7620</xdr:rowOff>
        </xdr:from>
        <xdr:to>
          <xdr:col>2</xdr:col>
          <xdr:colOff>655320</xdr:colOff>
          <xdr:row>33</xdr:row>
          <xdr:rowOff>0</xdr:rowOff>
        </xdr:to>
        <xdr:sp macro="" textlink="">
          <xdr:nvSpPr>
            <xdr:cNvPr id="9235" name="Option Button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373380</xdr:colOff>
          <xdr:row>34</xdr:row>
          <xdr:rowOff>228600</xdr:rowOff>
        </xdr:from>
        <xdr:to>
          <xdr:col>4</xdr:col>
          <xdr:colOff>0</xdr:colOff>
          <xdr:row>38</xdr:row>
          <xdr:rowOff>220980</xdr:rowOff>
        </xdr:to>
        <xdr:sp macro="" textlink="">
          <xdr:nvSpPr>
            <xdr:cNvPr id="9236" name="Group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ケーブル補正（空気）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36</xdr:row>
          <xdr:rowOff>30480</xdr:rowOff>
        </xdr:from>
        <xdr:to>
          <xdr:col>3</xdr:col>
          <xdr:colOff>312420</xdr:colOff>
          <xdr:row>37</xdr:row>
          <xdr:rowOff>30480</xdr:rowOff>
        </xdr:to>
        <xdr:sp macro="" textlink="">
          <xdr:nvSpPr>
            <xdr:cNvPr id="9237" name="Option Button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37</xdr:row>
          <xdr:rowOff>7620</xdr:rowOff>
        </xdr:from>
        <xdr:to>
          <xdr:col>3</xdr:col>
          <xdr:colOff>22860</xdr:colOff>
          <xdr:row>38</xdr:row>
          <xdr:rowOff>15240</xdr:rowOff>
        </xdr:to>
        <xdr:sp macro="" textlink="">
          <xdr:nvSpPr>
            <xdr:cNvPr id="9238" name="Option Button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なし（水）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365760</xdr:colOff>
          <xdr:row>29</xdr:row>
          <xdr:rowOff>7620</xdr:rowOff>
        </xdr:from>
        <xdr:to>
          <xdr:col>4</xdr:col>
          <xdr:colOff>22860</xdr:colOff>
          <xdr:row>33</xdr:row>
          <xdr:rowOff>83820</xdr:rowOff>
        </xdr:to>
        <xdr:sp macro="" textlink="">
          <xdr:nvSpPr>
            <xdr:cNvPr id="9239" name="Group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不確かさ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396240</xdr:colOff>
          <xdr:row>10</xdr:row>
          <xdr:rowOff>22860</xdr:rowOff>
        </xdr:from>
        <xdr:to>
          <xdr:col>3</xdr:col>
          <xdr:colOff>662940</xdr:colOff>
          <xdr:row>20</xdr:row>
          <xdr:rowOff>53340</xdr:rowOff>
        </xdr:to>
        <xdr:sp macro="" textlink="">
          <xdr:nvSpPr>
            <xdr:cNvPr id="9244" name="Group Box 28" descr="電離箱&#10;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電離箱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18" Type="http://schemas.openxmlformats.org/officeDocument/2006/relationships/ctrlProp" Target="../ctrlProps/ctrlProp38.xml"/><Relationship Id="rId26" Type="http://schemas.openxmlformats.org/officeDocument/2006/relationships/ctrlProp" Target="../ctrlProps/ctrlProp46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1.x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trlProp" Target="../ctrlProps/ctrlProp37.xml"/><Relationship Id="rId25" Type="http://schemas.openxmlformats.org/officeDocument/2006/relationships/ctrlProp" Target="../ctrlProps/ctrlProp45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6.xml"/><Relationship Id="rId20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24" Type="http://schemas.openxmlformats.org/officeDocument/2006/relationships/ctrlProp" Target="../ctrlProps/ctrlProp44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23" Type="http://schemas.openxmlformats.org/officeDocument/2006/relationships/ctrlProp" Target="../ctrlProps/ctrlProp43.xml"/><Relationship Id="rId10" Type="http://schemas.openxmlformats.org/officeDocument/2006/relationships/ctrlProp" Target="../ctrlProps/ctrlProp30.xml"/><Relationship Id="rId19" Type="http://schemas.openxmlformats.org/officeDocument/2006/relationships/ctrlProp" Target="../ctrlProps/ctrlProp39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Relationship Id="rId22" Type="http://schemas.openxmlformats.org/officeDocument/2006/relationships/ctrlProp" Target="../ctrlProps/ctrlProp42.xml"/><Relationship Id="rId27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E491-E134-4D06-B63B-1C2FEE3AF746}">
  <dimension ref="B1:AE54"/>
  <sheetViews>
    <sheetView tabSelected="1" view="pageBreakPreview" topLeftCell="B1" zoomScaleNormal="100" zoomScaleSheetLayoutView="100" workbookViewId="0">
      <selection activeCell="G7" sqref="G7:H8"/>
    </sheetView>
  </sheetViews>
  <sheetFormatPr defaultRowHeight="18"/>
  <cols>
    <col min="1" max="1" width="8.796875" style="1"/>
    <col min="2" max="2" width="8.796875" style="1" customWidth="1"/>
    <col min="3" max="3" width="8.796875" style="1"/>
    <col min="4" max="4" width="8.796875" style="1" customWidth="1"/>
    <col min="5" max="5" width="12.5" style="1" customWidth="1"/>
    <col min="6" max="6" width="8.796875" style="1"/>
    <col min="7" max="7" width="10.5" style="1" customWidth="1"/>
    <col min="8" max="8" width="13.59765625" style="1" bestFit="1" customWidth="1"/>
    <col min="9" max="10" width="8.796875" style="1" customWidth="1"/>
    <col min="11" max="11" width="8.796875" style="1" hidden="1" customWidth="1"/>
    <col min="12" max="12" width="9.69921875" style="1" hidden="1" customWidth="1"/>
    <col min="13" max="14" width="8.796875" style="1" hidden="1" customWidth="1"/>
    <col min="15" max="15" width="9.5" style="1" hidden="1" customWidth="1"/>
    <col min="16" max="17" width="8.796875" style="1" hidden="1" customWidth="1"/>
    <col min="18" max="18" width="12.59765625" style="1" hidden="1" customWidth="1"/>
    <col min="19" max="19" width="14" style="1" hidden="1" customWidth="1"/>
    <col min="20" max="20" width="9.5" style="1" hidden="1" customWidth="1"/>
    <col min="21" max="21" width="8.796875" style="1" hidden="1" customWidth="1"/>
    <col min="22" max="22" width="11.3984375" style="1" hidden="1" customWidth="1"/>
    <col min="23" max="23" width="8.796875" style="1" hidden="1" customWidth="1"/>
    <col min="24" max="24" width="9.796875" style="1" hidden="1" customWidth="1"/>
    <col min="25" max="25" width="10.296875" style="1" hidden="1" customWidth="1"/>
    <col min="26" max="31" width="8.796875" style="1" hidden="1" customWidth="1"/>
    <col min="32" max="16384" width="8.796875" style="1"/>
  </cols>
  <sheetData>
    <row r="1" spans="2:25" ht="26.4">
      <c r="B1" s="20" t="s">
        <v>103</v>
      </c>
      <c r="H1" s="21"/>
      <c r="K1" s="77" t="s">
        <v>97</v>
      </c>
      <c r="L1" s="77"/>
      <c r="M1" s="77"/>
      <c r="N1" s="77"/>
      <c r="O1" s="77"/>
      <c r="P1" s="77"/>
      <c r="Q1" s="77"/>
    </row>
    <row r="2" spans="2:25" ht="19.8">
      <c r="B2" s="1" t="s">
        <v>70</v>
      </c>
      <c r="F2" s="4" t="s">
        <v>76</v>
      </c>
      <c r="G2" s="69"/>
      <c r="H2" s="69"/>
      <c r="K2" s="77"/>
      <c r="L2" s="77"/>
      <c r="M2" s="77"/>
      <c r="N2" s="77"/>
      <c r="O2" s="77"/>
      <c r="P2" s="77"/>
      <c r="Q2" s="77"/>
    </row>
    <row r="3" spans="2:25" ht="19.8">
      <c r="B3" s="57" t="s">
        <v>95</v>
      </c>
      <c r="C3" s="57"/>
      <c r="D3" s="57"/>
      <c r="G3" s="70"/>
      <c r="H3" s="70"/>
      <c r="K3" s="1" t="s">
        <v>96</v>
      </c>
    </row>
    <row r="5" spans="2:25">
      <c r="E5" s="1" t="s">
        <v>34</v>
      </c>
      <c r="K5" s="22" t="s">
        <v>38</v>
      </c>
      <c r="L5" s="22"/>
      <c r="Q5" s="23" t="s">
        <v>3</v>
      </c>
      <c r="R5" s="24" t="s">
        <v>1</v>
      </c>
      <c r="S5" s="24"/>
      <c r="U5" s="23" t="s">
        <v>3</v>
      </c>
      <c r="V5" s="25" t="s">
        <v>19</v>
      </c>
    </row>
    <row r="6" spans="2:25">
      <c r="B6" s="1" t="s">
        <v>69</v>
      </c>
      <c r="E6" s="26">
        <f>V6</f>
        <v>1</v>
      </c>
      <c r="K6" s="22" t="s">
        <v>39</v>
      </c>
      <c r="L6" s="22"/>
      <c r="Q6" s="1">
        <v>1</v>
      </c>
      <c r="R6" s="24" t="s">
        <v>8</v>
      </c>
      <c r="S6" s="27">
        <v>1.0013000000000001</v>
      </c>
      <c r="U6" s="28">
        <v>2</v>
      </c>
      <c r="V6" s="29">
        <f>CHOOSE(U6,S6,S7)</f>
        <v>1</v>
      </c>
    </row>
    <row r="7" spans="2:25">
      <c r="B7" s="1" t="s">
        <v>69</v>
      </c>
      <c r="G7" s="71"/>
      <c r="H7" s="71"/>
      <c r="Q7" s="1">
        <v>2</v>
      </c>
      <c r="R7" s="24" t="s">
        <v>9</v>
      </c>
      <c r="S7" s="27">
        <v>1</v>
      </c>
    </row>
    <row r="8" spans="2:25" ht="19.8">
      <c r="F8" s="3" t="s">
        <v>2</v>
      </c>
      <c r="G8" s="72"/>
      <c r="H8" s="72"/>
      <c r="I8" s="4" t="s">
        <v>40</v>
      </c>
    </row>
    <row r="9" spans="2:25">
      <c r="X9" s="1" t="s">
        <v>51</v>
      </c>
    </row>
    <row r="10" spans="2:25">
      <c r="S10" s="1" t="s">
        <v>37</v>
      </c>
      <c r="U10" s="23" t="s">
        <v>3</v>
      </c>
      <c r="V10" s="1" t="s">
        <v>19</v>
      </c>
      <c r="X10" s="1" t="s">
        <v>42</v>
      </c>
    </row>
    <row r="11" spans="2:25">
      <c r="E11" s="1" t="s">
        <v>34</v>
      </c>
      <c r="R11" s="24" t="s">
        <v>0</v>
      </c>
      <c r="S11" s="24" t="s">
        <v>17</v>
      </c>
      <c r="T11" s="1" t="s">
        <v>18</v>
      </c>
      <c r="U11" s="28">
        <v>1</v>
      </c>
      <c r="V11" s="30">
        <f>CHOOSE(U11,S12,S13,S14,S15,S16,S17,S18,S19,S20)</f>
        <v>0.17760000000000001</v>
      </c>
      <c r="X11" s="31">
        <f>X15/Y15</f>
        <v>1.0112551159618008</v>
      </c>
    </row>
    <row r="12" spans="2:25">
      <c r="B12" s="1" t="s">
        <v>69</v>
      </c>
      <c r="C12" s="32"/>
      <c r="D12" s="32"/>
      <c r="E12" s="33">
        <f>V11</f>
        <v>0.17760000000000001</v>
      </c>
      <c r="Q12" s="1">
        <v>1</v>
      </c>
      <c r="R12" s="24" t="s">
        <v>88</v>
      </c>
      <c r="S12" s="34">
        <v>0.17760000000000001</v>
      </c>
    </row>
    <row r="13" spans="2:25">
      <c r="B13" s="1" t="s">
        <v>69</v>
      </c>
      <c r="C13" s="63"/>
      <c r="D13" s="63"/>
      <c r="E13" s="56"/>
      <c r="Q13" s="1">
        <v>2</v>
      </c>
      <c r="R13" s="24" t="s">
        <v>92</v>
      </c>
      <c r="S13" s="34">
        <v>0.17810000000000001</v>
      </c>
    </row>
    <row r="14" spans="2:25">
      <c r="B14" s="1" t="s">
        <v>69</v>
      </c>
      <c r="C14" s="32"/>
      <c r="D14" s="32"/>
      <c r="Q14" s="1">
        <v>3</v>
      </c>
      <c r="R14" s="24" t="s">
        <v>10</v>
      </c>
      <c r="S14" s="34">
        <v>5.5530000000000003E-2</v>
      </c>
      <c r="X14" s="1" t="s">
        <v>17</v>
      </c>
      <c r="Y14" s="1" t="s">
        <v>18</v>
      </c>
    </row>
    <row r="15" spans="2:25">
      <c r="B15" s="1" t="s">
        <v>69</v>
      </c>
      <c r="C15" s="32"/>
      <c r="D15" s="32"/>
      <c r="Q15" s="1">
        <v>4</v>
      </c>
      <c r="R15" s="24" t="s">
        <v>11</v>
      </c>
      <c r="S15" s="34">
        <v>5.237E-2</v>
      </c>
      <c r="X15" s="30">
        <v>2.9649999999999999E-2</v>
      </c>
      <c r="Y15" s="30">
        <v>2.9319999999999999E-2</v>
      </c>
    </row>
    <row r="16" spans="2:25">
      <c r="B16" s="1" t="s">
        <v>69</v>
      </c>
      <c r="C16" s="32"/>
      <c r="D16" s="32"/>
      <c r="E16" s="32" t="s">
        <v>35</v>
      </c>
      <c r="Q16" s="1">
        <v>5</v>
      </c>
      <c r="R16" s="24" t="s">
        <v>14</v>
      </c>
      <c r="S16" s="34">
        <v>5.5419999999999997E-2</v>
      </c>
    </row>
    <row r="17" spans="2:31">
      <c r="B17" s="1" t="s">
        <v>69</v>
      </c>
      <c r="C17" s="35"/>
      <c r="D17" s="35"/>
      <c r="E17" s="35" t="s">
        <v>36</v>
      </c>
      <c r="Q17" s="1">
        <v>6</v>
      </c>
      <c r="R17" s="24" t="s">
        <v>12</v>
      </c>
      <c r="S17" s="58">
        <f>ROUNDDOWN(T17*X11,6)</f>
        <v>4.8739999999999999E-3</v>
      </c>
      <c r="T17" s="36">
        <v>4.8199999999999996E-3</v>
      </c>
    </row>
    <row r="18" spans="2:31">
      <c r="B18" s="1" t="s">
        <v>69</v>
      </c>
      <c r="C18" s="35"/>
      <c r="D18" s="35"/>
      <c r="Q18" s="1">
        <v>7</v>
      </c>
      <c r="R18" s="24" t="s">
        <v>13</v>
      </c>
      <c r="S18" s="58">
        <f>ROUNDDOWN(T18*X11,7)</f>
        <v>4.7629999999999998E-4</v>
      </c>
      <c r="T18" s="36">
        <v>4.7100000000000001E-4</v>
      </c>
    </row>
    <row r="19" spans="2:31">
      <c r="B19" s="1" t="s">
        <v>69</v>
      </c>
      <c r="C19" s="35"/>
      <c r="D19" s="35"/>
      <c r="Q19" s="1">
        <v>8</v>
      </c>
      <c r="R19" s="24" t="s">
        <v>15</v>
      </c>
      <c r="S19" s="34">
        <f>ROUND(T19*X11,7)</f>
        <v>4.793E-4</v>
      </c>
      <c r="T19" s="36">
        <v>4.7399999999999997E-4</v>
      </c>
    </row>
    <row r="20" spans="2:31">
      <c r="B20" s="1" t="s">
        <v>69</v>
      </c>
      <c r="C20" s="35"/>
      <c r="D20" s="35"/>
      <c r="Q20" s="1">
        <v>9</v>
      </c>
      <c r="R20" s="24" t="s">
        <v>16</v>
      </c>
      <c r="S20" s="34">
        <f>ROUNDDOWN(T20*X11,8)</f>
        <v>5.0359999999999999E-5</v>
      </c>
      <c r="T20" s="36">
        <v>4.9799999999999998E-5</v>
      </c>
    </row>
    <row r="23" spans="2:31">
      <c r="G23" s="1" t="s">
        <v>24</v>
      </c>
      <c r="R23" s="24" t="s">
        <v>25</v>
      </c>
      <c r="S23" s="24"/>
      <c r="U23" s="23" t="s">
        <v>3</v>
      </c>
      <c r="V23" s="1" t="s">
        <v>19</v>
      </c>
      <c r="X23" s="1" t="s">
        <v>26</v>
      </c>
    </row>
    <row r="24" spans="2:31" ht="19.8">
      <c r="E24" s="1" t="s">
        <v>34</v>
      </c>
      <c r="G24" s="3" t="s">
        <v>20</v>
      </c>
      <c r="H24" s="2"/>
      <c r="I24" s="4" t="s">
        <v>22</v>
      </c>
      <c r="K24" s="37" t="s">
        <v>26</v>
      </c>
      <c r="L24" s="37"/>
      <c r="M24" s="37"/>
      <c r="N24" s="37"/>
      <c r="Q24" s="1">
        <v>1</v>
      </c>
      <c r="R24" s="24" t="s">
        <v>4</v>
      </c>
      <c r="S24" s="27" t="e">
        <f>ROUNDDOWN((273.2+H24)/(273.2+22)*(1013.3/H26),4)</f>
        <v>#DIV/0!</v>
      </c>
      <c r="U24" s="28">
        <v>2</v>
      </c>
      <c r="V24" s="30">
        <f>CHOOSE(U24,S24,S25)</f>
        <v>1</v>
      </c>
      <c r="X24" s="1" t="s">
        <v>72</v>
      </c>
    </row>
    <row r="25" spans="2:31" ht="19.8">
      <c r="E25" s="33" t="str">
        <f>IF(V24=1,"なし",V24)</f>
        <v>なし</v>
      </c>
      <c r="G25" s="3"/>
      <c r="H25" s="4"/>
      <c r="K25" s="37" t="s">
        <v>73</v>
      </c>
      <c r="L25" s="37"/>
      <c r="M25" s="37"/>
      <c r="N25" s="37"/>
      <c r="Q25" s="1">
        <v>2</v>
      </c>
      <c r="R25" s="24" t="s">
        <v>5</v>
      </c>
      <c r="S25" s="24">
        <v>1</v>
      </c>
      <c r="X25" s="1" t="s">
        <v>27</v>
      </c>
    </row>
    <row r="26" spans="2:31" ht="19.8">
      <c r="G26" s="3" t="s">
        <v>21</v>
      </c>
      <c r="H26" s="6"/>
      <c r="I26" s="4" t="s">
        <v>23</v>
      </c>
      <c r="K26" s="37" t="s">
        <v>27</v>
      </c>
      <c r="L26" s="37"/>
      <c r="M26" s="37"/>
      <c r="N26" s="37"/>
      <c r="X26" s="1" t="s">
        <v>28</v>
      </c>
    </row>
    <row r="27" spans="2:31" ht="19.2">
      <c r="K27" s="37" t="s">
        <v>74</v>
      </c>
      <c r="L27" s="37"/>
      <c r="M27" s="37"/>
      <c r="N27" s="37"/>
      <c r="X27" s="1" t="s">
        <v>75</v>
      </c>
    </row>
    <row r="28" spans="2:31" ht="19.2">
      <c r="K28" s="37" t="s">
        <v>75</v>
      </c>
      <c r="L28" s="37"/>
      <c r="M28" s="37"/>
      <c r="N28" s="37"/>
      <c r="X28" s="1" t="s">
        <v>31</v>
      </c>
    </row>
    <row r="29" spans="2:31">
      <c r="K29" s="37" t="s">
        <v>31</v>
      </c>
      <c r="L29" s="37"/>
      <c r="M29" s="37"/>
      <c r="N29" s="37"/>
    </row>
    <row r="30" spans="2:31">
      <c r="E30" s="1" t="s">
        <v>34</v>
      </c>
      <c r="R30" s="24" t="s">
        <v>32</v>
      </c>
      <c r="S30" s="24" t="s">
        <v>45</v>
      </c>
      <c r="T30" s="24"/>
      <c r="U30" s="23" t="s">
        <v>3</v>
      </c>
      <c r="V30" s="1" t="s">
        <v>19</v>
      </c>
      <c r="Y30" s="24" t="s">
        <v>41</v>
      </c>
      <c r="AC30" s="24" t="s">
        <v>0</v>
      </c>
      <c r="AD30" s="24" t="s">
        <v>89</v>
      </c>
    </row>
    <row r="31" spans="2:31">
      <c r="C31" s="32"/>
      <c r="E31" s="33" t="str">
        <f>IF(V31=1,"なし",V31)</f>
        <v>なし</v>
      </c>
      <c r="K31" s="73" t="s">
        <v>56</v>
      </c>
      <c r="L31" s="73"/>
      <c r="M31" s="73"/>
      <c r="N31" s="73"/>
      <c r="O31" s="73"/>
      <c r="Q31" s="1">
        <v>1</v>
      </c>
      <c r="R31" s="24" t="s">
        <v>30</v>
      </c>
      <c r="S31" s="34">
        <f>ROUNDDOWN(1-(T31/100),4)</f>
        <v>0.98440000000000005</v>
      </c>
      <c r="T31" s="38">
        <f>SQRT(Y32^2+AD31^2)</f>
        <v>1.5556349186104046</v>
      </c>
      <c r="U31" s="28">
        <v>3</v>
      </c>
      <c r="V31" s="30">
        <f>CHOOSE(U31,S31,S32,S33)</f>
        <v>1</v>
      </c>
      <c r="X31" s="24" t="s">
        <v>1</v>
      </c>
      <c r="Y31" s="24" t="s">
        <v>33</v>
      </c>
      <c r="AC31" s="24" t="s">
        <v>88</v>
      </c>
      <c r="AD31" s="24">
        <v>1.1000000000000001</v>
      </c>
      <c r="AE31" s="1" t="s">
        <v>30</v>
      </c>
    </row>
    <row r="32" spans="2:31">
      <c r="C32" s="35"/>
      <c r="K32" s="73"/>
      <c r="L32" s="73"/>
      <c r="M32" s="73"/>
      <c r="N32" s="73"/>
      <c r="O32" s="73"/>
      <c r="Q32" s="1">
        <v>2</v>
      </c>
      <c r="R32" s="24" t="s">
        <v>29</v>
      </c>
      <c r="S32" s="34">
        <f>ROUNDDOWN(1-(T32/100),4)</f>
        <v>0.94879999999999998</v>
      </c>
      <c r="T32" s="38">
        <f>SQRT(Y32^2+AD36^2)</f>
        <v>5.1195702944680814</v>
      </c>
      <c r="X32" s="24" t="s">
        <v>8</v>
      </c>
      <c r="Y32" s="24">
        <v>1.1000000000000001</v>
      </c>
      <c r="Z32" s="1" t="s">
        <v>29</v>
      </c>
      <c r="AC32" s="24" t="s">
        <v>92</v>
      </c>
      <c r="AD32" s="24">
        <v>1.1000000000000001</v>
      </c>
      <c r="AE32" s="1" t="s">
        <v>30</v>
      </c>
    </row>
    <row r="33" spans="2:31">
      <c r="K33" s="74" t="s">
        <v>44</v>
      </c>
      <c r="L33" s="74"/>
      <c r="M33" s="74"/>
      <c r="N33" s="74"/>
      <c r="O33" s="74"/>
      <c r="Q33" s="1">
        <v>3</v>
      </c>
      <c r="R33" s="24" t="s">
        <v>5</v>
      </c>
      <c r="S33" s="24">
        <v>1</v>
      </c>
      <c r="T33" s="24">
        <v>1</v>
      </c>
      <c r="X33" s="24" t="s">
        <v>9</v>
      </c>
      <c r="Y33" s="24">
        <v>1.1000000000000001</v>
      </c>
      <c r="Z33" s="1" t="s">
        <v>29</v>
      </c>
      <c r="AC33" s="24" t="s">
        <v>10</v>
      </c>
      <c r="AD33" s="24">
        <v>1.1000000000000001</v>
      </c>
      <c r="AE33" s="1" t="s">
        <v>30</v>
      </c>
    </row>
    <row r="34" spans="2:31">
      <c r="K34" s="74"/>
      <c r="L34" s="74"/>
      <c r="M34" s="74"/>
      <c r="N34" s="74"/>
      <c r="O34" s="74"/>
      <c r="S34" s="1" t="s">
        <v>45</v>
      </c>
      <c r="Y34" s="40"/>
      <c r="AC34" s="24" t="s">
        <v>11</v>
      </c>
      <c r="AD34" s="24">
        <v>1.1000000000000001</v>
      </c>
      <c r="AE34" s="1" t="s">
        <v>30</v>
      </c>
    </row>
    <row r="35" spans="2:31">
      <c r="Y35" s="40"/>
      <c r="AC35" s="24" t="s">
        <v>14</v>
      </c>
      <c r="AD35" s="24">
        <v>1.1000000000000001</v>
      </c>
      <c r="AE35" s="1" t="s">
        <v>30</v>
      </c>
    </row>
    <row r="36" spans="2:31">
      <c r="E36" s="1" t="s">
        <v>34</v>
      </c>
      <c r="H36" s="46" t="s">
        <v>46</v>
      </c>
      <c r="K36" s="37" t="s">
        <v>51</v>
      </c>
      <c r="L36" s="37"/>
      <c r="M36" s="37"/>
      <c r="N36" s="37"/>
      <c r="O36" s="37"/>
      <c r="R36" s="24" t="s">
        <v>50</v>
      </c>
      <c r="S36" s="24"/>
      <c r="U36" s="23" t="s">
        <v>3</v>
      </c>
      <c r="V36" s="1" t="s">
        <v>19</v>
      </c>
      <c r="X36" s="1" t="s">
        <v>51</v>
      </c>
      <c r="AC36" s="24" t="s">
        <v>12</v>
      </c>
      <c r="AD36" s="24">
        <v>5</v>
      </c>
      <c r="AE36" s="1" t="s">
        <v>29</v>
      </c>
    </row>
    <row r="37" spans="2:31" ht="26.4" customHeight="1">
      <c r="E37" s="33" t="str">
        <f>IF(V37=1,"なし",V37)</f>
        <v>なし</v>
      </c>
      <c r="H37" s="75" t="e">
        <f>ROUNDDOWN(V6*V11*V24*G7*V31*V37*3.6,(3)-INT(LOG(V6*V11*V24*G7*V31*V37*3.6)))</f>
        <v>#NUM!</v>
      </c>
      <c r="I37" s="75"/>
      <c r="K37" s="37" t="s">
        <v>52</v>
      </c>
      <c r="L37" s="41">
        <v>2.666E-2</v>
      </c>
      <c r="M37" s="37"/>
      <c r="N37" s="37"/>
      <c r="O37" s="37"/>
      <c r="Q37" s="1">
        <v>1</v>
      </c>
      <c r="R37" s="24" t="s">
        <v>4</v>
      </c>
      <c r="S37" s="42">
        <v>0.89910000000000001</v>
      </c>
      <c r="U37" s="28">
        <v>2</v>
      </c>
      <c r="V37" s="30">
        <f>CHOOSE(U37,S37,S38)</f>
        <v>1</v>
      </c>
      <c r="X37" s="1" t="s">
        <v>52</v>
      </c>
      <c r="Y37" s="43">
        <v>2.666E-2</v>
      </c>
      <c r="AC37" s="24" t="s">
        <v>13</v>
      </c>
      <c r="AD37" s="24">
        <v>5</v>
      </c>
      <c r="AE37" s="1" t="s">
        <v>29</v>
      </c>
    </row>
    <row r="38" spans="2:31" ht="26.4" customHeight="1">
      <c r="G38" s="5" t="s">
        <v>7</v>
      </c>
      <c r="H38" s="76"/>
      <c r="I38" s="76"/>
      <c r="J38" s="4" t="s">
        <v>6</v>
      </c>
      <c r="K38" s="37" t="s">
        <v>17</v>
      </c>
      <c r="L38" s="41">
        <v>2.9649999999999999E-2</v>
      </c>
      <c r="M38" s="37"/>
      <c r="N38" s="37"/>
      <c r="O38" s="37"/>
      <c r="Q38" s="1">
        <v>2</v>
      </c>
      <c r="R38" s="24" t="s">
        <v>5</v>
      </c>
      <c r="S38" s="24">
        <v>1</v>
      </c>
      <c r="X38" s="1" t="s">
        <v>17</v>
      </c>
      <c r="Y38" s="43">
        <v>2.9649999999999999E-2</v>
      </c>
      <c r="AC38" s="24" t="s">
        <v>15</v>
      </c>
      <c r="AD38" s="24">
        <v>5</v>
      </c>
      <c r="AE38" s="1" t="s">
        <v>29</v>
      </c>
    </row>
    <row r="39" spans="2:31">
      <c r="K39" s="37" t="s">
        <v>53</v>
      </c>
      <c r="L39" s="37"/>
      <c r="M39" s="37"/>
      <c r="N39" s="37"/>
      <c r="O39" s="37"/>
      <c r="X39" s="1" t="s">
        <v>53</v>
      </c>
      <c r="AC39" s="24" t="s">
        <v>16</v>
      </c>
      <c r="AD39" s="24">
        <v>5</v>
      </c>
      <c r="AE39" s="1" t="s">
        <v>29</v>
      </c>
    </row>
    <row r="40" spans="2:31">
      <c r="K40" s="44" t="s">
        <v>54</v>
      </c>
      <c r="L40" s="37"/>
      <c r="M40" s="37"/>
      <c r="N40" s="37"/>
      <c r="O40" s="37"/>
      <c r="X40" s="45" t="s">
        <v>54</v>
      </c>
    </row>
    <row r="41" spans="2:31" ht="18" customHeight="1">
      <c r="K41" s="45"/>
      <c r="X41" s="45"/>
    </row>
    <row r="42" spans="2:31" ht="18" customHeight="1">
      <c r="H42" s="46" t="s">
        <v>86</v>
      </c>
      <c r="P42" s="39"/>
      <c r="X42" s="45"/>
    </row>
    <row r="43" spans="2:31" ht="26.4" customHeight="1">
      <c r="C43" s="64"/>
      <c r="D43" s="64"/>
      <c r="H43" s="66" t="e">
        <f>ROUNDUP(C43/H37,1)</f>
        <v>#NUM!</v>
      </c>
      <c r="I43" s="66"/>
      <c r="K43" s="46" t="s">
        <v>43</v>
      </c>
      <c r="P43" s="39"/>
      <c r="X43" s="45"/>
    </row>
    <row r="44" spans="2:31" ht="26.4" customHeight="1">
      <c r="B44" s="4" t="s">
        <v>78</v>
      </c>
      <c r="C44" s="65"/>
      <c r="D44" s="65"/>
      <c r="E44" s="4" t="s">
        <v>47</v>
      </c>
      <c r="F44" s="54"/>
      <c r="G44" s="5" t="s">
        <v>79</v>
      </c>
      <c r="H44" s="67"/>
      <c r="I44" s="67"/>
      <c r="J44" s="4" t="s">
        <v>80</v>
      </c>
      <c r="K44" s="68" t="s">
        <v>58</v>
      </c>
      <c r="L44" s="68"/>
      <c r="M44" s="68"/>
      <c r="N44" s="68"/>
      <c r="O44" s="68"/>
      <c r="P44" s="39"/>
      <c r="X44" s="45"/>
    </row>
    <row r="45" spans="2:31" ht="19.8">
      <c r="G45" s="4" t="s">
        <v>81</v>
      </c>
      <c r="K45" s="68"/>
      <c r="L45" s="68"/>
      <c r="M45" s="68"/>
      <c r="N45" s="68"/>
      <c r="O45" s="68"/>
      <c r="X45" s="45"/>
    </row>
    <row r="46" spans="2:31" hidden="1">
      <c r="G46" s="48" t="s">
        <v>55</v>
      </c>
      <c r="H46" s="49">
        <f>V6*V11*V24*V31*G7*V37*3.6</f>
        <v>0</v>
      </c>
      <c r="K46" s="68"/>
      <c r="L46" s="68"/>
      <c r="M46" s="68"/>
      <c r="N46" s="68"/>
      <c r="O46" s="68"/>
      <c r="X46" s="45"/>
    </row>
    <row r="47" spans="2:31">
      <c r="G47" s="47"/>
      <c r="H47" s="47"/>
      <c r="X47" s="45"/>
    </row>
    <row r="48" spans="2:31">
      <c r="G48" s="47"/>
      <c r="H48" s="47"/>
      <c r="X48" s="45"/>
    </row>
    <row r="51" spans="4:19">
      <c r="R51" s="50"/>
      <c r="S51" s="51"/>
    </row>
    <row r="52" spans="4:19">
      <c r="D52" s="25"/>
    </row>
    <row r="53" spans="4:19" ht="18" customHeight="1">
      <c r="F53" s="52"/>
      <c r="G53" s="52"/>
      <c r="H53" s="52"/>
      <c r="I53" s="52"/>
      <c r="J53" s="52"/>
      <c r="K53" s="39"/>
      <c r="L53" s="39"/>
      <c r="M53" s="39"/>
      <c r="N53" s="39"/>
      <c r="O53" s="39"/>
      <c r="P53" s="39"/>
    </row>
    <row r="54" spans="4:19">
      <c r="E54" s="52"/>
      <c r="F54" s="52"/>
      <c r="G54" s="52"/>
      <c r="H54" s="52"/>
      <c r="I54" s="52"/>
      <c r="J54" s="52"/>
      <c r="K54" s="39"/>
      <c r="L54" s="39"/>
      <c r="M54" s="39"/>
      <c r="N54" s="39"/>
      <c r="O54" s="39"/>
      <c r="P54" s="39"/>
    </row>
  </sheetData>
  <sheetProtection algorithmName="SHA-512" hashValue="DgEYM9/rgk9v6cHgkjv1BGtvDy55LkxPN+dWnei4rYanBoca9PMqkoKQHhcvNvdxYQb9O2rn7hQB8eg4KA1LSA==" saltValue="cgIMht8jRrOjtO2gf7HdmQ==" spinCount="100000" sheet="1" objects="1" scenarios="1" selectLockedCells="1"/>
  <mergeCells count="10">
    <mergeCell ref="C43:D44"/>
    <mergeCell ref="H43:I44"/>
    <mergeCell ref="K44:O46"/>
    <mergeCell ref="G2:H2"/>
    <mergeCell ref="G3:H3"/>
    <mergeCell ref="G7:H8"/>
    <mergeCell ref="K31:O32"/>
    <mergeCell ref="K33:O34"/>
    <mergeCell ref="H37:I38"/>
    <mergeCell ref="K1:Q2"/>
  </mergeCells>
  <phoneticPr fontId="1"/>
  <pageMargins left="0.82677165354330717" right="0.23622047244094491" top="0.74803149606299213" bottom="0.55118110236220474" header="0.31496062992125984" footer="0.31496062992125984"/>
  <pageSetup paperSize="9" scale="57" orientation="portrait" r:id="rId1"/>
  <headerFooter>
    <oddHeader xml:space="preserve">&amp;L
&amp;R品証管理　ファイルコピー禁止
</oddHeader>
  </headerFooter>
  <colBreaks count="2" manualBreakCount="2">
    <brk id="10" max="45" man="1"/>
    <brk id="17" max="4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Option Button 1">
              <controlPr defaultSize="0" autoFill="0" autoLine="0" autoPict="0">
                <anchor moveWithCells="1">
                  <from>
                    <xdr:col>1</xdr:col>
                    <xdr:colOff>662940</xdr:colOff>
                    <xdr:row>5</xdr:row>
                    <xdr:rowOff>22860</xdr:rowOff>
                  </from>
                  <to>
                    <xdr:col>3</xdr:col>
                    <xdr:colOff>106680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Option Button 2">
              <controlPr defaultSize="0" autoFill="0" autoLine="0" autoPict="0">
                <anchor moveWithCells="1">
                  <from>
                    <xdr:col>1</xdr:col>
                    <xdr:colOff>662940</xdr:colOff>
                    <xdr:row>5</xdr:row>
                    <xdr:rowOff>220980</xdr:rowOff>
                  </from>
                  <to>
                    <xdr:col>3</xdr:col>
                    <xdr:colOff>137160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Option Button 3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220980</xdr:rowOff>
                  </from>
                  <to>
                    <xdr:col>3</xdr:col>
                    <xdr:colOff>441960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Option Button 4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22860</xdr:rowOff>
                  </from>
                  <to>
                    <xdr:col>3</xdr:col>
                    <xdr:colOff>449580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Group Box 5">
              <controlPr defaultSize="0" autoFill="0" autoPict="0" altText="電離箱">
                <anchor moveWithCells="1">
                  <from>
                    <xdr:col>1</xdr:col>
                    <xdr:colOff>350520</xdr:colOff>
                    <xdr:row>4</xdr:row>
                    <xdr:rowOff>7620</xdr:rowOff>
                  </from>
                  <to>
                    <xdr:col>4</xdr:col>
                    <xdr:colOff>0</xdr:colOff>
                    <xdr:row>7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Group Box 6">
              <controlPr defaultSize="0" autoFill="0" autoPict="0">
                <anchor moveWithCells="1">
                  <from>
                    <xdr:col>1</xdr:col>
                    <xdr:colOff>358140</xdr:colOff>
                    <xdr:row>10</xdr:row>
                    <xdr:rowOff>0</xdr:rowOff>
                  </from>
                  <to>
                    <xdr:col>4</xdr:col>
                    <xdr:colOff>0</xdr:colOff>
                    <xdr:row>20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Option Button 7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213360</xdr:rowOff>
                  </from>
                  <to>
                    <xdr:col>3</xdr:col>
                    <xdr:colOff>464820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Group Box 8">
              <controlPr defaultSize="0" autoFill="0" autoPict="0">
                <anchor moveWithCells="1">
                  <from>
                    <xdr:col>1</xdr:col>
                    <xdr:colOff>358140</xdr:colOff>
                    <xdr:row>23</xdr:row>
                    <xdr:rowOff>30480</xdr:rowOff>
                  </from>
                  <to>
                    <xdr:col>4</xdr:col>
                    <xdr:colOff>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Option Button 9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15240</xdr:rowOff>
                  </from>
                  <to>
                    <xdr:col>3</xdr:col>
                    <xdr:colOff>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Option Button 10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15240</xdr:rowOff>
                  </from>
                  <to>
                    <xdr:col>3</xdr:col>
                    <xdr:colOff>22860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Option Button 11">
              <controlPr defaultSize="0" autoFill="0" autoLine="0" autoPict="0">
                <anchor moveWithCells="1">
                  <from>
                    <xdr:col>2</xdr:col>
                    <xdr:colOff>7620</xdr:colOff>
                    <xdr:row>14</xdr:row>
                    <xdr:rowOff>7620</xdr:rowOff>
                  </from>
                  <to>
                    <xdr:col>3</xdr:col>
                    <xdr:colOff>472440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Option Button 12">
              <controlPr defaultSize="0" autoFill="0" autoLine="0" autoPict="0">
                <anchor moveWithCells="1">
                  <from>
                    <xdr:col>2</xdr:col>
                    <xdr:colOff>7620</xdr:colOff>
                    <xdr:row>15</xdr:row>
                    <xdr:rowOff>0</xdr:rowOff>
                  </from>
                  <to>
                    <xdr:col>3</xdr:col>
                    <xdr:colOff>457200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Option Button 13">
              <controlPr defaultSize="0" autoFill="0" autoLine="0" autoPict="0">
                <anchor moveWithCells="1">
                  <from>
                    <xdr:col>2</xdr:col>
                    <xdr:colOff>7620</xdr:colOff>
                    <xdr:row>15</xdr:row>
                    <xdr:rowOff>220980</xdr:rowOff>
                  </from>
                  <to>
                    <xdr:col>3</xdr:col>
                    <xdr:colOff>480060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Option Button 14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3</xdr:col>
                    <xdr:colOff>472440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Option Button 15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220980</xdr:rowOff>
                  </from>
                  <to>
                    <xdr:col>3</xdr:col>
                    <xdr:colOff>464820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Option Button 16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3</xdr:col>
                    <xdr:colOff>472440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Group Box 17">
              <controlPr defaultSize="0" autoFill="0" autoPict="0">
                <anchor moveWithCells="1">
                  <from>
                    <xdr:col>1</xdr:col>
                    <xdr:colOff>381000</xdr:colOff>
                    <xdr:row>29</xdr:row>
                    <xdr:rowOff>0</xdr:rowOff>
                  </from>
                  <to>
                    <xdr:col>4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Option Button 18">
              <controlPr defaultSize="0" autoFill="0" autoLine="0" autoPict="0">
                <anchor moveWithCells="1">
                  <from>
                    <xdr:col>2</xdr:col>
                    <xdr:colOff>7620</xdr:colOff>
                    <xdr:row>30</xdr:row>
                    <xdr:rowOff>7620</xdr:rowOff>
                  </from>
                  <to>
                    <xdr:col>2</xdr:col>
                    <xdr:colOff>655320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Option Button 19">
              <controlPr defaultSize="0" autoFill="0" autoLine="0" autoPict="0">
                <anchor moveWithCells="1">
                  <from>
                    <xdr:col>2</xdr:col>
                    <xdr:colOff>7620</xdr:colOff>
                    <xdr:row>31</xdr:row>
                    <xdr:rowOff>7620</xdr:rowOff>
                  </from>
                  <to>
                    <xdr:col>2</xdr:col>
                    <xdr:colOff>655320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Option Button 20">
              <controlPr defaultSize="0" autoFill="0" autoLine="0" autoPict="0">
                <anchor moveWithCells="1">
                  <from>
                    <xdr:col>2</xdr:col>
                    <xdr:colOff>7620</xdr:colOff>
                    <xdr:row>32</xdr:row>
                    <xdr:rowOff>7620</xdr:rowOff>
                  </from>
                  <to>
                    <xdr:col>2</xdr:col>
                    <xdr:colOff>655320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Group Box 21">
              <controlPr defaultSize="0" autoFill="0" autoPict="0">
                <anchor moveWithCells="1">
                  <from>
                    <xdr:col>1</xdr:col>
                    <xdr:colOff>365760</xdr:colOff>
                    <xdr:row>35</xdr:row>
                    <xdr:rowOff>15240</xdr:rowOff>
                  </from>
                  <to>
                    <xdr:col>4</xdr:col>
                    <xdr:colOff>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Option Button 22">
              <controlPr defaultSize="0" autoFill="0" autoLine="0" autoPict="0">
                <anchor moveWithCells="1">
                  <from>
                    <xdr:col>2</xdr:col>
                    <xdr:colOff>15240</xdr:colOff>
                    <xdr:row>36</xdr:row>
                    <xdr:rowOff>30480</xdr:rowOff>
                  </from>
                  <to>
                    <xdr:col>3</xdr:col>
                    <xdr:colOff>312420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Option Button 23">
              <controlPr defaultSize="0" autoFill="0" autoLine="0" autoPict="0">
                <anchor moveWithCells="1">
                  <from>
                    <xdr:col>2</xdr:col>
                    <xdr:colOff>15240</xdr:colOff>
                    <xdr:row>37</xdr:row>
                    <xdr:rowOff>7620</xdr:rowOff>
                  </from>
                  <to>
                    <xdr:col>3</xdr:col>
                    <xdr:colOff>22860</xdr:colOff>
                    <xdr:row>37</xdr:row>
                    <xdr:rowOff>243840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5B86-A593-4656-BB53-7BE84D015DD0}">
  <dimension ref="B1:AD54"/>
  <sheetViews>
    <sheetView view="pageBreakPreview" topLeftCell="A25" zoomScaleNormal="100" zoomScaleSheetLayoutView="100" workbookViewId="0">
      <selection activeCell="G7" sqref="G7:H8"/>
    </sheetView>
  </sheetViews>
  <sheetFormatPr defaultRowHeight="18"/>
  <cols>
    <col min="1" max="3" width="8.796875" style="1"/>
    <col min="4" max="4" width="8.796875" style="1" customWidth="1"/>
    <col min="5" max="5" width="12.59765625" style="1" customWidth="1"/>
    <col min="6" max="7" width="8.796875" style="1"/>
    <col min="8" max="8" width="13.59765625" style="1" bestFit="1" customWidth="1"/>
    <col min="9" max="9" width="8.796875" style="1" customWidth="1"/>
    <col min="10" max="10" width="8.796875" style="1" hidden="1" customWidth="1"/>
    <col min="11" max="11" width="9.59765625" style="1" hidden="1" customWidth="1"/>
    <col min="12" max="16" width="8.796875" style="1" hidden="1" customWidth="1"/>
    <col min="17" max="17" width="12.59765625" style="1" hidden="1" customWidth="1"/>
    <col min="18" max="18" width="14" style="1" hidden="1" customWidth="1"/>
    <col min="19" max="19" width="9.5" style="1" hidden="1" customWidth="1"/>
    <col min="20" max="20" width="8.796875" style="1" hidden="1" customWidth="1"/>
    <col min="21" max="21" width="11.3984375" style="1" hidden="1" customWidth="1"/>
    <col min="22" max="22" width="8.796875" style="1" hidden="1" customWidth="1"/>
    <col min="23" max="23" width="9.796875" style="1" hidden="1" customWidth="1"/>
    <col min="24" max="24" width="10.296875" style="1" hidden="1" customWidth="1"/>
    <col min="25" max="30" width="8.796875" style="1" hidden="1" customWidth="1"/>
    <col min="31" max="16384" width="8.796875" style="1"/>
  </cols>
  <sheetData>
    <row r="1" spans="2:24" ht="26.4">
      <c r="B1" s="20" t="s">
        <v>104</v>
      </c>
      <c r="F1" s="21"/>
      <c r="J1" s="77" t="s">
        <v>97</v>
      </c>
      <c r="K1" s="77"/>
      <c r="L1" s="77"/>
      <c r="M1" s="77"/>
      <c r="N1" s="77"/>
      <c r="O1" s="77"/>
      <c r="P1" s="77"/>
    </row>
    <row r="2" spans="2:24" ht="19.8">
      <c r="B2" s="1" t="s">
        <v>70</v>
      </c>
      <c r="F2" s="53" t="s">
        <v>77</v>
      </c>
      <c r="G2" s="69"/>
      <c r="H2" s="69"/>
      <c r="J2" s="77"/>
      <c r="K2" s="77"/>
      <c r="L2" s="77"/>
      <c r="M2" s="77"/>
      <c r="N2" s="77"/>
      <c r="O2" s="77"/>
      <c r="P2" s="77"/>
    </row>
    <row r="3" spans="2:24">
      <c r="B3" s="57" t="s">
        <v>95</v>
      </c>
      <c r="C3" s="57"/>
      <c r="D3" s="57"/>
      <c r="F3" s="21"/>
      <c r="J3" s="1" t="s">
        <v>96</v>
      </c>
    </row>
    <row r="5" spans="2:24">
      <c r="E5" s="1" t="s">
        <v>34</v>
      </c>
      <c r="P5" s="23" t="s">
        <v>3</v>
      </c>
      <c r="Q5" s="24" t="s">
        <v>1</v>
      </c>
      <c r="R5" s="24"/>
      <c r="T5" s="23" t="s">
        <v>3</v>
      </c>
      <c r="U5" s="25" t="s">
        <v>19</v>
      </c>
    </row>
    <row r="6" spans="2:24">
      <c r="B6" s="1" t="s">
        <v>69</v>
      </c>
      <c r="E6" s="26">
        <f>U6</f>
        <v>0.99970000000000003</v>
      </c>
      <c r="P6" s="1">
        <v>1</v>
      </c>
      <c r="Q6" s="24" t="s">
        <v>8</v>
      </c>
      <c r="R6" s="27">
        <v>0.99960000000000004</v>
      </c>
      <c r="T6" s="28">
        <v>2</v>
      </c>
      <c r="U6" s="29">
        <f>CHOOSE(T6,R6,R7)</f>
        <v>0.99970000000000003</v>
      </c>
    </row>
    <row r="7" spans="2:24">
      <c r="B7" s="1" t="s">
        <v>69</v>
      </c>
      <c r="G7" s="71"/>
      <c r="H7" s="71"/>
      <c r="P7" s="1">
        <v>2</v>
      </c>
      <c r="Q7" s="24" t="s">
        <v>9</v>
      </c>
      <c r="R7" s="27">
        <v>0.99970000000000003</v>
      </c>
    </row>
    <row r="8" spans="2:24" ht="19.8">
      <c r="F8" s="3" t="s">
        <v>2</v>
      </c>
      <c r="G8" s="72"/>
      <c r="H8" s="72"/>
      <c r="I8" s="1" t="s">
        <v>48</v>
      </c>
    </row>
    <row r="9" spans="2:24">
      <c r="W9" s="1" t="s">
        <v>51</v>
      </c>
    </row>
    <row r="10" spans="2:24">
      <c r="R10" s="1" t="s">
        <v>37</v>
      </c>
      <c r="T10" s="23" t="s">
        <v>3</v>
      </c>
      <c r="U10" s="1" t="s">
        <v>19</v>
      </c>
      <c r="W10" s="1" t="s">
        <v>42</v>
      </c>
    </row>
    <row r="11" spans="2:24">
      <c r="E11" s="1" t="s">
        <v>34</v>
      </c>
      <c r="L11" s="60"/>
      <c r="Q11" s="24" t="s">
        <v>0</v>
      </c>
      <c r="R11" s="24" t="s">
        <v>17</v>
      </c>
      <c r="S11" s="1" t="s">
        <v>18</v>
      </c>
      <c r="T11" s="28">
        <v>1</v>
      </c>
      <c r="U11" s="30">
        <f>CHOOSE(T11,R12,R13,R14,R15,R16,R17,R18,R19,R20)</f>
        <v>0.17760000000000001</v>
      </c>
      <c r="W11" s="31">
        <f>W15/X15</f>
        <v>1.0112551159618008</v>
      </c>
    </row>
    <row r="12" spans="2:24">
      <c r="B12" s="1" t="s">
        <v>69</v>
      </c>
      <c r="C12" s="32"/>
      <c r="D12" s="32"/>
      <c r="E12" s="33">
        <f>U11</f>
        <v>0.17760000000000001</v>
      </c>
      <c r="P12" s="1">
        <v>1</v>
      </c>
      <c r="Q12" s="24" t="s">
        <v>88</v>
      </c>
      <c r="R12" s="34">
        <v>0.17760000000000001</v>
      </c>
    </row>
    <row r="13" spans="2:24">
      <c r="B13" s="1" t="s">
        <v>69</v>
      </c>
      <c r="C13" s="32"/>
      <c r="D13" s="32"/>
      <c r="E13" s="56"/>
      <c r="P13" s="1">
        <v>2</v>
      </c>
      <c r="Q13" s="24" t="s">
        <v>92</v>
      </c>
      <c r="R13" s="34">
        <v>0.17810000000000001</v>
      </c>
    </row>
    <row r="14" spans="2:24">
      <c r="B14" s="1" t="s">
        <v>69</v>
      </c>
      <c r="C14" s="32"/>
      <c r="D14" s="32"/>
      <c r="P14" s="1">
        <v>3</v>
      </c>
      <c r="Q14" s="24" t="s">
        <v>10</v>
      </c>
      <c r="R14" s="34">
        <v>5.5530000000000003E-2</v>
      </c>
      <c r="W14" s="1" t="s">
        <v>17</v>
      </c>
      <c r="X14" s="1" t="s">
        <v>18</v>
      </c>
    </row>
    <row r="15" spans="2:24">
      <c r="B15" s="1" t="s">
        <v>69</v>
      </c>
      <c r="C15" s="32"/>
      <c r="D15" s="32"/>
      <c r="P15" s="1">
        <v>4</v>
      </c>
      <c r="Q15" s="24" t="s">
        <v>11</v>
      </c>
      <c r="R15" s="34">
        <v>5.237E-2</v>
      </c>
      <c r="W15" s="30">
        <v>2.9649999999999999E-2</v>
      </c>
      <c r="X15" s="30">
        <v>2.9319999999999999E-2</v>
      </c>
    </row>
    <row r="16" spans="2:24">
      <c r="B16" s="1" t="s">
        <v>69</v>
      </c>
      <c r="C16" s="32"/>
      <c r="D16" s="32"/>
      <c r="E16" s="32" t="s">
        <v>35</v>
      </c>
      <c r="P16" s="1">
        <v>5</v>
      </c>
      <c r="Q16" s="24" t="s">
        <v>14</v>
      </c>
      <c r="R16" s="34">
        <v>5.5419999999999997E-2</v>
      </c>
    </row>
    <row r="17" spans="2:30">
      <c r="B17" s="1" t="s">
        <v>69</v>
      </c>
      <c r="C17" s="35"/>
      <c r="D17" s="35"/>
      <c r="E17" s="35" t="s">
        <v>36</v>
      </c>
      <c r="P17" s="1">
        <v>6</v>
      </c>
      <c r="Q17" s="24" t="s">
        <v>12</v>
      </c>
      <c r="R17" s="34">
        <f>ROUNDDOWN(S17*W11,6)</f>
        <v>4.8739999999999999E-3</v>
      </c>
      <c r="S17" s="36">
        <v>4.8199999999999996E-3</v>
      </c>
    </row>
    <row r="18" spans="2:30">
      <c r="B18" s="1" t="s">
        <v>69</v>
      </c>
      <c r="C18" s="35"/>
      <c r="D18" s="35"/>
      <c r="P18" s="1">
        <v>7</v>
      </c>
      <c r="Q18" s="24" t="s">
        <v>13</v>
      </c>
      <c r="R18" s="34">
        <f>ROUNDDOWN(S18*W11,7)</f>
        <v>4.7629999999999998E-4</v>
      </c>
      <c r="S18" s="36">
        <v>4.7100000000000001E-4</v>
      </c>
    </row>
    <row r="19" spans="2:30">
      <c r="B19" s="1" t="s">
        <v>69</v>
      </c>
      <c r="C19" s="35"/>
      <c r="D19" s="35"/>
      <c r="P19" s="1">
        <v>8</v>
      </c>
      <c r="Q19" s="24" t="s">
        <v>15</v>
      </c>
      <c r="R19" s="34">
        <f>S19*W11</f>
        <v>4.7933492496589358E-4</v>
      </c>
      <c r="S19" s="36">
        <v>4.7399999999999997E-4</v>
      </c>
    </row>
    <row r="20" spans="2:30">
      <c r="B20" s="1" t="s">
        <v>69</v>
      </c>
      <c r="C20" s="35"/>
      <c r="D20" s="35"/>
      <c r="P20" s="1">
        <v>9</v>
      </c>
      <c r="Q20" s="24" t="s">
        <v>16</v>
      </c>
      <c r="R20" s="34">
        <f>S20*W11</f>
        <v>5.0360504774897681E-5</v>
      </c>
      <c r="S20" s="36">
        <v>4.9799999999999998E-5</v>
      </c>
    </row>
    <row r="23" spans="2:30">
      <c r="G23" s="1" t="s">
        <v>24</v>
      </c>
      <c r="Q23" s="24" t="s">
        <v>25</v>
      </c>
      <c r="R23" s="24"/>
      <c r="T23" s="23" t="s">
        <v>3</v>
      </c>
      <c r="U23" s="1" t="s">
        <v>19</v>
      </c>
      <c r="W23" s="1" t="s">
        <v>26</v>
      </c>
    </row>
    <row r="24" spans="2:30" ht="19.8">
      <c r="E24" s="1" t="s">
        <v>34</v>
      </c>
      <c r="G24" s="3" t="s">
        <v>20</v>
      </c>
      <c r="H24" s="2"/>
      <c r="I24" s="1" t="s">
        <v>22</v>
      </c>
      <c r="J24" s="37" t="s">
        <v>26</v>
      </c>
      <c r="K24" s="37"/>
      <c r="L24" s="37"/>
      <c r="M24" s="37"/>
      <c r="P24" s="1">
        <v>1</v>
      </c>
      <c r="Q24" s="24" t="s">
        <v>4</v>
      </c>
      <c r="R24" s="27" t="e">
        <f>ROUNDDOWN((273.2+H24)/(273.2+22)*(1013.3/H26),4)</f>
        <v>#DIV/0!</v>
      </c>
      <c r="T24" s="28">
        <v>2</v>
      </c>
      <c r="U24" s="30">
        <f>CHOOSE(T24,R24,R25)</f>
        <v>1</v>
      </c>
      <c r="W24" s="1" t="s">
        <v>72</v>
      </c>
    </row>
    <row r="25" spans="2:30" ht="19.8">
      <c r="E25" s="33" t="str">
        <f>IF(U24=1,"なし",U24)</f>
        <v>なし</v>
      </c>
      <c r="G25" s="3"/>
      <c r="H25" s="4"/>
      <c r="J25" s="37" t="s">
        <v>73</v>
      </c>
      <c r="K25" s="37"/>
      <c r="L25" s="37"/>
      <c r="M25" s="37"/>
      <c r="P25" s="1">
        <v>2</v>
      </c>
      <c r="Q25" s="24" t="s">
        <v>5</v>
      </c>
      <c r="R25" s="24">
        <v>1</v>
      </c>
      <c r="W25" s="1" t="s">
        <v>27</v>
      </c>
    </row>
    <row r="26" spans="2:30" ht="19.8">
      <c r="G26" s="3" t="s">
        <v>21</v>
      </c>
      <c r="H26" s="6"/>
      <c r="I26" s="1" t="s">
        <v>23</v>
      </c>
      <c r="J26" s="37" t="s">
        <v>27</v>
      </c>
      <c r="K26" s="37"/>
      <c r="L26" s="37"/>
      <c r="M26" s="37"/>
      <c r="W26" s="1" t="s">
        <v>28</v>
      </c>
    </row>
    <row r="27" spans="2:30" ht="19.2">
      <c r="J27" s="37" t="s">
        <v>74</v>
      </c>
      <c r="K27" s="37"/>
      <c r="L27" s="37"/>
      <c r="M27" s="37"/>
      <c r="W27" s="1" t="s">
        <v>75</v>
      </c>
    </row>
    <row r="28" spans="2:30" ht="19.2">
      <c r="J28" s="37" t="s">
        <v>75</v>
      </c>
      <c r="K28" s="37"/>
      <c r="L28" s="37"/>
      <c r="M28" s="37"/>
      <c r="W28" s="1" t="s">
        <v>31</v>
      </c>
    </row>
    <row r="29" spans="2:30">
      <c r="J29" s="37" t="s">
        <v>31</v>
      </c>
      <c r="K29" s="37"/>
      <c r="L29" s="37"/>
      <c r="M29" s="37"/>
    </row>
    <row r="30" spans="2:30">
      <c r="E30" s="1" t="s">
        <v>34</v>
      </c>
      <c r="Q30" s="24" t="s">
        <v>32</v>
      </c>
      <c r="R30" s="24" t="s">
        <v>45</v>
      </c>
      <c r="S30" s="24"/>
      <c r="T30" s="23" t="s">
        <v>3</v>
      </c>
      <c r="U30" s="1" t="s">
        <v>19</v>
      </c>
      <c r="X30" s="24" t="s">
        <v>41</v>
      </c>
      <c r="AB30" s="24" t="s">
        <v>0</v>
      </c>
      <c r="AC30" s="24" t="s">
        <v>89</v>
      </c>
    </row>
    <row r="31" spans="2:30">
      <c r="C31" s="32"/>
      <c r="E31" s="33" t="str">
        <f>IF(U31=1,"なし",U31)</f>
        <v>なし</v>
      </c>
      <c r="J31" s="73" t="s">
        <v>56</v>
      </c>
      <c r="K31" s="73"/>
      <c r="L31" s="73"/>
      <c r="M31" s="73"/>
      <c r="N31" s="73"/>
      <c r="P31" s="1">
        <v>1</v>
      </c>
      <c r="Q31" s="24" t="s">
        <v>30</v>
      </c>
      <c r="R31" s="34">
        <f>ROUNDDOWN(1-(S31/100),4)</f>
        <v>0.98740000000000006</v>
      </c>
      <c r="S31" s="38">
        <f>SQRT(X32^2+AC31^2)</f>
        <v>1.2529964086141669</v>
      </c>
      <c r="T31" s="28">
        <v>3</v>
      </c>
      <c r="U31" s="30">
        <f>CHOOSE(T31,R31,R32,R33)</f>
        <v>1</v>
      </c>
      <c r="W31" s="24" t="s">
        <v>1</v>
      </c>
      <c r="X31" s="24" t="s">
        <v>33</v>
      </c>
      <c r="AB31" s="24" t="s">
        <v>88</v>
      </c>
      <c r="AC31" s="24">
        <v>1.1000000000000001</v>
      </c>
      <c r="AD31" s="1" t="s">
        <v>30</v>
      </c>
    </row>
    <row r="32" spans="2:30">
      <c r="C32" s="35"/>
      <c r="J32" s="73"/>
      <c r="K32" s="73"/>
      <c r="L32" s="73"/>
      <c r="M32" s="73"/>
      <c r="N32" s="73"/>
      <c r="P32" s="1">
        <v>2</v>
      </c>
      <c r="Q32" s="24" t="s">
        <v>29</v>
      </c>
      <c r="R32" s="34">
        <f>ROUNDDOWN(1-(S32/100),4)</f>
        <v>0.9496</v>
      </c>
      <c r="S32" s="38">
        <f>SQRT(X32^2+AC36^2)</f>
        <v>5.0358713248056688</v>
      </c>
      <c r="W32" s="24" t="s">
        <v>8</v>
      </c>
      <c r="X32" s="24">
        <v>0.6</v>
      </c>
      <c r="Y32" s="1" t="s">
        <v>29</v>
      </c>
      <c r="AB32" s="24" t="s">
        <v>92</v>
      </c>
      <c r="AC32" s="24">
        <v>1.1000000000000001</v>
      </c>
      <c r="AD32" s="1" t="s">
        <v>30</v>
      </c>
    </row>
    <row r="33" spans="5:30">
      <c r="J33" s="74" t="s">
        <v>44</v>
      </c>
      <c r="K33" s="74"/>
      <c r="L33" s="74"/>
      <c r="M33" s="74"/>
      <c r="N33" s="74"/>
      <c r="P33" s="1">
        <v>3</v>
      </c>
      <c r="Q33" s="24" t="s">
        <v>5</v>
      </c>
      <c r="R33" s="24">
        <v>1</v>
      </c>
      <c r="S33" s="24">
        <v>1</v>
      </c>
      <c r="W33" s="24" t="s">
        <v>9</v>
      </c>
      <c r="X33" s="38">
        <v>0.6</v>
      </c>
      <c r="Y33" s="1" t="s">
        <v>29</v>
      </c>
      <c r="AB33" s="24" t="s">
        <v>10</v>
      </c>
      <c r="AC33" s="24">
        <v>1.1000000000000001</v>
      </c>
      <c r="AD33" s="1" t="s">
        <v>30</v>
      </c>
    </row>
    <row r="34" spans="5:30">
      <c r="J34" s="74"/>
      <c r="K34" s="74"/>
      <c r="L34" s="74"/>
      <c r="M34" s="74"/>
      <c r="N34" s="74"/>
      <c r="R34" s="1" t="s">
        <v>45</v>
      </c>
      <c r="X34" s="40"/>
      <c r="AB34" s="24" t="s">
        <v>11</v>
      </c>
      <c r="AC34" s="24">
        <v>1.1000000000000001</v>
      </c>
      <c r="AD34" s="1" t="s">
        <v>30</v>
      </c>
    </row>
    <row r="35" spans="5:30">
      <c r="X35" s="40"/>
      <c r="AB35" s="24" t="s">
        <v>14</v>
      </c>
      <c r="AC35" s="24">
        <v>1.1000000000000001</v>
      </c>
      <c r="AD35" s="1" t="s">
        <v>30</v>
      </c>
    </row>
    <row r="36" spans="5:30">
      <c r="E36" s="1" t="s">
        <v>34</v>
      </c>
      <c r="J36" s="37" t="s">
        <v>51</v>
      </c>
      <c r="K36" s="37"/>
      <c r="L36" s="37"/>
      <c r="M36" s="37"/>
      <c r="N36" s="37"/>
      <c r="Q36" s="24" t="s">
        <v>50</v>
      </c>
      <c r="R36" s="24"/>
      <c r="T36" s="23" t="s">
        <v>3</v>
      </c>
      <c r="U36" s="1" t="s">
        <v>19</v>
      </c>
      <c r="W36" s="1" t="s">
        <v>51</v>
      </c>
      <c r="AB36" s="24" t="s">
        <v>12</v>
      </c>
      <c r="AC36" s="24">
        <v>5</v>
      </c>
      <c r="AD36" s="1" t="s">
        <v>29</v>
      </c>
    </row>
    <row r="37" spans="5:30">
      <c r="E37" s="33" t="str">
        <f>IF(U37=1,"なし",U37)</f>
        <v>なし</v>
      </c>
      <c r="J37" s="37" t="s">
        <v>52</v>
      </c>
      <c r="K37" s="41">
        <v>2.666E-2</v>
      </c>
      <c r="L37" s="37"/>
      <c r="M37" s="37"/>
      <c r="N37" s="37"/>
      <c r="P37" s="1">
        <v>1</v>
      </c>
      <c r="Q37" s="24" t="s">
        <v>4</v>
      </c>
      <c r="R37" s="42">
        <v>0.89910000000000001</v>
      </c>
      <c r="T37" s="28">
        <v>2</v>
      </c>
      <c r="U37" s="30">
        <f>CHOOSE(T37,R37,R38)</f>
        <v>1</v>
      </c>
      <c r="W37" s="1" t="s">
        <v>52</v>
      </c>
      <c r="X37" s="43">
        <v>2.666E-2</v>
      </c>
      <c r="AB37" s="24" t="s">
        <v>13</v>
      </c>
      <c r="AC37" s="24">
        <v>5</v>
      </c>
      <c r="AD37" s="1" t="s">
        <v>29</v>
      </c>
    </row>
    <row r="38" spans="5:30">
      <c r="J38" s="37" t="s">
        <v>17</v>
      </c>
      <c r="K38" s="41">
        <v>2.9649999999999999E-2</v>
      </c>
      <c r="L38" s="37"/>
      <c r="M38" s="37"/>
      <c r="N38" s="37"/>
      <c r="P38" s="1">
        <v>2</v>
      </c>
      <c r="Q38" s="24" t="s">
        <v>5</v>
      </c>
      <c r="R38" s="24">
        <v>1</v>
      </c>
      <c r="W38" s="1" t="s">
        <v>17</v>
      </c>
      <c r="X38" s="43">
        <v>2.9649999999999999E-2</v>
      </c>
      <c r="AB38" s="24" t="s">
        <v>15</v>
      </c>
      <c r="AC38" s="24">
        <v>5</v>
      </c>
      <c r="AD38" s="1" t="s">
        <v>29</v>
      </c>
    </row>
    <row r="39" spans="5:30">
      <c r="J39" s="37" t="s">
        <v>60</v>
      </c>
      <c r="K39" s="37"/>
      <c r="L39" s="37"/>
      <c r="M39" s="37"/>
      <c r="N39" s="37"/>
      <c r="W39" s="1" t="s">
        <v>53</v>
      </c>
      <c r="AB39" s="24" t="s">
        <v>16</v>
      </c>
      <c r="AC39" s="24">
        <v>5</v>
      </c>
      <c r="AD39" s="1" t="s">
        <v>29</v>
      </c>
    </row>
    <row r="40" spans="5:30">
      <c r="J40" s="45"/>
      <c r="W40" s="45" t="s">
        <v>54</v>
      </c>
    </row>
    <row r="41" spans="5:30">
      <c r="G41" s="46" t="s">
        <v>46</v>
      </c>
      <c r="J41" s="45"/>
      <c r="W41" s="45"/>
    </row>
    <row r="42" spans="5:30" ht="18" customHeight="1">
      <c r="G42" s="75" t="e">
        <f>ROUNDDOWN(U6*U11*U24*G7*U31*U37,(3)-INT(LOG(U6*U11*U24*G7*U31*U37)))</f>
        <v>#NUM!</v>
      </c>
      <c r="H42" s="75"/>
      <c r="J42" s="46" t="s">
        <v>49</v>
      </c>
      <c r="K42" s="52"/>
      <c r="L42" s="52"/>
      <c r="M42" s="52"/>
      <c r="N42" s="52"/>
      <c r="O42" s="39"/>
      <c r="W42" s="45"/>
    </row>
    <row r="43" spans="5:30" ht="22.2">
      <c r="F43" s="5" t="s">
        <v>57</v>
      </c>
      <c r="G43" s="76"/>
      <c r="H43" s="76"/>
      <c r="I43" s="1" t="s">
        <v>47</v>
      </c>
      <c r="J43" s="73" t="s">
        <v>59</v>
      </c>
      <c r="K43" s="73"/>
      <c r="L43" s="73"/>
      <c r="M43" s="73"/>
      <c r="N43" s="73"/>
      <c r="O43" s="39"/>
      <c r="W43" s="45"/>
    </row>
    <row r="44" spans="5:30" ht="18" customHeight="1">
      <c r="G44" s="47"/>
      <c r="H44" s="47"/>
      <c r="J44" s="73"/>
      <c r="K44" s="73"/>
      <c r="L44" s="73"/>
      <c r="M44" s="73"/>
      <c r="N44" s="73"/>
      <c r="O44" s="39"/>
      <c r="W44" s="45"/>
    </row>
    <row r="45" spans="5:30">
      <c r="G45" s="47"/>
      <c r="H45" s="47"/>
      <c r="J45" s="59"/>
      <c r="K45" s="59"/>
      <c r="L45" s="59"/>
      <c r="M45" s="59"/>
      <c r="N45" s="59"/>
      <c r="W45" s="45"/>
    </row>
    <row r="46" spans="5:30" ht="18" hidden="1" customHeight="1">
      <c r="G46" s="48" t="s">
        <v>55</v>
      </c>
      <c r="H46" s="49">
        <f>U6*U11*U24*U31*G7*U37</f>
        <v>0</v>
      </c>
      <c r="J46" s="59"/>
      <c r="K46" s="59"/>
      <c r="L46" s="59"/>
      <c r="M46" s="59"/>
      <c r="N46" s="59"/>
      <c r="W46" s="45"/>
    </row>
    <row r="47" spans="5:30">
      <c r="G47" s="47"/>
      <c r="H47" s="47"/>
      <c r="W47" s="45"/>
    </row>
    <row r="48" spans="5:30">
      <c r="G48" s="47"/>
      <c r="H48" s="47"/>
      <c r="W48" s="45"/>
    </row>
    <row r="51" spans="4:18">
      <c r="Q51" s="50"/>
      <c r="R51" s="51"/>
    </row>
    <row r="52" spans="4:18">
      <c r="D52" s="25"/>
    </row>
    <row r="53" spans="4:18" ht="18" customHeight="1">
      <c r="F53" s="52"/>
      <c r="G53" s="52"/>
      <c r="H53" s="52"/>
      <c r="I53" s="52"/>
      <c r="J53" s="39"/>
      <c r="K53" s="39"/>
      <c r="L53" s="39"/>
      <c r="M53" s="39"/>
      <c r="N53" s="39"/>
      <c r="O53" s="39"/>
    </row>
    <row r="54" spans="4:18">
      <c r="E54" s="52"/>
      <c r="F54" s="52"/>
      <c r="G54" s="52"/>
      <c r="H54" s="52"/>
      <c r="I54" s="52"/>
      <c r="J54" s="39"/>
      <c r="K54" s="39"/>
      <c r="L54" s="39"/>
      <c r="M54" s="39"/>
      <c r="N54" s="39"/>
      <c r="O54" s="39"/>
    </row>
  </sheetData>
  <sheetProtection algorithmName="SHA-512" hashValue="DPSDbUI76IMkqIrv10dRKzG55MjYoF3gb5OvHnqTdxG93u2aZDqomApX6J5DPer0s27KA4785SjwdSY4gYr+Pg==" saltValue="OeOXL0s7MSPsz5FIsAlWlg==" spinCount="100000" sheet="1" objects="1" scenarios="1" selectLockedCells="1"/>
  <mergeCells count="7">
    <mergeCell ref="G2:H2"/>
    <mergeCell ref="G7:H8"/>
    <mergeCell ref="J31:N32"/>
    <mergeCell ref="J33:N34"/>
    <mergeCell ref="G42:H43"/>
    <mergeCell ref="J43:N44"/>
    <mergeCell ref="J1:P2"/>
  </mergeCells>
  <phoneticPr fontId="1"/>
  <pageMargins left="0.82677165354330717" right="0.23622047244094491" top="0.74803149606299213" bottom="0.74803149606299213" header="0.31496062992125984" footer="0.31496062992125984"/>
  <pageSetup paperSize="9" scale="57" orientation="portrait" r:id="rId1"/>
  <headerFooter>
    <oddHeader xml:space="preserve">&amp;R品証管理　ファイルコピー禁止
</oddHeader>
  </headerFooter>
  <rowBreaks count="1" manualBreakCount="1">
    <brk id="44" max="8" man="1"/>
  </rowBreaks>
  <colBreaks count="2" manualBreakCount="2">
    <brk id="9" max="43" man="1"/>
    <brk id="16" max="4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Option Button 1">
              <controlPr defaultSize="0" autoFill="0" autoLine="0" autoPict="0">
                <anchor moveWithCells="1">
                  <from>
                    <xdr:col>1</xdr:col>
                    <xdr:colOff>662940</xdr:colOff>
                    <xdr:row>5</xdr:row>
                    <xdr:rowOff>22860</xdr:rowOff>
                  </from>
                  <to>
                    <xdr:col>3</xdr:col>
                    <xdr:colOff>106680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Option Button 2">
              <controlPr defaultSize="0" autoFill="0" autoLine="0" autoPict="0">
                <anchor moveWithCells="1">
                  <from>
                    <xdr:col>1</xdr:col>
                    <xdr:colOff>662940</xdr:colOff>
                    <xdr:row>5</xdr:row>
                    <xdr:rowOff>220980</xdr:rowOff>
                  </from>
                  <to>
                    <xdr:col>3</xdr:col>
                    <xdr:colOff>137160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Option Button 3">
              <controlPr defaultSize="0" autoFill="0" autoLine="0" autoPict="0">
                <anchor moveWithCells="1">
                  <from>
                    <xdr:col>2</xdr:col>
                    <xdr:colOff>7620</xdr:colOff>
                    <xdr:row>10</xdr:row>
                    <xdr:rowOff>220980</xdr:rowOff>
                  </from>
                  <to>
                    <xdr:col>3</xdr:col>
                    <xdr:colOff>449580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Option Button 4">
              <controlPr defaultSize="0" autoFill="0" autoLine="0" autoPict="0">
                <anchor moveWithCells="1">
                  <from>
                    <xdr:col>2</xdr:col>
                    <xdr:colOff>7620</xdr:colOff>
                    <xdr:row>11</xdr:row>
                    <xdr:rowOff>213360</xdr:rowOff>
                  </from>
                  <to>
                    <xdr:col>3</xdr:col>
                    <xdr:colOff>426720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Group Box 5">
              <controlPr defaultSize="0" autoFill="0" autoPict="0" altText="電離箱">
                <anchor moveWithCells="1">
                  <from>
                    <xdr:col>1</xdr:col>
                    <xdr:colOff>396240</xdr:colOff>
                    <xdr:row>4</xdr:row>
                    <xdr:rowOff>7620</xdr:rowOff>
                  </from>
                  <to>
                    <xdr:col>4</xdr:col>
                    <xdr:colOff>0</xdr:colOff>
                    <xdr:row>7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Option Button 7">
              <controlPr defaultSize="0" autoFill="0" autoLine="0" autoPict="0">
                <anchor moveWithCells="1">
                  <from>
                    <xdr:col>2</xdr:col>
                    <xdr:colOff>15240</xdr:colOff>
                    <xdr:row>12</xdr:row>
                    <xdr:rowOff>198120</xdr:rowOff>
                  </from>
                  <to>
                    <xdr:col>3</xdr:col>
                    <xdr:colOff>480060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Group Box 8">
              <controlPr defaultSize="0" autoFill="0" autoPict="0">
                <anchor moveWithCells="1">
                  <from>
                    <xdr:col>1</xdr:col>
                    <xdr:colOff>358140</xdr:colOff>
                    <xdr:row>23</xdr:row>
                    <xdr:rowOff>7620</xdr:rowOff>
                  </from>
                  <to>
                    <xdr:col>4</xdr:col>
                    <xdr:colOff>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Option Button 9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15240</xdr:rowOff>
                  </from>
                  <to>
                    <xdr:col>3</xdr:col>
                    <xdr:colOff>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Option Button 10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15240</xdr:rowOff>
                  </from>
                  <to>
                    <xdr:col>3</xdr:col>
                    <xdr:colOff>22860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Option Button 11">
              <controlPr defaultSize="0" autoFill="0" autoLine="0" autoPict="0">
                <anchor moveWithCells="1">
                  <from>
                    <xdr:col>2</xdr:col>
                    <xdr:colOff>7620</xdr:colOff>
                    <xdr:row>14</xdr:row>
                    <xdr:rowOff>7620</xdr:rowOff>
                  </from>
                  <to>
                    <xdr:col>3</xdr:col>
                    <xdr:colOff>472440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Option Button 12">
              <controlPr defaultSize="0" autoFill="0" autoLine="0" autoPict="0">
                <anchor moveWithCells="1">
                  <from>
                    <xdr:col>2</xdr:col>
                    <xdr:colOff>7620</xdr:colOff>
                    <xdr:row>15</xdr:row>
                    <xdr:rowOff>0</xdr:rowOff>
                  </from>
                  <to>
                    <xdr:col>3</xdr:col>
                    <xdr:colOff>457200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5" name="Option Button 13">
              <controlPr defaultSize="0" autoFill="0" autoLine="0" autoPict="0">
                <anchor moveWithCells="1">
                  <from>
                    <xdr:col>2</xdr:col>
                    <xdr:colOff>7620</xdr:colOff>
                    <xdr:row>15</xdr:row>
                    <xdr:rowOff>220980</xdr:rowOff>
                  </from>
                  <to>
                    <xdr:col>3</xdr:col>
                    <xdr:colOff>480060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6" name="Option Button 14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3</xdr:col>
                    <xdr:colOff>472440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7" name="Option Button 15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220980</xdr:rowOff>
                  </from>
                  <to>
                    <xdr:col>3</xdr:col>
                    <xdr:colOff>464820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8" name="Option Button 16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3</xdr:col>
                    <xdr:colOff>472440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9" name="Option Button 17">
              <controlPr defaultSize="0" autoFill="0" autoLine="0" autoPict="0">
                <anchor moveWithCells="1">
                  <from>
                    <xdr:col>2</xdr:col>
                    <xdr:colOff>7620</xdr:colOff>
                    <xdr:row>30</xdr:row>
                    <xdr:rowOff>7620</xdr:rowOff>
                  </from>
                  <to>
                    <xdr:col>2</xdr:col>
                    <xdr:colOff>655320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0" name="Option Button 18">
              <controlPr defaultSize="0" autoFill="0" autoLine="0" autoPict="0">
                <anchor moveWithCells="1">
                  <from>
                    <xdr:col>2</xdr:col>
                    <xdr:colOff>7620</xdr:colOff>
                    <xdr:row>31</xdr:row>
                    <xdr:rowOff>7620</xdr:rowOff>
                  </from>
                  <to>
                    <xdr:col>2</xdr:col>
                    <xdr:colOff>655320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1" name="Option Button 19">
              <controlPr defaultSize="0" autoFill="0" autoLine="0" autoPict="0">
                <anchor moveWithCells="1">
                  <from>
                    <xdr:col>2</xdr:col>
                    <xdr:colOff>7620</xdr:colOff>
                    <xdr:row>32</xdr:row>
                    <xdr:rowOff>7620</xdr:rowOff>
                  </from>
                  <to>
                    <xdr:col>2</xdr:col>
                    <xdr:colOff>655320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2" name="Group Box 20">
              <controlPr defaultSize="0" autoFill="0" autoPict="0">
                <anchor moveWithCells="1">
                  <from>
                    <xdr:col>1</xdr:col>
                    <xdr:colOff>373380</xdr:colOff>
                    <xdr:row>34</xdr:row>
                    <xdr:rowOff>228600</xdr:rowOff>
                  </from>
                  <to>
                    <xdr:col>4</xdr:col>
                    <xdr:colOff>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3" name="Option Button 21">
              <controlPr defaultSize="0" autoFill="0" autoLine="0" autoPict="0">
                <anchor moveWithCells="1">
                  <from>
                    <xdr:col>2</xdr:col>
                    <xdr:colOff>15240</xdr:colOff>
                    <xdr:row>36</xdr:row>
                    <xdr:rowOff>30480</xdr:rowOff>
                  </from>
                  <to>
                    <xdr:col>3</xdr:col>
                    <xdr:colOff>312420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4" name="Option Button 22">
              <controlPr defaultSize="0" autoFill="0" autoLine="0" autoPict="0">
                <anchor moveWithCells="1">
                  <from>
                    <xdr:col>2</xdr:col>
                    <xdr:colOff>15240</xdr:colOff>
                    <xdr:row>37</xdr:row>
                    <xdr:rowOff>7620</xdr:rowOff>
                  </from>
                  <to>
                    <xdr:col>3</xdr:col>
                    <xdr:colOff>22860</xdr:colOff>
                    <xdr:row>38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5" name="Group Box 23">
              <controlPr defaultSize="0" autoFill="0" autoPict="0">
                <anchor moveWithCells="1">
                  <from>
                    <xdr:col>1</xdr:col>
                    <xdr:colOff>365760</xdr:colOff>
                    <xdr:row>29</xdr:row>
                    <xdr:rowOff>7620</xdr:rowOff>
                  </from>
                  <to>
                    <xdr:col>4</xdr:col>
                    <xdr:colOff>22860</xdr:colOff>
                    <xdr:row>33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26" name="Group Box 28">
              <controlPr defaultSize="0" autoFill="0" autoPict="0" altText="電離箱_x000a_">
                <anchor moveWithCells="1">
                  <from>
                    <xdr:col>1</xdr:col>
                    <xdr:colOff>396240</xdr:colOff>
                    <xdr:row>10</xdr:row>
                    <xdr:rowOff>22860</xdr:rowOff>
                  </from>
                  <to>
                    <xdr:col>3</xdr:col>
                    <xdr:colOff>662940</xdr:colOff>
                    <xdr:row>20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776C-0904-4814-A948-08C36B783E7A}">
  <dimension ref="B1:E40"/>
  <sheetViews>
    <sheetView topLeftCell="A7" zoomScaleNormal="100" workbookViewId="0">
      <selection activeCell="D12" sqref="D12"/>
    </sheetView>
  </sheetViews>
  <sheetFormatPr defaultRowHeight="13.2"/>
  <cols>
    <col min="1" max="1" width="2.59765625" style="7" customWidth="1"/>
    <col min="2" max="2" width="7.59765625" style="7" customWidth="1"/>
    <col min="3" max="4" width="16.59765625" style="7" customWidth="1"/>
    <col min="5" max="5" width="41.19921875" style="7" customWidth="1"/>
    <col min="6" max="256" width="8.796875" style="7"/>
    <col min="257" max="257" width="2.59765625" style="7" customWidth="1"/>
    <col min="258" max="258" width="7.59765625" style="7" customWidth="1"/>
    <col min="259" max="260" width="16.59765625" style="7" customWidth="1"/>
    <col min="261" max="261" width="43.8984375" style="7" customWidth="1"/>
    <col min="262" max="512" width="8.796875" style="7"/>
    <col min="513" max="513" width="2.59765625" style="7" customWidth="1"/>
    <col min="514" max="514" width="7.59765625" style="7" customWidth="1"/>
    <col min="515" max="516" width="16.59765625" style="7" customWidth="1"/>
    <col min="517" max="517" width="43.8984375" style="7" customWidth="1"/>
    <col min="518" max="768" width="8.796875" style="7"/>
    <col min="769" max="769" width="2.59765625" style="7" customWidth="1"/>
    <col min="770" max="770" width="7.59765625" style="7" customWidth="1"/>
    <col min="771" max="772" width="16.59765625" style="7" customWidth="1"/>
    <col min="773" max="773" width="43.8984375" style="7" customWidth="1"/>
    <col min="774" max="1024" width="8.796875" style="7"/>
    <col min="1025" max="1025" width="2.59765625" style="7" customWidth="1"/>
    <col min="1026" max="1026" width="7.59765625" style="7" customWidth="1"/>
    <col min="1027" max="1028" width="16.59765625" style="7" customWidth="1"/>
    <col min="1029" max="1029" width="43.8984375" style="7" customWidth="1"/>
    <col min="1030" max="1280" width="8.796875" style="7"/>
    <col min="1281" max="1281" width="2.59765625" style="7" customWidth="1"/>
    <col min="1282" max="1282" width="7.59765625" style="7" customWidth="1"/>
    <col min="1283" max="1284" width="16.59765625" style="7" customWidth="1"/>
    <col min="1285" max="1285" width="43.8984375" style="7" customWidth="1"/>
    <col min="1286" max="1536" width="8.796875" style="7"/>
    <col min="1537" max="1537" width="2.59765625" style="7" customWidth="1"/>
    <col min="1538" max="1538" width="7.59765625" style="7" customWidth="1"/>
    <col min="1539" max="1540" width="16.59765625" style="7" customWidth="1"/>
    <col min="1541" max="1541" width="43.8984375" style="7" customWidth="1"/>
    <col min="1542" max="1792" width="8.796875" style="7"/>
    <col min="1793" max="1793" width="2.59765625" style="7" customWidth="1"/>
    <col min="1794" max="1794" width="7.59765625" style="7" customWidth="1"/>
    <col min="1795" max="1796" width="16.59765625" style="7" customWidth="1"/>
    <col min="1797" max="1797" width="43.8984375" style="7" customWidth="1"/>
    <col min="1798" max="2048" width="8.796875" style="7"/>
    <col min="2049" max="2049" width="2.59765625" style="7" customWidth="1"/>
    <col min="2050" max="2050" width="7.59765625" style="7" customWidth="1"/>
    <col min="2051" max="2052" width="16.59765625" style="7" customWidth="1"/>
    <col min="2053" max="2053" width="43.8984375" style="7" customWidth="1"/>
    <col min="2054" max="2304" width="8.796875" style="7"/>
    <col min="2305" max="2305" width="2.59765625" style="7" customWidth="1"/>
    <col min="2306" max="2306" width="7.59765625" style="7" customWidth="1"/>
    <col min="2307" max="2308" width="16.59765625" style="7" customWidth="1"/>
    <col min="2309" max="2309" width="43.8984375" style="7" customWidth="1"/>
    <col min="2310" max="2560" width="8.796875" style="7"/>
    <col min="2561" max="2561" width="2.59765625" style="7" customWidth="1"/>
    <col min="2562" max="2562" width="7.59765625" style="7" customWidth="1"/>
    <col min="2563" max="2564" width="16.59765625" style="7" customWidth="1"/>
    <col min="2565" max="2565" width="43.8984375" style="7" customWidth="1"/>
    <col min="2566" max="2816" width="8.796875" style="7"/>
    <col min="2817" max="2817" width="2.59765625" style="7" customWidth="1"/>
    <col min="2818" max="2818" width="7.59765625" style="7" customWidth="1"/>
    <col min="2819" max="2820" width="16.59765625" style="7" customWidth="1"/>
    <col min="2821" max="2821" width="43.8984375" style="7" customWidth="1"/>
    <col min="2822" max="3072" width="8.796875" style="7"/>
    <col min="3073" max="3073" width="2.59765625" style="7" customWidth="1"/>
    <col min="3074" max="3074" width="7.59765625" style="7" customWidth="1"/>
    <col min="3075" max="3076" width="16.59765625" style="7" customWidth="1"/>
    <col min="3077" max="3077" width="43.8984375" style="7" customWidth="1"/>
    <col min="3078" max="3328" width="8.796875" style="7"/>
    <col min="3329" max="3329" width="2.59765625" style="7" customWidth="1"/>
    <col min="3330" max="3330" width="7.59765625" style="7" customWidth="1"/>
    <col min="3331" max="3332" width="16.59765625" style="7" customWidth="1"/>
    <col min="3333" max="3333" width="43.8984375" style="7" customWidth="1"/>
    <col min="3334" max="3584" width="8.796875" style="7"/>
    <col min="3585" max="3585" width="2.59765625" style="7" customWidth="1"/>
    <col min="3586" max="3586" width="7.59765625" style="7" customWidth="1"/>
    <col min="3587" max="3588" width="16.59765625" style="7" customWidth="1"/>
    <col min="3589" max="3589" width="43.8984375" style="7" customWidth="1"/>
    <col min="3590" max="3840" width="8.796875" style="7"/>
    <col min="3841" max="3841" width="2.59765625" style="7" customWidth="1"/>
    <col min="3842" max="3842" width="7.59765625" style="7" customWidth="1"/>
    <col min="3843" max="3844" width="16.59765625" style="7" customWidth="1"/>
    <col min="3845" max="3845" width="43.8984375" style="7" customWidth="1"/>
    <col min="3846" max="4096" width="8.796875" style="7"/>
    <col min="4097" max="4097" width="2.59765625" style="7" customWidth="1"/>
    <col min="4098" max="4098" width="7.59765625" style="7" customWidth="1"/>
    <col min="4099" max="4100" width="16.59765625" style="7" customWidth="1"/>
    <col min="4101" max="4101" width="43.8984375" style="7" customWidth="1"/>
    <col min="4102" max="4352" width="8.796875" style="7"/>
    <col min="4353" max="4353" width="2.59765625" style="7" customWidth="1"/>
    <col min="4354" max="4354" width="7.59765625" style="7" customWidth="1"/>
    <col min="4355" max="4356" width="16.59765625" style="7" customWidth="1"/>
    <col min="4357" max="4357" width="43.8984375" style="7" customWidth="1"/>
    <col min="4358" max="4608" width="8.796875" style="7"/>
    <col min="4609" max="4609" width="2.59765625" style="7" customWidth="1"/>
    <col min="4610" max="4610" width="7.59765625" style="7" customWidth="1"/>
    <col min="4611" max="4612" width="16.59765625" style="7" customWidth="1"/>
    <col min="4613" max="4613" width="43.8984375" style="7" customWidth="1"/>
    <col min="4614" max="4864" width="8.796875" style="7"/>
    <col min="4865" max="4865" width="2.59765625" style="7" customWidth="1"/>
    <col min="4866" max="4866" width="7.59765625" style="7" customWidth="1"/>
    <col min="4867" max="4868" width="16.59765625" style="7" customWidth="1"/>
    <col min="4869" max="4869" width="43.8984375" style="7" customWidth="1"/>
    <col min="4870" max="5120" width="8.796875" style="7"/>
    <col min="5121" max="5121" width="2.59765625" style="7" customWidth="1"/>
    <col min="5122" max="5122" width="7.59765625" style="7" customWidth="1"/>
    <col min="5123" max="5124" width="16.59765625" style="7" customWidth="1"/>
    <col min="5125" max="5125" width="43.8984375" style="7" customWidth="1"/>
    <col min="5126" max="5376" width="8.796875" style="7"/>
    <col min="5377" max="5377" width="2.59765625" style="7" customWidth="1"/>
    <col min="5378" max="5378" width="7.59765625" style="7" customWidth="1"/>
    <col min="5379" max="5380" width="16.59765625" style="7" customWidth="1"/>
    <col min="5381" max="5381" width="43.8984375" style="7" customWidth="1"/>
    <col min="5382" max="5632" width="8.796875" style="7"/>
    <col min="5633" max="5633" width="2.59765625" style="7" customWidth="1"/>
    <col min="5634" max="5634" width="7.59765625" style="7" customWidth="1"/>
    <col min="5635" max="5636" width="16.59765625" style="7" customWidth="1"/>
    <col min="5637" max="5637" width="43.8984375" style="7" customWidth="1"/>
    <col min="5638" max="5888" width="8.796875" style="7"/>
    <col min="5889" max="5889" width="2.59765625" style="7" customWidth="1"/>
    <col min="5890" max="5890" width="7.59765625" style="7" customWidth="1"/>
    <col min="5891" max="5892" width="16.59765625" style="7" customWidth="1"/>
    <col min="5893" max="5893" width="43.8984375" style="7" customWidth="1"/>
    <col min="5894" max="6144" width="8.796875" style="7"/>
    <col min="6145" max="6145" width="2.59765625" style="7" customWidth="1"/>
    <col min="6146" max="6146" width="7.59765625" style="7" customWidth="1"/>
    <col min="6147" max="6148" width="16.59765625" style="7" customWidth="1"/>
    <col min="6149" max="6149" width="43.8984375" style="7" customWidth="1"/>
    <col min="6150" max="6400" width="8.796875" style="7"/>
    <col min="6401" max="6401" width="2.59765625" style="7" customWidth="1"/>
    <col min="6402" max="6402" width="7.59765625" style="7" customWidth="1"/>
    <col min="6403" max="6404" width="16.59765625" style="7" customWidth="1"/>
    <col min="6405" max="6405" width="43.8984375" style="7" customWidth="1"/>
    <col min="6406" max="6656" width="8.796875" style="7"/>
    <col min="6657" max="6657" width="2.59765625" style="7" customWidth="1"/>
    <col min="6658" max="6658" width="7.59765625" style="7" customWidth="1"/>
    <col min="6659" max="6660" width="16.59765625" style="7" customWidth="1"/>
    <col min="6661" max="6661" width="43.8984375" style="7" customWidth="1"/>
    <col min="6662" max="6912" width="8.796875" style="7"/>
    <col min="6913" max="6913" width="2.59765625" style="7" customWidth="1"/>
    <col min="6914" max="6914" width="7.59765625" style="7" customWidth="1"/>
    <col min="6915" max="6916" width="16.59765625" style="7" customWidth="1"/>
    <col min="6917" max="6917" width="43.8984375" style="7" customWidth="1"/>
    <col min="6918" max="7168" width="8.796875" style="7"/>
    <col min="7169" max="7169" width="2.59765625" style="7" customWidth="1"/>
    <col min="7170" max="7170" width="7.59765625" style="7" customWidth="1"/>
    <col min="7171" max="7172" width="16.59765625" style="7" customWidth="1"/>
    <col min="7173" max="7173" width="43.8984375" style="7" customWidth="1"/>
    <col min="7174" max="7424" width="8.796875" style="7"/>
    <col min="7425" max="7425" width="2.59765625" style="7" customWidth="1"/>
    <col min="7426" max="7426" width="7.59765625" style="7" customWidth="1"/>
    <col min="7427" max="7428" width="16.59765625" style="7" customWidth="1"/>
    <col min="7429" max="7429" width="43.8984375" style="7" customWidth="1"/>
    <col min="7430" max="7680" width="8.796875" style="7"/>
    <col min="7681" max="7681" width="2.59765625" style="7" customWidth="1"/>
    <col min="7682" max="7682" width="7.59765625" style="7" customWidth="1"/>
    <col min="7683" max="7684" width="16.59765625" style="7" customWidth="1"/>
    <col min="7685" max="7685" width="43.8984375" style="7" customWidth="1"/>
    <col min="7686" max="7936" width="8.796875" style="7"/>
    <col min="7937" max="7937" width="2.59765625" style="7" customWidth="1"/>
    <col min="7938" max="7938" width="7.59765625" style="7" customWidth="1"/>
    <col min="7939" max="7940" width="16.59765625" style="7" customWidth="1"/>
    <col min="7941" max="7941" width="43.8984375" style="7" customWidth="1"/>
    <col min="7942" max="8192" width="8.796875" style="7"/>
    <col min="8193" max="8193" width="2.59765625" style="7" customWidth="1"/>
    <col min="8194" max="8194" width="7.59765625" style="7" customWidth="1"/>
    <col min="8195" max="8196" width="16.59765625" style="7" customWidth="1"/>
    <col min="8197" max="8197" width="43.8984375" style="7" customWidth="1"/>
    <col min="8198" max="8448" width="8.796875" style="7"/>
    <col min="8449" max="8449" width="2.59765625" style="7" customWidth="1"/>
    <col min="8450" max="8450" width="7.59765625" style="7" customWidth="1"/>
    <col min="8451" max="8452" width="16.59765625" style="7" customWidth="1"/>
    <col min="8453" max="8453" width="43.8984375" style="7" customWidth="1"/>
    <col min="8454" max="8704" width="8.796875" style="7"/>
    <col min="8705" max="8705" width="2.59765625" style="7" customWidth="1"/>
    <col min="8706" max="8706" width="7.59765625" style="7" customWidth="1"/>
    <col min="8707" max="8708" width="16.59765625" style="7" customWidth="1"/>
    <col min="8709" max="8709" width="43.8984375" style="7" customWidth="1"/>
    <col min="8710" max="8960" width="8.796875" style="7"/>
    <col min="8961" max="8961" width="2.59765625" style="7" customWidth="1"/>
    <col min="8962" max="8962" width="7.59765625" style="7" customWidth="1"/>
    <col min="8963" max="8964" width="16.59765625" style="7" customWidth="1"/>
    <col min="8965" max="8965" width="43.8984375" style="7" customWidth="1"/>
    <col min="8966" max="9216" width="8.796875" style="7"/>
    <col min="9217" max="9217" width="2.59765625" style="7" customWidth="1"/>
    <col min="9218" max="9218" width="7.59765625" style="7" customWidth="1"/>
    <col min="9219" max="9220" width="16.59765625" style="7" customWidth="1"/>
    <col min="9221" max="9221" width="43.8984375" style="7" customWidth="1"/>
    <col min="9222" max="9472" width="8.796875" style="7"/>
    <col min="9473" max="9473" width="2.59765625" style="7" customWidth="1"/>
    <col min="9474" max="9474" width="7.59765625" style="7" customWidth="1"/>
    <col min="9475" max="9476" width="16.59765625" style="7" customWidth="1"/>
    <col min="9477" max="9477" width="43.8984375" style="7" customWidth="1"/>
    <col min="9478" max="9728" width="8.796875" style="7"/>
    <col min="9729" max="9729" width="2.59765625" style="7" customWidth="1"/>
    <col min="9730" max="9730" width="7.59765625" style="7" customWidth="1"/>
    <col min="9731" max="9732" width="16.59765625" style="7" customWidth="1"/>
    <col min="9733" max="9733" width="43.8984375" style="7" customWidth="1"/>
    <col min="9734" max="9984" width="8.796875" style="7"/>
    <col min="9985" max="9985" width="2.59765625" style="7" customWidth="1"/>
    <col min="9986" max="9986" width="7.59765625" style="7" customWidth="1"/>
    <col min="9987" max="9988" width="16.59765625" style="7" customWidth="1"/>
    <col min="9989" max="9989" width="43.8984375" style="7" customWidth="1"/>
    <col min="9990" max="10240" width="8.796875" style="7"/>
    <col min="10241" max="10241" width="2.59765625" style="7" customWidth="1"/>
    <col min="10242" max="10242" width="7.59765625" style="7" customWidth="1"/>
    <col min="10243" max="10244" width="16.59765625" style="7" customWidth="1"/>
    <col min="10245" max="10245" width="43.8984375" style="7" customWidth="1"/>
    <col min="10246" max="10496" width="8.796875" style="7"/>
    <col min="10497" max="10497" width="2.59765625" style="7" customWidth="1"/>
    <col min="10498" max="10498" width="7.59765625" style="7" customWidth="1"/>
    <col min="10499" max="10500" width="16.59765625" style="7" customWidth="1"/>
    <col min="10501" max="10501" width="43.8984375" style="7" customWidth="1"/>
    <col min="10502" max="10752" width="8.796875" style="7"/>
    <col min="10753" max="10753" width="2.59765625" style="7" customWidth="1"/>
    <col min="10754" max="10754" width="7.59765625" style="7" customWidth="1"/>
    <col min="10755" max="10756" width="16.59765625" style="7" customWidth="1"/>
    <col min="10757" max="10757" width="43.8984375" style="7" customWidth="1"/>
    <col min="10758" max="11008" width="8.796875" style="7"/>
    <col min="11009" max="11009" width="2.59765625" style="7" customWidth="1"/>
    <col min="11010" max="11010" width="7.59765625" style="7" customWidth="1"/>
    <col min="11011" max="11012" width="16.59765625" style="7" customWidth="1"/>
    <col min="11013" max="11013" width="43.8984375" style="7" customWidth="1"/>
    <col min="11014" max="11264" width="8.796875" style="7"/>
    <col min="11265" max="11265" width="2.59765625" style="7" customWidth="1"/>
    <col min="11266" max="11266" width="7.59765625" style="7" customWidth="1"/>
    <col min="11267" max="11268" width="16.59765625" style="7" customWidth="1"/>
    <col min="11269" max="11269" width="43.8984375" style="7" customWidth="1"/>
    <col min="11270" max="11520" width="8.796875" style="7"/>
    <col min="11521" max="11521" width="2.59765625" style="7" customWidth="1"/>
    <col min="11522" max="11522" width="7.59765625" style="7" customWidth="1"/>
    <col min="11523" max="11524" width="16.59765625" style="7" customWidth="1"/>
    <col min="11525" max="11525" width="43.8984375" style="7" customWidth="1"/>
    <col min="11526" max="11776" width="8.796875" style="7"/>
    <col min="11777" max="11777" width="2.59765625" style="7" customWidth="1"/>
    <col min="11778" max="11778" width="7.59765625" style="7" customWidth="1"/>
    <col min="11779" max="11780" width="16.59765625" style="7" customWidth="1"/>
    <col min="11781" max="11781" width="43.8984375" style="7" customWidth="1"/>
    <col min="11782" max="12032" width="8.796875" style="7"/>
    <col min="12033" max="12033" width="2.59765625" style="7" customWidth="1"/>
    <col min="12034" max="12034" width="7.59765625" style="7" customWidth="1"/>
    <col min="12035" max="12036" width="16.59765625" style="7" customWidth="1"/>
    <col min="12037" max="12037" width="43.8984375" style="7" customWidth="1"/>
    <col min="12038" max="12288" width="8.796875" style="7"/>
    <col min="12289" max="12289" width="2.59765625" style="7" customWidth="1"/>
    <col min="12290" max="12290" width="7.59765625" style="7" customWidth="1"/>
    <col min="12291" max="12292" width="16.59765625" style="7" customWidth="1"/>
    <col min="12293" max="12293" width="43.8984375" style="7" customWidth="1"/>
    <col min="12294" max="12544" width="8.796875" style="7"/>
    <col min="12545" max="12545" width="2.59765625" style="7" customWidth="1"/>
    <col min="12546" max="12546" width="7.59765625" style="7" customWidth="1"/>
    <col min="12547" max="12548" width="16.59765625" style="7" customWidth="1"/>
    <col min="12549" max="12549" width="43.8984375" style="7" customWidth="1"/>
    <col min="12550" max="12800" width="8.796875" style="7"/>
    <col min="12801" max="12801" width="2.59765625" style="7" customWidth="1"/>
    <col min="12802" max="12802" width="7.59765625" style="7" customWidth="1"/>
    <col min="12803" max="12804" width="16.59765625" style="7" customWidth="1"/>
    <col min="12805" max="12805" width="43.8984375" style="7" customWidth="1"/>
    <col min="12806" max="13056" width="8.796875" style="7"/>
    <col min="13057" max="13057" width="2.59765625" style="7" customWidth="1"/>
    <col min="13058" max="13058" width="7.59765625" style="7" customWidth="1"/>
    <col min="13059" max="13060" width="16.59765625" style="7" customWidth="1"/>
    <col min="13061" max="13061" width="43.8984375" style="7" customWidth="1"/>
    <col min="13062" max="13312" width="8.796875" style="7"/>
    <col min="13313" max="13313" width="2.59765625" style="7" customWidth="1"/>
    <col min="13314" max="13314" width="7.59765625" style="7" customWidth="1"/>
    <col min="13315" max="13316" width="16.59765625" style="7" customWidth="1"/>
    <col min="13317" max="13317" width="43.8984375" style="7" customWidth="1"/>
    <col min="13318" max="13568" width="8.796875" style="7"/>
    <col min="13569" max="13569" width="2.59765625" style="7" customWidth="1"/>
    <col min="13570" max="13570" width="7.59765625" style="7" customWidth="1"/>
    <col min="13571" max="13572" width="16.59765625" style="7" customWidth="1"/>
    <col min="13573" max="13573" width="43.8984375" style="7" customWidth="1"/>
    <col min="13574" max="13824" width="8.796875" style="7"/>
    <col min="13825" max="13825" width="2.59765625" style="7" customWidth="1"/>
    <col min="13826" max="13826" width="7.59765625" style="7" customWidth="1"/>
    <col min="13827" max="13828" width="16.59765625" style="7" customWidth="1"/>
    <col min="13829" max="13829" width="43.8984375" style="7" customWidth="1"/>
    <col min="13830" max="14080" width="8.796875" style="7"/>
    <col min="14081" max="14081" width="2.59765625" style="7" customWidth="1"/>
    <col min="14082" max="14082" width="7.59765625" style="7" customWidth="1"/>
    <col min="14083" max="14084" width="16.59765625" style="7" customWidth="1"/>
    <col min="14085" max="14085" width="43.8984375" style="7" customWidth="1"/>
    <col min="14086" max="14336" width="8.796875" style="7"/>
    <col min="14337" max="14337" width="2.59765625" style="7" customWidth="1"/>
    <col min="14338" max="14338" width="7.59765625" style="7" customWidth="1"/>
    <col min="14339" max="14340" width="16.59765625" style="7" customWidth="1"/>
    <col min="14341" max="14341" width="43.8984375" style="7" customWidth="1"/>
    <col min="14342" max="14592" width="8.796875" style="7"/>
    <col min="14593" max="14593" width="2.59765625" style="7" customWidth="1"/>
    <col min="14594" max="14594" width="7.59765625" style="7" customWidth="1"/>
    <col min="14595" max="14596" width="16.59765625" style="7" customWidth="1"/>
    <col min="14597" max="14597" width="43.8984375" style="7" customWidth="1"/>
    <col min="14598" max="14848" width="8.796875" style="7"/>
    <col min="14849" max="14849" width="2.59765625" style="7" customWidth="1"/>
    <col min="14850" max="14850" width="7.59765625" style="7" customWidth="1"/>
    <col min="14851" max="14852" width="16.59765625" style="7" customWidth="1"/>
    <col min="14853" max="14853" width="43.8984375" style="7" customWidth="1"/>
    <col min="14854" max="15104" width="8.796875" style="7"/>
    <col min="15105" max="15105" width="2.59765625" style="7" customWidth="1"/>
    <col min="15106" max="15106" width="7.59765625" style="7" customWidth="1"/>
    <col min="15107" max="15108" width="16.59765625" style="7" customWidth="1"/>
    <col min="15109" max="15109" width="43.8984375" style="7" customWidth="1"/>
    <col min="15110" max="15360" width="8.796875" style="7"/>
    <col min="15361" max="15361" width="2.59765625" style="7" customWidth="1"/>
    <col min="15362" max="15362" width="7.59765625" style="7" customWidth="1"/>
    <col min="15363" max="15364" width="16.59765625" style="7" customWidth="1"/>
    <col min="15365" max="15365" width="43.8984375" style="7" customWidth="1"/>
    <col min="15366" max="15616" width="8.796875" style="7"/>
    <col min="15617" max="15617" width="2.59765625" style="7" customWidth="1"/>
    <col min="15618" max="15618" width="7.59765625" style="7" customWidth="1"/>
    <col min="15619" max="15620" width="16.59765625" style="7" customWidth="1"/>
    <col min="15621" max="15621" width="43.8984375" style="7" customWidth="1"/>
    <col min="15622" max="15872" width="8.796875" style="7"/>
    <col min="15873" max="15873" width="2.59765625" style="7" customWidth="1"/>
    <col min="15874" max="15874" width="7.59765625" style="7" customWidth="1"/>
    <col min="15875" max="15876" width="16.59765625" style="7" customWidth="1"/>
    <col min="15877" max="15877" width="43.8984375" style="7" customWidth="1"/>
    <col min="15878" max="16128" width="8.796875" style="7"/>
    <col min="16129" max="16129" width="2.59765625" style="7" customWidth="1"/>
    <col min="16130" max="16130" width="7.59765625" style="7" customWidth="1"/>
    <col min="16131" max="16132" width="16.59765625" style="7" customWidth="1"/>
    <col min="16133" max="16133" width="43.8984375" style="7" customWidth="1"/>
    <col min="16134" max="16384" width="8.796875" style="7"/>
  </cols>
  <sheetData>
    <row r="1" spans="2:5" ht="24" customHeight="1">
      <c r="B1" s="78" t="s">
        <v>61</v>
      </c>
      <c r="C1" s="78"/>
      <c r="D1" s="78"/>
      <c r="E1" s="78"/>
    </row>
    <row r="2" spans="2:5" ht="21.6" customHeight="1">
      <c r="B2" s="79"/>
      <c r="C2" s="79"/>
      <c r="D2" s="79"/>
      <c r="E2" s="79"/>
    </row>
    <row r="3" spans="2:5" ht="14.4">
      <c r="B3" s="62" t="s">
        <v>102</v>
      </c>
      <c r="E3" s="8"/>
    </row>
    <row r="4" spans="2:5" ht="27" customHeight="1">
      <c r="B4" s="9" t="s">
        <v>62</v>
      </c>
      <c r="C4" s="9" t="s">
        <v>63</v>
      </c>
      <c r="D4" s="9" t="s">
        <v>64</v>
      </c>
      <c r="E4" s="9" t="s">
        <v>68</v>
      </c>
    </row>
    <row r="5" spans="2:5" ht="29.25" customHeight="1">
      <c r="B5" s="13" t="s">
        <v>71</v>
      </c>
      <c r="C5" s="10" t="s">
        <v>67</v>
      </c>
      <c r="D5" s="10" t="s">
        <v>67</v>
      </c>
      <c r="E5" s="11" t="s">
        <v>65</v>
      </c>
    </row>
    <row r="6" spans="2:5" ht="29.25" customHeight="1">
      <c r="B6" s="13" t="s">
        <v>82</v>
      </c>
      <c r="C6" s="12" t="s">
        <v>84</v>
      </c>
      <c r="D6" s="12" t="s">
        <v>85</v>
      </c>
      <c r="E6" s="55" t="s">
        <v>83</v>
      </c>
    </row>
    <row r="7" spans="2:5" ht="29.25" customHeight="1">
      <c r="B7" s="13" t="s">
        <v>87</v>
      </c>
      <c r="C7" s="10" t="s">
        <v>91</v>
      </c>
      <c r="D7" s="10" t="s">
        <v>91</v>
      </c>
      <c r="E7" s="11" t="s">
        <v>90</v>
      </c>
    </row>
    <row r="8" spans="2:5" ht="29.25" customHeight="1">
      <c r="B8" s="13" t="s">
        <v>93</v>
      </c>
      <c r="C8" s="10">
        <v>45586</v>
      </c>
      <c r="D8" s="10">
        <v>45586</v>
      </c>
      <c r="E8" s="11" t="s">
        <v>94</v>
      </c>
    </row>
    <row r="9" spans="2:5" ht="40.799999999999997" customHeight="1">
      <c r="B9" s="13" t="s">
        <v>98</v>
      </c>
      <c r="C9" s="10" t="s">
        <v>100</v>
      </c>
      <c r="D9" s="10" t="s">
        <v>100</v>
      </c>
      <c r="E9" s="11" t="s">
        <v>99</v>
      </c>
    </row>
    <row r="10" spans="2:5" ht="29.25" customHeight="1">
      <c r="B10" s="13" t="s">
        <v>105</v>
      </c>
      <c r="C10" s="10" t="s">
        <v>107</v>
      </c>
      <c r="D10" s="10" t="s">
        <v>108</v>
      </c>
      <c r="E10" s="11" t="s">
        <v>106</v>
      </c>
    </row>
    <row r="11" spans="2:5" ht="29.25" customHeight="1">
      <c r="B11" s="9"/>
      <c r="C11" s="61" t="s">
        <v>101</v>
      </c>
      <c r="D11" s="12"/>
      <c r="E11" s="11"/>
    </row>
    <row r="12" spans="2:5" ht="29.25" customHeight="1">
      <c r="B12" s="9"/>
      <c r="C12" s="12"/>
      <c r="D12" s="12"/>
      <c r="E12" s="14"/>
    </row>
    <row r="13" spans="2:5" ht="29.25" customHeight="1">
      <c r="B13" s="9"/>
      <c r="C13" s="12"/>
      <c r="D13" s="12"/>
      <c r="E13" s="11"/>
    </row>
    <row r="14" spans="2:5" ht="29.25" customHeight="1">
      <c r="B14" s="9"/>
      <c r="C14" s="12"/>
      <c r="D14" s="12"/>
      <c r="E14" s="11"/>
    </row>
    <row r="15" spans="2:5" ht="29.25" customHeight="1">
      <c r="B15" s="9"/>
      <c r="C15" s="12"/>
      <c r="D15" s="12"/>
      <c r="E15" s="11"/>
    </row>
    <row r="16" spans="2:5" ht="29.25" customHeight="1">
      <c r="B16" s="9"/>
      <c r="C16" s="12"/>
      <c r="D16" s="12"/>
      <c r="E16" s="13"/>
    </row>
    <row r="17" spans="2:5" ht="29.25" customHeight="1">
      <c r="B17" s="9"/>
      <c r="C17" s="12"/>
      <c r="D17" s="12"/>
      <c r="E17" s="13"/>
    </row>
    <row r="18" spans="2:5" ht="29.25" customHeight="1">
      <c r="B18" s="9"/>
      <c r="C18" s="12"/>
      <c r="D18" s="12"/>
      <c r="E18" s="11"/>
    </row>
    <row r="19" spans="2:5" ht="29.25" customHeight="1">
      <c r="B19" s="9"/>
      <c r="C19" s="12"/>
      <c r="D19" s="12"/>
      <c r="E19" s="11"/>
    </row>
    <row r="20" spans="2:5" ht="29.25" customHeight="1">
      <c r="B20" s="9"/>
      <c r="C20" s="12"/>
      <c r="D20" s="12"/>
      <c r="E20" s="11"/>
    </row>
    <row r="21" spans="2:5" ht="29.25" customHeight="1">
      <c r="B21" s="9"/>
      <c r="C21" s="12"/>
      <c r="D21" s="12"/>
      <c r="E21" s="11"/>
    </row>
    <row r="22" spans="2:5" ht="29.25" customHeight="1">
      <c r="B22" s="9"/>
      <c r="C22" s="12"/>
      <c r="D22" s="12"/>
      <c r="E22" s="13"/>
    </row>
    <row r="23" spans="2:5" ht="29.25" customHeight="1">
      <c r="B23" s="15"/>
      <c r="C23" s="16"/>
      <c r="D23" s="16"/>
      <c r="E23" s="17"/>
    </row>
    <row r="24" spans="2:5" ht="29.25" customHeight="1">
      <c r="B24" s="15"/>
      <c r="C24" s="16"/>
      <c r="D24" s="16"/>
      <c r="E24" s="17"/>
    </row>
    <row r="25" spans="2:5" ht="27" customHeight="1">
      <c r="B25" s="80" t="s">
        <v>66</v>
      </c>
      <c r="C25" s="80"/>
    </row>
    <row r="26" spans="2:5" ht="27" customHeight="1">
      <c r="B26" s="18"/>
    </row>
    <row r="27" spans="2:5" ht="27" customHeight="1">
      <c r="B27" s="18"/>
    </row>
    <row r="28" spans="2:5" ht="27" customHeight="1">
      <c r="B28" s="19"/>
      <c r="C28" s="19"/>
    </row>
    <row r="29" spans="2:5" ht="27" customHeight="1"/>
    <row r="30" spans="2:5" ht="27" customHeight="1"/>
    <row r="31" spans="2:5" ht="27" customHeight="1"/>
    <row r="32" spans="2:5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</sheetData>
  <mergeCells count="3">
    <mergeCell ref="B1:E1"/>
    <mergeCell ref="B2:E2"/>
    <mergeCell ref="B25:C25"/>
  </mergeCells>
  <phoneticPr fontId="1"/>
  <pageMargins left="0.7" right="0.1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A9F6-0DD3-45D5-BD7E-6FAA5AAD8D8D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線量率RATE</vt:lpstr>
      <vt:lpstr>積算INTEG </vt:lpstr>
      <vt:lpstr>改訂履歴</vt:lpstr>
      <vt:lpstr>Sheet1</vt:lpstr>
      <vt:lpstr>改訂履歴!Print_Area</vt:lpstr>
      <vt:lpstr>'積算INTEG '!Print_Area</vt:lpstr>
      <vt:lpstr>線量率RATE!Print_Area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RIC-229</dc:creator>
  <cp:lastModifiedBy>RIC-229</cp:lastModifiedBy>
  <cp:lastPrinted>2025-03-11T07:24:16Z</cp:lastPrinted>
  <dcterms:created xsi:type="dcterms:W3CDTF">2023-12-19T04:06:23Z</dcterms:created>
  <dcterms:modified xsi:type="dcterms:W3CDTF">2025-03-13T06:47:06Z</dcterms:modified>
</cp:coreProperties>
</file>