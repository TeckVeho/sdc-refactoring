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75" windowWidth="15330" windowHeight="4425" activeTab="1"/>
  </bookViews>
  <sheets>
    <sheet name="使用方法" sheetId="7" r:id="rId1"/>
    <sheet name="測定値" sheetId="3" r:id="rId2"/>
    <sheet name="報告書" sheetId="1" r:id="rId3"/>
  </sheets>
  <definedNames>
    <definedName name="Bach">測定値!$A$5</definedName>
    <definedName name="DataTB">測定値!$G$5:$K$544</definedName>
    <definedName name="Debug">測定値!$A$1</definedName>
    <definedName name="Dose">測定値!$E$3</definedName>
    <definedName name="Honnsuu">測定値!$D$3</definedName>
    <definedName name="HyoujiKeta">測定値!$O$2</definedName>
    <definedName name="Jyogen">測定値!$J$3</definedName>
    <definedName name="Kagenn">測定値!$I$3</definedName>
    <definedName name="KaisyaCD">測定値!$O$4</definedName>
    <definedName name="KeiCode">測定値!$S$6:$S$7</definedName>
    <definedName name="keicord">測定値!$H$3</definedName>
    <definedName name="keicordS">測定値!$U$6</definedName>
    <definedName name="keisuu">測定値!$P$14:$AI$30</definedName>
    <definedName name="KirokuFolder">測定値!$O$1</definedName>
    <definedName name="Nenndo">測定値!$O$3</definedName>
    <definedName name="_xlnm.Print_Area" localSheetId="1">測定値!$A$5:$J$40</definedName>
    <definedName name="_xlnm.Print_Titles" localSheetId="1">測定値!$1:$4</definedName>
    <definedName name="_xlnm.Print_Titles" localSheetId="2">報告書!$2:$5</definedName>
    <definedName name="ReadFlg">測定値!$K$3</definedName>
    <definedName name="RicNo">測定値!$E$5</definedName>
    <definedName name="SenKind">測定値!$G$3</definedName>
    <definedName name="SenKindTB">測定値!$Q$6:$Q$8</definedName>
    <definedName name="senkusyu">測定値!$S$5:$S$6</definedName>
    <definedName name="SikiPara">測定値!$X$6:$AD$10</definedName>
    <definedName name="SikiTep">測定値!$X$6:$AD$8</definedName>
    <definedName name="SokuKiki">測定値!$F$3</definedName>
    <definedName name="UkeHed">測定値!$B$3:$K$3</definedName>
    <definedName name="Uno">測定値!$B$3</definedName>
  </definedNames>
  <calcPr calcId="145621"/>
</workbook>
</file>

<file path=xl/calcChain.xml><?xml version="1.0" encoding="utf-8"?>
<calcChain xmlns="http://schemas.openxmlformats.org/spreadsheetml/2006/main">
  <c r="D5" i="1" l="1"/>
  <c r="O3" i="3" l="1"/>
  <c r="F6" i="3" l="1"/>
  <c r="A23" i="3"/>
  <c r="A41" i="3" s="1"/>
  <c r="A59" i="3" s="1"/>
  <c r="A77" i="3" s="1"/>
  <c r="A95" i="3" s="1"/>
  <c r="A113" i="3" s="1"/>
  <c r="A131" i="3" s="1"/>
  <c r="A149" i="3" s="1"/>
  <c r="A167" i="3" s="1"/>
  <c r="A185" i="3" s="1"/>
  <c r="A203" i="3" s="1"/>
  <c r="A221" i="3" s="1"/>
  <c r="A239" i="3" s="1"/>
  <c r="A257" i="3" s="1"/>
  <c r="A275" i="3" s="1"/>
  <c r="A293" i="3" s="1"/>
  <c r="A311" i="3" s="1"/>
  <c r="A329" i="3" s="1"/>
  <c r="A347" i="3" s="1"/>
  <c r="A365" i="3" s="1"/>
  <c r="A383" i="3" s="1"/>
  <c r="A401" i="3" s="1"/>
  <c r="A419" i="3" s="1"/>
  <c r="A437" i="3" s="1"/>
  <c r="A455" i="3" s="1"/>
  <c r="A473" i="3" s="1"/>
  <c r="A491" i="3" s="1"/>
  <c r="A509" i="3" s="1"/>
  <c r="A527" i="3" s="1"/>
  <c r="D10" i="1" l="1"/>
  <c r="E11" i="3"/>
  <c r="D19" i="1" s="1"/>
  <c r="F5" i="3"/>
  <c r="F7" i="3"/>
  <c r="F10" i="3"/>
  <c r="F8" i="3"/>
  <c r="F9" i="3"/>
  <c r="D23" i="1" l="1"/>
  <c r="D16" i="1"/>
  <c r="D24" i="1"/>
  <c r="D22" i="1"/>
  <c r="D15" i="1"/>
  <c r="D21" i="1"/>
  <c r="D14" i="1"/>
  <c r="D20" i="1"/>
  <c r="F12" i="3"/>
  <c r="F15" i="3"/>
  <c r="F16" i="3"/>
  <c r="F13" i="3"/>
  <c r="E17" i="3"/>
  <c r="F17" i="3" s="1"/>
  <c r="F14" i="3"/>
  <c r="F11" i="3"/>
  <c r="D13" i="1"/>
  <c r="H15" i="1"/>
  <c r="E21" i="1"/>
  <c r="I23" i="1"/>
  <c r="G29" i="1"/>
  <c r="E32" i="1"/>
  <c r="G34" i="1"/>
  <c r="I42" i="1"/>
  <c r="E44" i="1"/>
  <c r="G45" i="1"/>
  <c r="I46" i="1"/>
  <c r="G47" i="1"/>
  <c r="E51" i="1"/>
  <c r="I51" i="1"/>
  <c r="G52" i="1"/>
  <c r="E53" i="1"/>
  <c r="I53" i="1"/>
  <c r="G54" i="1"/>
  <c r="E55" i="1"/>
  <c r="I55" i="1"/>
  <c r="G56" i="1"/>
  <c r="E60" i="1"/>
  <c r="I60" i="1"/>
  <c r="G61" i="1"/>
  <c r="E62" i="1"/>
  <c r="I62" i="1"/>
  <c r="G63" i="1"/>
  <c r="E64" i="1"/>
  <c r="I64" i="1"/>
  <c r="G65" i="1"/>
  <c r="E73" i="1"/>
  <c r="I73" i="1"/>
  <c r="G74" i="1"/>
  <c r="E75" i="1"/>
  <c r="I75" i="1"/>
  <c r="G76" i="1"/>
  <c r="E77" i="1"/>
  <c r="I77" i="1"/>
  <c r="G78" i="1"/>
  <c r="E82" i="1"/>
  <c r="I82" i="1"/>
  <c r="G83" i="1"/>
  <c r="E84" i="1"/>
  <c r="I84" i="1"/>
  <c r="G85" i="1"/>
  <c r="E86" i="1"/>
  <c r="I86" i="1"/>
  <c r="G11" i="1"/>
  <c r="H13" i="1"/>
  <c r="F16" i="1"/>
  <c r="I21" i="1"/>
  <c r="G24" i="1"/>
  <c r="E30" i="1"/>
  <c r="I32" i="1"/>
  <c r="I34" i="1"/>
  <c r="E43" i="1"/>
  <c r="G44" i="1"/>
  <c r="I45" i="1"/>
  <c r="D47" i="1"/>
  <c r="H47" i="1"/>
  <c r="F51" i="1"/>
  <c r="D52" i="1"/>
  <c r="H52" i="1"/>
  <c r="F53" i="1"/>
  <c r="D54" i="1"/>
  <c r="H54" i="1"/>
  <c r="F55" i="1"/>
  <c r="D56" i="1"/>
  <c r="H56" i="1"/>
  <c r="F60" i="1"/>
  <c r="D61" i="1"/>
  <c r="H61" i="1"/>
  <c r="F62" i="1"/>
  <c r="D63" i="1"/>
  <c r="H63" i="1"/>
  <c r="F64" i="1"/>
  <c r="D65" i="1"/>
  <c r="H65" i="1"/>
  <c r="F73" i="1"/>
  <c r="D74" i="1"/>
  <c r="H74" i="1"/>
  <c r="F75" i="1"/>
  <c r="D76" i="1"/>
  <c r="H76" i="1"/>
  <c r="F77" i="1"/>
  <c r="D78" i="1"/>
  <c r="H78" i="1"/>
  <c r="F82" i="1"/>
  <c r="D83" i="1"/>
  <c r="H83" i="1"/>
  <c r="F84" i="1"/>
  <c r="D85" i="1"/>
  <c r="H85" i="1"/>
  <c r="F86" i="1"/>
  <c r="D87" i="1"/>
  <c r="H87" i="1"/>
  <c r="F91" i="1"/>
  <c r="D92" i="1"/>
  <c r="H92" i="1"/>
  <c r="F93" i="1"/>
  <c r="D94" i="1"/>
  <c r="H94" i="1"/>
  <c r="F95" i="1"/>
  <c r="D96" i="1"/>
  <c r="H96" i="1"/>
  <c r="F104" i="1"/>
  <c r="D105" i="1"/>
  <c r="H105" i="1"/>
  <c r="F106" i="1"/>
  <c r="D107" i="1"/>
  <c r="H107" i="1"/>
  <c r="F108" i="1"/>
  <c r="D109" i="1"/>
  <c r="H109" i="1"/>
  <c r="F113" i="1"/>
  <c r="D114" i="1"/>
  <c r="H114" i="1"/>
  <c r="F115" i="1"/>
  <c r="D116" i="1"/>
  <c r="H116" i="1"/>
  <c r="F117" i="1"/>
  <c r="D118" i="1"/>
  <c r="H118" i="1"/>
  <c r="F122" i="1"/>
  <c r="D123" i="1"/>
  <c r="H123" i="1"/>
  <c r="F124" i="1"/>
  <c r="D125" i="1"/>
  <c r="H125" i="1"/>
  <c r="F126" i="1"/>
  <c r="D127" i="1"/>
  <c r="H127" i="1"/>
  <c r="E25" i="1"/>
  <c r="G33" i="1"/>
  <c r="G43" i="1"/>
  <c r="E46" i="1"/>
  <c r="I47" i="1"/>
  <c r="E52" i="1"/>
  <c r="G53" i="1"/>
  <c r="I54" i="1"/>
  <c r="E56" i="1"/>
  <c r="G60" i="1"/>
  <c r="I61" i="1"/>
  <c r="E63" i="1"/>
  <c r="G64" i="1"/>
  <c r="I65" i="1"/>
  <c r="E74" i="1"/>
  <c r="G75" i="1"/>
  <c r="I76" i="1"/>
  <c r="E78" i="1"/>
  <c r="G82" i="1"/>
  <c r="I83" i="1"/>
  <c r="E85" i="1"/>
  <c r="G86" i="1"/>
  <c r="G87" i="1"/>
  <c r="G91" i="1"/>
  <c r="F92" i="1"/>
  <c r="E93" i="1"/>
  <c r="E94" i="1"/>
  <c r="D95" i="1"/>
  <c r="I95" i="1"/>
  <c r="I96" i="1"/>
  <c r="H104" i="1"/>
  <c r="G105" i="1"/>
  <c r="G106" i="1"/>
  <c r="F107" i="1"/>
  <c r="E108" i="1"/>
  <c r="E109" i="1"/>
  <c r="D113" i="1"/>
  <c r="I113" i="1"/>
  <c r="I114" i="1"/>
  <c r="H115" i="1"/>
  <c r="G116" i="1"/>
  <c r="G117" i="1"/>
  <c r="F118" i="1"/>
  <c r="E122" i="1"/>
  <c r="E123" i="1"/>
  <c r="D124" i="1"/>
  <c r="I124" i="1"/>
  <c r="I125" i="1"/>
  <c r="H126" i="1"/>
  <c r="G127" i="1"/>
  <c r="F135" i="1"/>
  <c r="D136" i="1"/>
  <c r="H136" i="1"/>
  <c r="F137" i="1"/>
  <c r="D138" i="1"/>
  <c r="H138" i="1"/>
  <c r="F139" i="1"/>
  <c r="D140" i="1"/>
  <c r="H140" i="1"/>
  <c r="F144" i="1"/>
  <c r="D145" i="1"/>
  <c r="H145" i="1"/>
  <c r="F146" i="1"/>
  <c r="D147" i="1"/>
  <c r="H147" i="1"/>
  <c r="F148" i="1"/>
  <c r="D149" i="1"/>
  <c r="H149" i="1"/>
  <c r="F153" i="1"/>
  <c r="D154" i="1"/>
  <c r="H154" i="1"/>
  <c r="F155" i="1"/>
  <c r="D156" i="1"/>
  <c r="H156" i="1"/>
  <c r="F157" i="1"/>
  <c r="D158" i="1"/>
  <c r="H158" i="1"/>
  <c r="F12" i="1"/>
  <c r="H20" i="1"/>
  <c r="I25" i="1"/>
  <c r="E34" i="1"/>
  <c r="I43" i="1"/>
  <c r="G46" i="1"/>
  <c r="D51" i="1"/>
  <c r="F52" i="1"/>
  <c r="H53" i="1"/>
  <c r="D55" i="1"/>
  <c r="F56" i="1"/>
  <c r="H60" i="1"/>
  <c r="D62" i="1"/>
  <c r="F63" i="1"/>
  <c r="H64" i="1"/>
  <c r="D73" i="1"/>
  <c r="F74" i="1"/>
  <c r="H75" i="1"/>
  <c r="D77" i="1"/>
  <c r="F78" i="1"/>
  <c r="H82" i="1"/>
  <c r="D84" i="1"/>
  <c r="F85" i="1"/>
  <c r="H86" i="1"/>
  <c r="I87" i="1"/>
  <c r="H91" i="1"/>
  <c r="G92" i="1"/>
  <c r="G93" i="1"/>
  <c r="F94" i="1"/>
  <c r="E95" i="1"/>
  <c r="E96" i="1"/>
  <c r="D104" i="1"/>
  <c r="I104" i="1"/>
  <c r="I105" i="1"/>
  <c r="H106" i="1"/>
  <c r="G107" i="1"/>
  <c r="G108" i="1"/>
  <c r="F109" i="1"/>
  <c r="E113" i="1"/>
  <c r="E114" i="1"/>
  <c r="D115" i="1"/>
  <c r="I115" i="1"/>
  <c r="I116" i="1"/>
  <c r="H117" i="1"/>
  <c r="G118" i="1"/>
  <c r="G122" i="1"/>
  <c r="F123" i="1"/>
  <c r="E124" i="1"/>
  <c r="E125" i="1"/>
  <c r="D126" i="1"/>
  <c r="I126" i="1"/>
  <c r="I127" i="1"/>
  <c r="G135" i="1"/>
  <c r="E136" i="1"/>
  <c r="I136" i="1"/>
  <c r="G137" i="1"/>
  <c r="E138" i="1"/>
  <c r="I138" i="1"/>
  <c r="G139" i="1"/>
  <c r="E140" i="1"/>
  <c r="I140" i="1"/>
  <c r="G144" i="1"/>
  <c r="E145" i="1"/>
  <c r="I145" i="1"/>
  <c r="G146" i="1"/>
  <c r="E147" i="1"/>
  <c r="I147" i="1"/>
  <c r="G148" i="1"/>
  <c r="E149" i="1"/>
  <c r="I149" i="1"/>
  <c r="G153" i="1"/>
  <c r="E154" i="1"/>
  <c r="I154" i="1"/>
  <c r="G155" i="1"/>
  <c r="E156" i="1"/>
  <c r="I156" i="1"/>
  <c r="G157" i="1"/>
  <c r="E158" i="1"/>
  <c r="I158" i="1"/>
  <c r="F14" i="1"/>
  <c r="G22" i="1"/>
  <c r="I30" i="1"/>
  <c r="E42" i="1"/>
  <c r="I44" i="1"/>
  <c r="E47" i="1"/>
  <c r="G51" i="1"/>
  <c r="I52" i="1"/>
  <c r="E54" i="1"/>
  <c r="G55" i="1"/>
  <c r="I56" i="1"/>
  <c r="E61" i="1"/>
  <c r="G62" i="1"/>
  <c r="I63" i="1"/>
  <c r="E65" i="1"/>
  <c r="G73" i="1"/>
  <c r="I74" i="1"/>
  <c r="E76" i="1"/>
  <c r="G77" i="1"/>
  <c r="I78" i="1"/>
  <c r="E83" i="1"/>
  <c r="G84" i="1"/>
  <c r="I85" i="1"/>
  <c r="E87" i="1"/>
  <c r="D91" i="1"/>
  <c r="I91" i="1"/>
  <c r="I92" i="1"/>
  <c r="H93" i="1"/>
  <c r="G94" i="1"/>
  <c r="G95" i="1"/>
  <c r="F96" i="1"/>
  <c r="E104" i="1"/>
  <c r="E105" i="1"/>
  <c r="D106" i="1"/>
  <c r="I106" i="1"/>
  <c r="I107" i="1"/>
  <c r="H108" i="1"/>
  <c r="G109" i="1"/>
  <c r="G113" i="1"/>
  <c r="F114" i="1"/>
  <c r="E115" i="1"/>
  <c r="E116" i="1"/>
  <c r="D117" i="1"/>
  <c r="I117" i="1"/>
  <c r="I118" i="1"/>
  <c r="H122" i="1"/>
  <c r="G123" i="1"/>
  <c r="G124" i="1"/>
  <c r="F125" i="1"/>
  <c r="E126" i="1"/>
  <c r="E127" i="1"/>
  <c r="D135" i="1"/>
  <c r="H135" i="1"/>
  <c r="F136" i="1"/>
  <c r="D137" i="1"/>
  <c r="H137" i="1"/>
  <c r="F138" i="1"/>
  <c r="D139" i="1"/>
  <c r="H139" i="1"/>
  <c r="F140" i="1"/>
  <c r="D144" i="1"/>
  <c r="H144" i="1"/>
  <c r="F145" i="1"/>
  <c r="D146" i="1"/>
  <c r="H146" i="1"/>
  <c r="F147" i="1"/>
  <c r="D148" i="1"/>
  <c r="H148" i="1"/>
  <c r="F149" i="1"/>
  <c r="D153" i="1"/>
  <c r="H153" i="1"/>
  <c r="F154" i="1"/>
  <c r="D155" i="1"/>
  <c r="H155" i="1"/>
  <c r="F156" i="1"/>
  <c r="D157" i="1"/>
  <c r="H157" i="1"/>
  <c r="F158" i="1"/>
  <c r="E23" i="1"/>
  <c r="F47" i="1"/>
  <c r="H55" i="1"/>
  <c r="D64" i="1"/>
  <c r="F76" i="1"/>
  <c r="H84" i="1"/>
  <c r="E92" i="1"/>
  <c r="H95" i="1"/>
  <c r="E106" i="1"/>
  <c r="I109" i="1"/>
  <c r="F116" i="1"/>
  <c r="I122" i="1"/>
  <c r="G126" i="1"/>
  <c r="G136" i="1"/>
  <c r="E139" i="1"/>
  <c r="I144" i="1"/>
  <c r="G147" i="1"/>
  <c r="E153" i="1"/>
  <c r="I155" i="1"/>
  <c r="G158" i="1"/>
  <c r="G31" i="1"/>
  <c r="H51" i="1"/>
  <c r="D60" i="1"/>
  <c r="F65" i="1"/>
  <c r="H77" i="1"/>
  <c r="D86" i="1"/>
  <c r="D93" i="1"/>
  <c r="G96" i="1"/>
  <c r="E107" i="1"/>
  <c r="H113" i="1"/>
  <c r="E117" i="1"/>
  <c r="I123" i="1"/>
  <c r="F127" i="1"/>
  <c r="E137" i="1"/>
  <c r="I139" i="1"/>
  <c r="G145" i="1"/>
  <c r="E148" i="1"/>
  <c r="I153" i="1"/>
  <c r="G156" i="1"/>
  <c r="G42" i="1"/>
  <c r="D53" i="1"/>
  <c r="F61" i="1"/>
  <c r="H73" i="1"/>
  <c r="D82" i="1"/>
  <c r="F87" i="1"/>
  <c r="I93" i="1"/>
  <c r="G104" i="1"/>
  <c r="D108" i="1"/>
  <c r="G114" i="1"/>
  <c r="E118" i="1"/>
  <c r="H124" i="1"/>
  <c r="E135" i="1"/>
  <c r="I137" i="1"/>
  <c r="G140" i="1"/>
  <c r="E146" i="1"/>
  <c r="I148" i="1"/>
  <c r="G154" i="1"/>
  <c r="E157" i="1"/>
  <c r="E45" i="1"/>
  <c r="F54" i="1"/>
  <c r="H62" i="1"/>
  <c r="D75" i="1"/>
  <c r="F83" i="1"/>
  <c r="E91" i="1"/>
  <c r="I94" i="1"/>
  <c r="F105" i="1"/>
  <c r="I108" i="1"/>
  <c r="G115" i="1"/>
  <c r="D122" i="1"/>
  <c r="G125" i="1"/>
  <c r="I135" i="1"/>
  <c r="G138" i="1"/>
  <c r="E144" i="1"/>
  <c r="I146" i="1"/>
  <c r="G149" i="1"/>
  <c r="E155" i="1"/>
  <c r="I157" i="1"/>
  <c r="H16" i="1"/>
  <c r="F15" i="1"/>
  <c r="H12" i="1"/>
  <c r="D34" i="1"/>
  <c r="F33" i="1"/>
  <c r="H32" i="1"/>
  <c r="D32" i="1"/>
  <c r="F31" i="1"/>
  <c r="H30" i="1"/>
  <c r="D30" i="1"/>
  <c r="F29" i="1"/>
  <c r="H25" i="1"/>
  <c r="D25" i="1"/>
  <c r="F24" i="1"/>
  <c r="H23" i="1"/>
  <c r="F46" i="1"/>
  <c r="H45" i="1"/>
  <c r="D45" i="1"/>
  <c r="F44" i="1"/>
  <c r="H43" i="1"/>
  <c r="D43" i="1"/>
  <c r="F42" i="1"/>
  <c r="H34" i="1"/>
  <c r="I33" i="1"/>
  <c r="G32" i="1"/>
  <c r="E31" i="1"/>
  <c r="I29" i="1"/>
  <c r="G25" i="1"/>
  <c r="E24" i="1"/>
  <c r="I22" i="1"/>
  <c r="G21" i="1"/>
  <c r="F20" i="1"/>
  <c r="I11" i="1"/>
  <c r="H14" i="1"/>
  <c r="F13" i="1"/>
  <c r="H46" i="1"/>
  <c r="D46" i="1"/>
  <c r="F45" i="1"/>
  <c r="H44" i="1"/>
  <c r="D44" i="1"/>
  <c r="F43" i="1"/>
  <c r="H42" i="1"/>
  <c r="D42" i="1"/>
  <c r="F34" i="1"/>
  <c r="E33" i="1"/>
  <c r="I31" i="1"/>
  <c r="G30" i="1"/>
  <c r="E29" i="1"/>
  <c r="I24" i="1"/>
  <c r="G23" i="1"/>
  <c r="E22" i="1"/>
  <c r="E11" i="1"/>
  <c r="F21" i="1"/>
  <c r="F32" i="1"/>
  <c r="H29" i="1"/>
  <c r="I16" i="1"/>
  <c r="E14" i="1"/>
  <c r="F11" i="1"/>
  <c r="H31" i="1"/>
  <c r="D29" i="1"/>
  <c r="F23" i="1"/>
  <c r="H21" i="1"/>
  <c r="I20" i="1"/>
  <c r="G16" i="1"/>
  <c r="E15" i="1"/>
  <c r="I13" i="1"/>
  <c r="G12" i="1"/>
  <c r="D31" i="1"/>
  <c r="H33" i="1"/>
  <c r="F25" i="1"/>
  <c r="H22" i="1"/>
  <c r="G20" i="1"/>
  <c r="E16" i="1"/>
  <c r="I14" i="1"/>
  <c r="G13" i="1"/>
  <c r="E12" i="1"/>
  <c r="D33" i="1"/>
  <c r="F30" i="1"/>
  <c r="H24" i="1"/>
  <c r="F22" i="1"/>
  <c r="E20" i="1"/>
  <c r="I15" i="1"/>
  <c r="G14" i="1"/>
  <c r="E13" i="1"/>
  <c r="H11" i="1"/>
  <c r="G15" i="1"/>
  <c r="I12" i="1"/>
  <c r="F20" i="3" l="1"/>
  <c r="F18" i="3"/>
  <c r="F19" i="3"/>
  <c r="F22" i="3"/>
  <c r="F21" i="3"/>
  <c r="E23" i="3"/>
  <c r="F27" i="3" s="1"/>
  <c r="E35" i="1"/>
  <c r="E36" i="1"/>
  <c r="G27" i="1"/>
  <c r="G26" i="1"/>
  <c r="F35" i="1"/>
  <c r="F36" i="1"/>
  <c r="D128" i="1"/>
  <c r="D129" i="1"/>
  <c r="I159" i="1"/>
  <c r="I160" i="1"/>
  <c r="H119" i="1"/>
  <c r="H120" i="1"/>
  <c r="H57" i="1"/>
  <c r="H58" i="1"/>
  <c r="I27" i="1"/>
  <c r="I26" i="1"/>
  <c r="H40" i="1"/>
  <c r="H48" i="1"/>
  <c r="H39" i="1"/>
  <c r="H49" i="1"/>
  <c r="I18" i="1"/>
  <c r="I9" i="1"/>
  <c r="I8" i="1"/>
  <c r="I17" i="1"/>
  <c r="E97" i="1"/>
  <c r="E98" i="1"/>
  <c r="E133" i="1"/>
  <c r="E141" i="1"/>
  <c r="E142" i="1"/>
  <c r="E132" i="1"/>
  <c r="D88" i="1"/>
  <c r="D89" i="1"/>
  <c r="G40" i="1"/>
  <c r="G48" i="1"/>
  <c r="G49" i="1"/>
  <c r="G39" i="1"/>
  <c r="H159" i="1"/>
  <c r="H160" i="1"/>
  <c r="G119" i="1"/>
  <c r="G120" i="1"/>
  <c r="G57" i="1"/>
  <c r="G58" i="1"/>
  <c r="G151" i="1"/>
  <c r="G150" i="1"/>
  <c r="G128" i="1"/>
  <c r="G129" i="1"/>
  <c r="H98" i="1"/>
  <c r="H97" i="1"/>
  <c r="H26" i="1"/>
  <c r="H27" i="1"/>
  <c r="F141" i="1"/>
  <c r="F133" i="1"/>
  <c r="F142" i="1"/>
  <c r="F132" i="1"/>
  <c r="H101" i="1"/>
  <c r="H102" i="1"/>
  <c r="H110" i="1"/>
  <c r="H111" i="1"/>
  <c r="G88" i="1"/>
  <c r="G89" i="1"/>
  <c r="F120" i="1"/>
  <c r="F119" i="1"/>
  <c r="F71" i="1"/>
  <c r="F79" i="1"/>
  <c r="F80" i="1"/>
  <c r="F70" i="1"/>
  <c r="E79" i="1"/>
  <c r="E80" i="1"/>
  <c r="E70" i="1"/>
  <c r="E71" i="1"/>
  <c r="I66" i="1"/>
  <c r="I67" i="1"/>
  <c r="H9" i="1"/>
  <c r="H17" i="1"/>
  <c r="H18" i="1"/>
  <c r="H8" i="1"/>
  <c r="H35" i="1"/>
  <c r="H36" i="1"/>
  <c r="I36" i="1"/>
  <c r="I35" i="1"/>
  <c r="D40" i="1"/>
  <c r="D49" i="1"/>
  <c r="D48" i="1"/>
  <c r="D39" i="1"/>
  <c r="F39" i="1"/>
  <c r="F40" i="1"/>
  <c r="F49" i="1"/>
  <c r="F48" i="1"/>
  <c r="F9" i="1"/>
  <c r="F17" i="1"/>
  <c r="F18" i="1"/>
  <c r="F8" i="1"/>
  <c r="F10" i="1"/>
  <c r="G10" i="1" s="1"/>
  <c r="E8" i="1"/>
  <c r="E10" i="1"/>
  <c r="E17" i="1"/>
  <c r="E9" i="1"/>
  <c r="E18" i="1"/>
  <c r="F26" i="1"/>
  <c r="F27" i="1"/>
  <c r="I141" i="1"/>
  <c r="I142" i="1"/>
  <c r="I132" i="1"/>
  <c r="I133" i="1"/>
  <c r="G110" i="1"/>
  <c r="G111" i="1"/>
  <c r="G101" i="1"/>
  <c r="G102" i="1"/>
  <c r="H80" i="1"/>
  <c r="H70" i="1"/>
  <c r="H71" i="1"/>
  <c r="H79" i="1"/>
  <c r="I150" i="1"/>
  <c r="I151" i="1"/>
  <c r="I129" i="1"/>
  <c r="I128" i="1"/>
  <c r="D160" i="1"/>
  <c r="D159" i="1"/>
  <c r="H151" i="1"/>
  <c r="H150" i="1"/>
  <c r="H128" i="1"/>
  <c r="H129" i="1"/>
  <c r="I97" i="1"/>
  <c r="I98" i="1"/>
  <c r="G141" i="1"/>
  <c r="G142" i="1"/>
  <c r="G132" i="1"/>
  <c r="G133" i="1"/>
  <c r="I111" i="1"/>
  <c r="I101" i="1"/>
  <c r="I102" i="1"/>
  <c r="I110" i="1"/>
  <c r="H89" i="1"/>
  <c r="H88" i="1"/>
  <c r="I119" i="1"/>
  <c r="I120" i="1"/>
  <c r="G66" i="1"/>
  <c r="G67" i="1"/>
  <c r="F102" i="1"/>
  <c r="F110" i="1"/>
  <c r="F101" i="1"/>
  <c r="F111" i="1"/>
  <c r="F67" i="1"/>
  <c r="F66" i="1"/>
  <c r="E67" i="1"/>
  <c r="E66" i="1"/>
  <c r="I58" i="1"/>
  <c r="I57" i="1"/>
  <c r="E26" i="1"/>
  <c r="E27" i="1"/>
  <c r="E19" i="1"/>
  <c r="E28" i="1" s="1"/>
  <c r="D26" i="1"/>
  <c r="D27" i="1"/>
  <c r="D66" i="1"/>
  <c r="D67" i="1"/>
  <c r="D151" i="1"/>
  <c r="D150" i="1"/>
  <c r="H132" i="1"/>
  <c r="H133" i="1"/>
  <c r="H141" i="1"/>
  <c r="H142" i="1"/>
  <c r="D97" i="1"/>
  <c r="D98" i="1"/>
  <c r="D111" i="1"/>
  <c r="D110" i="1"/>
  <c r="D102" i="1"/>
  <c r="D101" i="1"/>
  <c r="D70" i="1"/>
  <c r="D80" i="1"/>
  <c r="D71" i="1"/>
  <c r="D79" i="1"/>
  <c r="H66" i="1"/>
  <c r="H67" i="1"/>
  <c r="F159" i="1"/>
  <c r="F160" i="1"/>
  <c r="D119" i="1"/>
  <c r="D120" i="1"/>
  <c r="F98" i="1"/>
  <c r="F97" i="1"/>
  <c r="F58" i="1"/>
  <c r="F57" i="1"/>
  <c r="I88" i="1"/>
  <c r="I89" i="1"/>
  <c r="E57" i="1"/>
  <c r="E58" i="1"/>
  <c r="G35" i="1"/>
  <c r="G36" i="1"/>
  <c r="D36" i="1"/>
  <c r="D35" i="1"/>
  <c r="D28" i="1"/>
  <c r="E150" i="1"/>
  <c r="E151" i="1"/>
  <c r="E159" i="1"/>
  <c r="E160" i="1"/>
  <c r="D142" i="1"/>
  <c r="D132" i="1"/>
  <c r="D133" i="1"/>
  <c r="D141" i="1"/>
  <c r="E110" i="1"/>
  <c r="E111" i="1"/>
  <c r="E101" i="1"/>
  <c r="E102" i="1"/>
  <c r="G80" i="1"/>
  <c r="G70" i="1"/>
  <c r="G71" i="1"/>
  <c r="G79" i="1"/>
  <c r="E49" i="1"/>
  <c r="E39" i="1"/>
  <c r="E40" i="1"/>
  <c r="E48" i="1"/>
  <c r="G159" i="1"/>
  <c r="G160" i="1"/>
  <c r="E120" i="1"/>
  <c r="E119" i="1"/>
  <c r="D57" i="1"/>
  <c r="D58" i="1"/>
  <c r="F150" i="1"/>
  <c r="F151" i="1"/>
  <c r="E128" i="1"/>
  <c r="E129" i="1"/>
  <c r="G98" i="1"/>
  <c r="G97" i="1"/>
  <c r="F129" i="1"/>
  <c r="F128" i="1"/>
  <c r="F89" i="1"/>
  <c r="F88" i="1"/>
  <c r="G9" i="1"/>
  <c r="G8" i="1"/>
  <c r="G18" i="1"/>
  <c r="G17" i="1"/>
  <c r="E88" i="1"/>
  <c r="E89" i="1"/>
  <c r="I71" i="1"/>
  <c r="I79" i="1"/>
  <c r="I80" i="1"/>
  <c r="I70" i="1"/>
  <c r="I48" i="1"/>
  <c r="I49" i="1"/>
  <c r="I39" i="1"/>
  <c r="I40" i="1"/>
  <c r="H10" i="1" l="1"/>
  <c r="G19" i="1"/>
  <c r="G28" i="1" s="1"/>
  <c r="F19" i="1"/>
  <c r="F28" i="1" s="1"/>
  <c r="F25" i="3"/>
  <c r="E29" i="3"/>
  <c r="F30" i="3" s="1"/>
  <c r="F26" i="3"/>
  <c r="F24" i="3"/>
  <c r="F23" i="3"/>
  <c r="D12" i="1"/>
  <c r="D11" i="1"/>
  <c r="D9" i="1" s="1"/>
  <c r="F28" i="3"/>
  <c r="I10" i="1" l="1"/>
  <c r="H19" i="1"/>
  <c r="H28" i="1" s="1"/>
  <c r="F31" i="3"/>
  <c r="F32" i="3"/>
  <c r="E35" i="3"/>
  <c r="E41" i="3" s="1"/>
  <c r="F34" i="3"/>
  <c r="F33" i="3"/>
  <c r="F29" i="3"/>
  <c r="D7" i="1"/>
  <c r="E7" i="1" s="1"/>
  <c r="F7" i="1" s="1"/>
  <c r="G7" i="1" s="1"/>
  <c r="H7" i="1" s="1"/>
  <c r="I7" i="1" s="1"/>
  <c r="D38" i="1" s="1"/>
  <c r="E38" i="1" s="1"/>
  <c r="F38" i="1" s="1"/>
  <c r="G38" i="1" s="1"/>
  <c r="H38" i="1" s="1"/>
  <c r="I38" i="1" s="1"/>
  <c r="D69" i="1" s="1"/>
  <c r="E69" i="1" s="1"/>
  <c r="F69" i="1" s="1"/>
  <c r="G69" i="1" s="1"/>
  <c r="H69" i="1" s="1"/>
  <c r="I69" i="1" s="1"/>
  <c r="D100" i="1" s="1"/>
  <c r="E100" i="1" s="1"/>
  <c r="F100" i="1" s="1"/>
  <c r="G100" i="1" s="1"/>
  <c r="H100" i="1" s="1"/>
  <c r="I100" i="1" s="1"/>
  <c r="D131" i="1" s="1"/>
  <c r="E131" i="1" s="1"/>
  <c r="F131" i="1" s="1"/>
  <c r="G131" i="1" s="1"/>
  <c r="H131" i="1" s="1"/>
  <c r="I131" i="1" s="1"/>
  <c r="D18" i="1"/>
  <c r="D8" i="1"/>
  <c r="D17" i="1"/>
  <c r="D41" i="1" l="1"/>
  <c r="I19" i="1"/>
  <c r="I28" i="1" s="1"/>
  <c r="F36" i="3"/>
  <c r="F38" i="3"/>
  <c r="F39" i="3"/>
  <c r="F35" i="3"/>
  <c r="F37" i="3"/>
  <c r="F40" i="3"/>
  <c r="F45" i="3"/>
  <c r="F44" i="3"/>
  <c r="F43" i="3"/>
  <c r="F46" i="3"/>
  <c r="F41" i="3"/>
  <c r="F42" i="3"/>
  <c r="E47" i="3"/>
  <c r="D50" i="1" l="1"/>
  <c r="D59" i="1" s="1"/>
  <c r="E41" i="1"/>
  <c r="F50" i="3"/>
  <c r="F48" i="3"/>
  <c r="F51" i="3"/>
  <c r="F52" i="3"/>
  <c r="F47" i="3"/>
  <c r="E53" i="3"/>
  <c r="F49" i="3"/>
  <c r="F41" i="1" l="1"/>
  <c r="E50" i="1"/>
  <c r="E59" i="1" s="1"/>
  <c r="F53" i="3"/>
  <c r="F58" i="3"/>
  <c r="F55" i="3"/>
  <c r="F54" i="3"/>
  <c r="E59" i="3"/>
  <c r="F56" i="3"/>
  <c r="F57" i="3"/>
  <c r="G41" i="1" l="1"/>
  <c r="F50" i="1"/>
  <c r="F59" i="1" s="1"/>
  <c r="F64" i="3"/>
  <c r="F59" i="3"/>
  <c r="F61" i="3"/>
  <c r="F62" i="3"/>
  <c r="F63" i="3"/>
  <c r="F60" i="3"/>
  <c r="E65" i="3"/>
  <c r="H41" i="1" l="1"/>
  <c r="G50" i="1"/>
  <c r="G59" i="1" s="1"/>
  <c r="F67" i="3"/>
  <c r="F66" i="3"/>
  <c r="F65" i="3"/>
  <c r="F68" i="3"/>
  <c r="F69" i="3"/>
  <c r="F70" i="3"/>
  <c r="E71" i="3"/>
  <c r="H50" i="1" l="1"/>
  <c r="H59" i="1" s="1"/>
  <c r="I41" i="1"/>
  <c r="F74" i="3"/>
  <c r="F71" i="3"/>
  <c r="F72" i="3"/>
  <c r="F75" i="3"/>
  <c r="F76" i="3"/>
  <c r="E77" i="3"/>
  <c r="F73" i="3"/>
  <c r="D72" i="1" l="1"/>
  <c r="I50" i="1"/>
  <c r="I59" i="1" s="1"/>
  <c r="F77" i="3"/>
  <c r="F78" i="3"/>
  <c r="F81" i="3"/>
  <c r="E83" i="3"/>
  <c r="F80" i="3"/>
  <c r="F79" i="3"/>
  <c r="F82" i="3"/>
  <c r="D81" i="1" l="1"/>
  <c r="D90" i="1" s="1"/>
  <c r="E72" i="1"/>
  <c r="F84" i="3"/>
  <c r="F85" i="3"/>
  <c r="F88" i="3"/>
  <c r="F87" i="3"/>
  <c r="E89" i="3"/>
  <c r="F86" i="3"/>
  <c r="F83" i="3"/>
  <c r="F72" i="1" l="1"/>
  <c r="E81" i="1"/>
  <c r="E90" i="1" s="1"/>
  <c r="F93" i="3"/>
  <c r="F94" i="3"/>
  <c r="F91" i="3"/>
  <c r="F92" i="3"/>
  <c r="F89" i="3"/>
  <c r="F90" i="3"/>
  <c r="E95" i="3"/>
  <c r="G72" i="1" l="1"/>
  <c r="F81" i="1"/>
  <c r="F90" i="1" s="1"/>
  <c r="F100" i="3"/>
  <c r="F97" i="3"/>
  <c r="E101" i="3"/>
  <c r="F96" i="3"/>
  <c r="F95" i="3"/>
  <c r="F98" i="3"/>
  <c r="F99" i="3"/>
  <c r="H72" i="1" l="1"/>
  <c r="G81" i="1"/>
  <c r="G90" i="1" s="1"/>
  <c r="E107" i="3"/>
  <c r="F104" i="3"/>
  <c r="F105" i="3"/>
  <c r="F101" i="3"/>
  <c r="F106" i="3"/>
  <c r="F103" i="3"/>
  <c r="F102" i="3"/>
  <c r="I72" i="1" l="1"/>
  <c r="H81" i="1"/>
  <c r="H90" i="1" s="1"/>
  <c r="F108" i="3"/>
  <c r="F112" i="3"/>
  <c r="F107" i="3"/>
  <c r="F110" i="3"/>
  <c r="F111" i="3"/>
  <c r="E113" i="3"/>
  <c r="F109" i="3"/>
  <c r="D103" i="1" l="1"/>
  <c r="I81" i="1"/>
  <c r="I90" i="1" s="1"/>
  <c r="F117" i="3"/>
  <c r="F118" i="3"/>
  <c r="E119" i="3"/>
  <c r="F115" i="3"/>
  <c r="F114" i="3"/>
  <c r="F113" i="3"/>
  <c r="F116" i="3"/>
  <c r="E103" i="1" l="1"/>
  <c r="D112" i="1"/>
  <c r="D121" i="1" s="1"/>
  <c r="F124" i="3"/>
  <c r="E125" i="3"/>
  <c r="F122" i="3"/>
  <c r="F119" i="3"/>
  <c r="F121" i="3"/>
  <c r="F120" i="3"/>
  <c r="F123" i="3"/>
  <c r="E112" i="1" l="1"/>
  <c r="E121" i="1" s="1"/>
  <c r="F103" i="1"/>
  <c r="F126" i="3"/>
  <c r="F125" i="3"/>
  <c r="F129" i="3"/>
  <c r="F127" i="3"/>
  <c r="F130" i="3"/>
  <c r="E131" i="3"/>
  <c r="F128" i="3"/>
  <c r="F112" i="1" l="1"/>
  <c r="F121" i="1" s="1"/>
  <c r="G103" i="1"/>
  <c r="F132" i="3"/>
  <c r="F133" i="3"/>
  <c r="F136" i="3"/>
  <c r="E137" i="3"/>
  <c r="F134" i="3"/>
  <c r="F131" i="3"/>
  <c r="F135" i="3"/>
  <c r="H103" i="1" l="1"/>
  <c r="G112" i="1"/>
  <c r="G121" i="1" s="1"/>
  <c r="F141" i="3"/>
  <c r="F138" i="3"/>
  <c r="F139" i="3"/>
  <c r="F140" i="3"/>
  <c r="E143" i="3"/>
  <c r="F137" i="3"/>
  <c r="F142" i="3"/>
  <c r="I103" i="1" l="1"/>
  <c r="H112" i="1"/>
  <c r="H121" i="1" s="1"/>
  <c r="F148" i="3"/>
  <c r="F147" i="3"/>
  <c r="F146" i="3"/>
  <c r="E149" i="3"/>
  <c r="F144" i="3"/>
  <c r="F143" i="3"/>
  <c r="F145" i="3"/>
  <c r="I112" i="1" l="1"/>
  <c r="I121" i="1" s="1"/>
  <c r="D134" i="1"/>
  <c r="E155" i="3"/>
  <c r="F152" i="3"/>
  <c r="F154" i="3"/>
  <c r="F153" i="3"/>
  <c r="F151" i="3"/>
  <c r="F150" i="3"/>
  <c r="F149" i="3"/>
  <c r="D143" i="1" l="1"/>
  <c r="D152" i="1" s="1"/>
  <c r="E134" i="1"/>
  <c r="F156" i="3"/>
  <c r="F159" i="3"/>
  <c r="F160" i="3"/>
  <c r="E161" i="3"/>
  <c r="F158" i="3"/>
  <c r="F157" i="3"/>
  <c r="F155" i="3"/>
  <c r="F134" i="1" l="1"/>
  <c r="E143" i="1"/>
  <c r="E152" i="1" s="1"/>
  <c r="E167" i="3"/>
  <c r="F163" i="3"/>
  <c r="F162" i="3"/>
  <c r="F161" i="3"/>
  <c r="F164" i="3"/>
  <c r="F165" i="3"/>
  <c r="F166" i="3"/>
  <c r="F143" i="1" l="1"/>
  <c r="F152" i="1" s="1"/>
  <c r="G134" i="1"/>
  <c r="F172" i="3"/>
  <c r="F167" i="3"/>
  <c r="F170" i="3"/>
  <c r="F169" i="3"/>
  <c r="F171" i="3"/>
  <c r="F168" i="3"/>
  <c r="E173" i="3"/>
  <c r="G143" i="1" l="1"/>
  <c r="G152" i="1" s="1"/>
  <c r="H134" i="1"/>
  <c r="F173" i="3"/>
  <c r="F177" i="3"/>
  <c r="F175" i="3"/>
  <c r="F176" i="3"/>
  <c r="E179" i="3"/>
  <c r="F178" i="3"/>
  <c r="F174" i="3"/>
  <c r="H143" i="1" l="1"/>
  <c r="H152" i="1" s="1"/>
  <c r="I134" i="1"/>
  <c r="I143" i="1" s="1"/>
  <c r="I152" i="1" s="1"/>
  <c r="F180" i="3"/>
  <c r="F181" i="3"/>
  <c r="F184" i="3"/>
  <c r="F183" i="3"/>
  <c r="F182" i="3"/>
  <c r="F179" i="3"/>
  <c r="E185" i="3"/>
  <c r="F190" i="3" l="1"/>
  <c r="E191" i="3"/>
  <c r="F187" i="3"/>
  <c r="F188" i="3"/>
  <c r="F185" i="3"/>
  <c r="F186" i="3"/>
  <c r="F189" i="3"/>
  <c r="F196" i="3" l="1"/>
  <c r="F195" i="3"/>
  <c r="E197" i="3"/>
  <c r="F191" i="3"/>
  <c r="F194" i="3"/>
  <c r="F192" i="3"/>
  <c r="F193" i="3"/>
  <c r="E203" i="3" l="1"/>
  <c r="F201" i="3"/>
  <c r="F197" i="3"/>
  <c r="F202" i="3"/>
  <c r="F199" i="3"/>
  <c r="F198" i="3"/>
  <c r="F200" i="3"/>
  <c r="F204" i="3" l="1"/>
  <c r="F207" i="3"/>
  <c r="E209" i="3"/>
  <c r="F203" i="3"/>
  <c r="F208" i="3"/>
  <c r="F206" i="3"/>
  <c r="F205" i="3"/>
  <c r="F211" i="3" l="1"/>
  <c r="F210" i="3"/>
  <c r="F212" i="3"/>
  <c r="E215" i="3"/>
  <c r="F213" i="3"/>
  <c r="F209" i="3"/>
  <c r="F214" i="3"/>
  <c r="F219" i="3" l="1"/>
  <c r="F217" i="3"/>
  <c r="F218" i="3"/>
  <c r="F216" i="3"/>
  <c r="E221" i="3"/>
  <c r="F215" i="3"/>
  <c r="F220" i="3"/>
  <c r="F222" i="3" l="1"/>
  <c r="F223" i="3"/>
  <c r="F226" i="3"/>
  <c r="F221" i="3"/>
  <c r="F225" i="3"/>
  <c r="E227" i="3"/>
  <c r="F224" i="3"/>
  <c r="E233" i="3" l="1"/>
  <c r="F231" i="3"/>
  <c r="F232" i="3"/>
  <c r="F228" i="3"/>
  <c r="F229" i="3"/>
  <c r="F227" i="3"/>
  <c r="F230" i="3"/>
  <c r="F233" i="3" l="1"/>
  <c r="F238" i="3"/>
  <c r="F237" i="3"/>
  <c r="E239" i="3"/>
  <c r="F236" i="3"/>
  <c r="F234" i="3"/>
  <c r="F235" i="3"/>
  <c r="F243" i="3" l="1"/>
  <c r="F242" i="3"/>
  <c r="F240" i="3"/>
  <c r="E245" i="3"/>
  <c r="F239" i="3"/>
  <c r="F244" i="3"/>
  <c r="F241" i="3"/>
  <c r="F246" i="3" l="1"/>
  <c r="F248" i="3"/>
  <c r="F249" i="3"/>
  <c r="F247" i="3"/>
  <c r="F245" i="3"/>
  <c r="E251" i="3"/>
  <c r="F250" i="3"/>
  <c r="E257" i="3" l="1"/>
  <c r="F252" i="3"/>
  <c r="F254" i="3"/>
  <c r="F255" i="3"/>
  <c r="F253" i="3"/>
  <c r="F256" i="3"/>
  <c r="F251" i="3"/>
  <c r="F260" i="3" l="1"/>
  <c r="F258" i="3"/>
  <c r="F257" i="3"/>
  <c r="F262" i="3"/>
  <c r="F259" i="3"/>
  <c r="F261" i="3"/>
  <c r="E263" i="3"/>
  <c r="F267" i="3" l="1"/>
  <c r="E269" i="3"/>
  <c r="F264" i="3"/>
  <c r="F266" i="3"/>
  <c r="F263" i="3"/>
  <c r="F265" i="3"/>
  <c r="F268" i="3"/>
  <c r="F270" i="3" l="1"/>
  <c r="F269" i="3"/>
  <c r="F274" i="3"/>
  <c r="F272" i="3"/>
  <c r="F271" i="3"/>
  <c r="F273" i="3"/>
  <c r="E275" i="3"/>
  <c r="E281" i="3" l="1"/>
  <c r="F280" i="3"/>
  <c r="F276" i="3"/>
  <c r="F278" i="3"/>
  <c r="F277" i="3"/>
  <c r="F275" i="3"/>
  <c r="F279" i="3"/>
  <c r="F281" i="3" l="1"/>
  <c r="F286" i="3"/>
  <c r="E287" i="3"/>
  <c r="F285" i="3"/>
  <c r="F284" i="3"/>
  <c r="F282" i="3"/>
  <c r="F283" i="3"/>
  <c r="F287" i="3" l="1"/>
  <c r="F289" i="3"/>
  <c r="F291" i="3"/>
  <c r="F288" i="3"/>
  <c r="F290" i="3"/>
  <c r="F292" i="3"/>
  <c r="E293" i="3"/>
  <c r="F298" i="3" l="1"/>
  <c r="F296" i="3"/>
  <c r="F295" i="3"/>
  <c r="F297" i="3"/>
  <c r="F293" i="3"/>
  <c r="F294" i="3"/>
  <c r="E299" i="3"/>
  <c r="F301" i="3" l="1"/>
  <c r="E305" i="3"/>
  <c r="F304" i="3"/>
  <c r="F300" i="3"/>
  <c r="F299" i="3"/>
  <c r="F303" i="3"/>
  <c r="F302" i="3"/>
  <c r="F309" i="3" l="1"/>
  <c r="F310" i="3"/>
  <c r="E311" i="3"/>
  <c r="F307" i="3"/>
  <c r="F305" i="3"/>
  <c r="F308" i="3"/>
  <c r="F306" i="3"/>
  <c r="F315" i="3" l="1"/>
  <c r="F313" i="3"/>
  <c r="F316" i="3"/>
  <c r="F312" i="3"/>
  <c r="F311" i="3"/>
  <c r="F314" i="3"/>
  <c r="E317" i="3"/>
  <c r="F318" i="3" l="1"/>
  <c r="F320" i="3"/>
  <c r="F322" i="3"/>
  <c r="F317" i="3"/>
  <c r="F321" i="3"/>
  <c r="E323" i="3"/>
  <c r="F319" i="3"/>
  <c r="E329" i="3" l="1"/>
  <c r="F323" i="3"/>
  <c r="F325" i="3"/>
  <c r="F328" i="3"/>
  <c r="F326" i="3"/>
  <c r="F327" i="3"/>
  <c r="F324" i="3"/>
  <c r="F332" i="3" l="1"/>
  <c r="F334" i="3"/>
  <c r="F331" i="3"/>
  <c r="F330" i="3"/>
  <c r="F333" i="3"/>
  <c r="E335" i="3"/>
  <c r="F329" i="3"/>
  <c r="F339" i="3" l="1"/>
  <c r="E341" i="3"/>
  <c r="F338" i="3"/>
  <c r="F340" i="3"/>
  <c r="F335" i="3"/>
  <c r="F336" i="3"/>
  <c r="F337" i="3"/>
  <c r="F346" i="3" l="1"/>
  <c r="F344" i="3"/>
  <c r="F341" i="3"/>
  <c r="F342" i="3"/>
  <c r="F345" i="3"/>
  <c r="E347" i="3"/>
  <c r="F343" i="3"/>
  <c r="E353" i="3" l="1"/>
  <c r="F352" i="3"/>
  <c r="F348" i="3"/>
  <c r="F350" i="3"/>
  <c r="F349" i="3"/>
  <c r="F347" i="3"/>
  <c r="F351" i="3"/>
  <c r="F356" i="3" l="1"/>
  <c r="F354" i="3"/>
  <c r="F353" i="3"/>
  <c r="F357" i="3"/>
  <c r="E359" i="3"/>
  <c r="F355" i="3"/>
  <c r="F358" i="3"/>
  <c r="F363" i="3" l="1"/>
  <c r="E365" i="3"/>
  <c r="F364" i="3"/>
  <c r="F360" i="3"/>
  <c r="F359" i="3"/>
  <c r="F361" i="3"/>
  <c r="F362" i="3"/>
  <c r="F370" i="3" l="1"/>
  <c r="F369" i="3"/>
  <c r="E371" i="3"/>
  <c r="F365" i="3"/>
  <c r="F366" i="3"/>
  <c r="F367" i="3"/>
  <c r="F368" i="3"/>
  <c r="F373" i="3" l="1"/>
  <c r="E377" i="3"/>
  <c r="F374" i="3"/>
  <c r="F372" i="3"/>
  <c r="F371" i="3"/>
  <c r="F375" i="3"/>
  <c r="F376" i="3"/>
  <c r="F377" i="3" l="1"/>
  <c r="F379" i="3"/>
  <c r="F382" i="3"/>
  <c r="F381" i="3"/>
  <c r="F380" i="3"/>
  <c r="E383" i="3"/>
  <c r="F378" i="3"/>
  <c r="F387" i="3" l="1"/>
  <c r="E389" i="3"/>
  <c r="F384" i="3"/>
  <c r="F383" i="3"/>
  <c r="F385" i="3"/>
  <c r="F386" i="3"/>
  <c r="F388" i="3"/>
  <c r="F390" i="3" l="1"/>
  <c r="F392" i="3"/>
  <c r="E395" i="3"/>
  <c r="F394" i="3"/>
  <c r="F393" i="3"/>
  <c r="F389" i="3"/>
  <c r="F391" i="3"/>
  <c r="E401" i="3" l="1"/>
  <c r="F395" i="3"/>
  <c r="F396" i="3"/>
  <c r="F399" i="3"/>
  <c r="F398" i="3"/>
  <c r="F397" i="3"/>
  <c r="F400" i="3"/>
  <c r="F404" i="3" l="1"/>
  <c r="F406" i="3"/>
  <c r="F405" i="3"/>
  <c r="E407" i="3"/>
  <c r="F402" i="3"/>
  <c r="F401" i="3"/>
  <c r="F403" i="3"/>
  <c r="F411" i="3" l="1"/>
  <c r="F409" i="3"/>
  <c r="F408" i="3"/>
  <c r="F410" i="3"/>
  <c r="F407" i="3"/>
  <c r="F412" i="3"/>
  <c r="E413" i="3"/>
  <c r="F417" i="3" l="1"/>
  <c r="F415" i="3"/>
  <c r="F416" i="3"/>
  <c r="F418" i="3"/>
  <c r="F414" i="3"/>
  <c r="F413" i="3"/>
  <c r="E419" i="3"/>
  <c r="F421" i="3" l="1"/>
  <c r="E425" i="3"/>
  <c r="F423" i="3"/>
  <c r="F422" i="3"/>
  <c r="F424" i="3"/>
  <c r="F420" i="3"/>
  <c r="F419" i="3"/>
  <c r="F425" i="3" l="1"/>
  <c r="F430" i="3"/>
  <c r="F427" i="3"/>
  <c r="F429" i="3"/>
  <c r="F428" i="3"/>
  <c r="F426" i="3"/>
  <c r="E431" i="3"/>
  <c r="F434" i="3" l="1"/>
  <c r="F436" i="3"/>
  <c r="F431" i="3"/>
  <c r="F433" i="3"/>
  <c r="E437" i="3"/>
  <c r="F432" i="3"/>
  <c r="F435" i="3"/>
  <c r="F442" i="3" l="1"/>
  <c r="F439" i="3"/>
  <c r="F440" i="3"/>
  <c r="F437" i="3"/>
  <c r="F438" i="3"/>
  <c r="E443" i="3"/>
  <c r="F441" i="3"/>
  <c r="F445" i="3" l="1"/>
  <c r="F447" i="3"/>
  <c r="F448" i="3"/>
  <c r="F446" i="3"/>
  <c r="F444" i="3"/>
  <c r="F443" i="3"/>
  <c r="E449" i="3"/>
  <c r="F452" i="3" l="1"/>
  <c r="F449" i="3"/>
  <c r="F450" i="3"/>
  <c r="F453" i="3"/>
  <c r="E455" i="3"/>
  <c r="F451" i="3"/>
  <c r="F454" i="3"/>
  <c r="F455" i="3" l="1"/>
  <c r="F460" i="3"/>
  <c r="F459" i="3"/>
  <c r="E461" i="3"/>
  <c r="F458" i="3"/>
  <c r="F456" i="3"/>
  <c r="F457" i="3"/>
  <c r="F466" i="3" l="1"/>
  <c r="F464" i="3"/>
  <c r="F461" i="3"/>
  <c r="F465" i="3"/>
  <c r="F462" i="3"/>
  <c r="F463" i="3"/>
  <c r="E467" i="3"/>
  <c r="F472" i="3" l="1"/>
  <c r="F469" i="3"/>
  <c r="F467" i="3"/>
  <c r="F468" i="3"/>
  <c r="E473" i="3"/>
  <c r="F470" i="3"/>
  <c r="F471" i="3"/>
  <c r="F476" i="3" l="1"/>
  <c r="F474" i="3"/>
  <c r="F477" i="3"/>
  <c r="F473" i="3"/>
  <c r="F478" i="3"/>
  <c r="F475" i="3"/>
  <c r="E479" i="3"/>
  <c r="F483" i="3" l="1"/>
  <c r="E485" i="3"/>
  <c r="F484" i="3"/>
  <c r="F482" i="3"/>
  <c r="F479" i="3"/>
  <c r="F481" i="3"/>
  <c r="F480" i="3"/>
  <c r="F485" i="3" l="1"/>
  <c r="E491" i="3"/>
  <c r="F490" i="3"/>
  <c r="F489" i="3"/>
  <c r="F487" i="3"/>
  <c r="F488" i="3"/>
  <c r="F486" i="3"/>
  <c r="F495" i="3" l="1"/>
  <c r="F494" i="3"/>
  <c r="F496" i="3"/>
  <c r="F492" i="3"/>
  <c r="F493" i="3"/>
  <c r="F491" i="3"/>
  <c r="E497" i="3"/>
  <c r="F497" i="3" l="1"/>
  <c r="F502" i="3"/>
  <c r="F501" i="3"/>
  <c r="E503" i="3"/>
  <c r="F500" i="3"/>
  <c r="F498" i="3"/>
  <c r="F499" i="3"/>
  <c r="E509" i="3" l="1"/>
  <c r="F504" i="3"/>
  <c r="F508" i="3"/>
  <c r="F503" i="3"/>
  <c r="F505" i="3"/>
  <c r="F507" i="3"/>
  <c r="F506" i="3"/>
  <c r="F514" i="3" l="1"/>
  <c r="F512" i="3"/>
  <c r="F513" i="3"/>
  <c r="F509" i="3"/>
  <c r="F510" i="3"/>
  <c r="E515" i="3"/>
  <c r="F511" i="3"/>
  <c r="F517" i="3" l="1"/>
  <c r="E521" i="3"/>
  <c r="F519" i="3"/>
  <c r="F518" i="3"/>
  <c r="F520" i="3"/>
  <c r="F516" i="3"/>
  <c r="F515" i="3"/>
  <c r="F524" i="3" l="1"/>
  <c r="F525" i="3"/>
  <c r="F526" i="3"/>
  <c r="F522" i="3"/>
  <c r="E527" i="3"/>
  <c r="F523" i="3"/>
  <c r="F521" i="3"/>
  <c r="F530" i="3" l="1"/>
  <c r="F528" i="3"/>
  <c r="F527" i="3"/>
  <c r="F532" i="3"/>
  <c r="E533" i="3"/>
  <c r="F529" i="3"/>
  <c r="F531" i="3"/>
  <c r="F534" i="3" l="1"/>
  <c r="F536" i="3"/>
  <c r="F535" i="3"/>
  <c r="F533" i="3"/>
  <c r="E539" i="3"/>
  <c r="F538" i="3"/>
  <c r="F537" i="3"/>
  <c r="F544" i="3" l="1"/>
  <c r="F539" i="3"/>
  <c r="F542" i="3"/>
  <c r="F541" i="3"/>
  <c r="F543" i="3"/>
  <c r="F540" i="3"/>
</calcChain>
</file>

<file path=xl/sharedStrings.xml><?xml version="1.0" encoding="utf-8"?>
<sst xmlns="http://schemas.openxmlformats.org/spreadsheetml/2006/main" count="359" uniqueCount="114">
  <si>
    <t>表１</t>
    <rPh sb="0" eb="1">
      <t>ヒョウ</t>
    </rPh>
    <phoneticPr fontId="1"/>
  </si>
  <si>
    <t>照射日</t>
    <rPh sb="0" eb="2">
      <t>ショウシャ</t>
    </rPh>
    <rPh sb="2" eb="3">
      <t>ヒ</t>
    </rPh>
    <phoneticPr fontId="1"/>
  </si>
  <si>
    <t>照射時間</t>
    <rPh sb="0" eb="2">
      <t>ショウシャ</t>
    </rPh>
    <rPh sb="2" eb="4">
      <t>ジカン</t>
    </rPh>
    <phoneticPr fontId="1"/>
  </si>
  <si>
    <t>最小値</t>
    <rPh sb="0" eb="2">
      <t>サイショウ</t>
    </rPh>
    <rPh sb="2" eb="3">
      <t>アタイ</t>
    </rPh>
    <phoneticPr fontId="1"/>
  </si>
  <si>
    <t>最大値</t>
    <rPh sb="0" eb="2">
      <t>サイダイ</t>
    </rPh>
    <rPh sb="2" eb="3">
      <t>アタイ</t>
    </rPh>
    <phoneticPr fontId="1"/>
  </si>
  <si>
    <t>照射月日</t>
  </si>
  <si>
    <t>線量計番号</t>
  </si>
  <si>
    <t>厚さ</t>
  </si>
  <si>
    <t>ＡＢＳ</t>
  </si>
  <si>
    <t>測定線量</t>
  </si>
  <si>
    <t xml:space="preserve">受付番号 </t>
    <rPh sb="0" eb="2">
      <t>ウケツケ</t>
    </rPh>
    <rPh sb="2" eb="4">
      <t>バンゴウ</t>
    </rPh>
    <phoneticPr fontId="1"/>
  </si>
  <si>
    <t>ﾊﾞｯﾁ</t>
    <phoneticPr fontId="1"/>
  </si>
  <si>
    <t>RIC-No</t>
    <phoneticPr fontId="1"/>
  </si>
  <si>
    <t>備考</t>
    <phoneticPr fontId="1"/>
  </si>
  <si>
    <t>指定線量</t>
    <rPh sb="0" eb="2">
      <t>シテイ</t>
    </rPh>
    <rPh sb="2" eb="4">
      <t>センリョウ</t>
    </rPh>
    <phoneticPr fontId="1"/>
  </si>
  <si>
    <t>受付本数</t>
    <rPh sb="0" eb="2">
      <t>ウケツケ</t>
    </rPh>
    <rPh sb="2" eb="4">
      <t>ホンスウ</t>
    </rPh>
    <phoneticPr fontId="1"/>
  </si>
  <si>
    <t>中段線量</t>
    <rPh sb="0" eb="2">
      <t>チュウダン</t>
    </rPh>
    <rPh sb="2" eb="4">
      <t>センリョウ</t>
    </rPh>
    <phoneticPr fontId="1"/>
  </si>
  <si>
    <t>上段線量</t>
    <rPh sb="0" eb="2">
      <t>ジョウダン</t>
    </rPh>
    <rPh sb="2" eb="4">
      <t>センリョウ</t>
    </rPh>
    <phoneticPr fontId="1"/>
  </si>
  <si>
    <t>式１</t>
    <rPh sb="0" eb="1">
      <t>シキ</t>
    </rPh>
    <phoneticPr fontId="1"/>
  </si>
  <si>
    <t>式３</t>
    <rPh sb="0" eb="1">
      <t>シキ</t>
    </rPh>
    <phoneticPr fontId="1"/>
  </si>
  <si>
    <t>Temp</t>
    <phoneticPr fontId="1"/>
  </si>
  <si>
    <t>有効･無効</t>
    <rPh sb="0" eb="2">
      <t>ユウコウ</t>
    </rPh>
    <rPh sb="3" eb="5">
      <t>ムコウ</t>
    </rPh>
    <phoneticPr fontId="1"/>
  </si>
  <si>
    <t>式２</t>
    <rPh sb="0" eb="1">
      <t>シキ</t>
    </rPh>
    <phoneticPr fontId="1"/>
  </si>
  <si>
    <t>測定器</t>
    <phoneticPr fontId="1"/>
  </si>
  <si>
    <t>線量計種類</t>
    <rPh sb="0" eb="3">
      <t>センリョウケイ</t>
    </rPh>
    <rPh sb="3" eb="5">
      <t>シュルイ</t>
    </rPh>
    <phoneticPr fontId="1"/>
  </si>
  <si>
    <t>計算式ｺｰﾄﾞ</t>
    <rPh sb="0" eb="2">
      <t>ケイサン</t>
    </rPh>
    <rPh sb="2" eb="3">
      <t>シキ</t>
    </rPh>
    <phoneticPr fontId="1"/>
  </si>
  <si>
    <t>１号機線量測定記録（６０φPE丸棒用）</t>
    <rPh sb="15" eb="17">
      <t>マルボウ</t>
    </rPh>
    <rPh sb="17" eb="18">
      <t>ヨウ</t>
    </rPh>
    <phoneticPr fontId="1"/>
  </si>
  <si>
    <t>RIC-No</t>
    <phoneticPr fontId="1"/>
  </si>
  <si>
    <t>A-0</t>
    <phoneticPr fontId="1"/>
  </si>
  <si>
    <t>A-1</t>
    <phoneticPr fontId="1"/>
  </si>
  <si>
    <t>B-0</t>
    <phoneticPr fontId="1"/>
  </si>
  <si>
    <t>B-1</t>
    <phoneticPr fontId="1"/>
  </si>
  <si>
    <t>C-0</t>
    <phoneticPr fontId="1"/>
  </si>
  <si>
    <t>C-1</t>
    <phoneticPr fontId="1"/>
  </si>
  <si>
    <t>RIC-No</t>
    <phoneticPr fontId="1"/>
  </si>
  <si>
    <t>A-0</t>
    <phoneticPr fontId="1"/>
  </si>
  <si>
    <t>A-1</t>
    <phoneticPr fontId="1"/>
  </si>
  <si>
    <t>B-0</t>
    <phoneticPr fontId="1"/>
  </si>
  <si>
    <t>B-1</t>
    <phoneticPr fontId="1"/>
  </si>
  <si>
    <t>C-0</t>
    <phoneticPr fontId="1"/>
  </si>
  <si>
    <t>C-1</t>
    <phoneticPr fontId="1"/>
  </si>
  <si>
    <t>A-0</t>
    <phoneticPr fontId="1"/>
  </si>
  <si>
    <t>A-1</t>
    <phoneticPr fontId="1"/>
  </si>
  <si>
    <t>B-0</t>
    <phoneticPr fontId="1"/>
  </si>
  <si>
    <t>B-1</t>
    <phoneticPr fontId="1"/>
  </si>
  <si>
    <t>C-0</t>
    <phoneticPr fontId="1"/>
  </si>
  <si>
    <t>C-1</t>
    <phoneticPr fontId="1"/>
  </si>
  <si>
    <t>バッチ</t>
    <phoneticPr fontId="1"/>
  </si>
  <si>
    <t>ラジエ工業㈱</t>
    <rPh sb="3" eb="5">
      <t>コウギョウ</t>
    </rPh>
    <phoneticPr fontId="1"/>
  </si>
  <si>
    <t>バッチ</t>
    <phoneticPr fontId="1"/>
  </si>
  <si>
    <t>ｋGy</t>
    <phoneticPr fontId="1"/>
  </si>
  <si>
    <t>RIC-No</t>
    <phoneticPr fontId="1"/>
  </si>
  <si>
    <t>下段</t>
    <rPh sb="0" eb="2">
      <t>ゲダン</t>
    </rPh>
    <phoneticPr fontId="1"/>
  </si>
  <si>
    <t>中段</t>
    <rPh sb="0" eb="2">
      <t>チュウダン</t>
    </rPh>
    <phoneticPr fontId="1"/>
  </si>
  <si>
    <t>上段</t>
    <rPh sb="0" eb="2">
      <t>ジョウダン</t>
    </rPh>
    <phoneticPr fontId="1"/>
  </si>
  <si>
    <t>下限</t>
    <rPh sb="0" eb="2">
      <t>カゲン</t>
    </rPh>
    <phoneticPr fontId="1"/>
  </si>
  <si>
    <t>上限</t>
    <rPh sb="0" eb="2">
      <t>ジョウゲン</t>
    </rPh>
    <phoneticPr fontId="1"/>
  </si>
  <si>
    <t>線量計は各段（上中下）端（A,C)と中央に添付</t>
  </si>
  <si>
    <t>照射管理ラベルは端のC側に貼付してあります</t>
  </si>
  <si>
    <t>JMM　PE丸棒線量記録方法</t>
    <rPh sb="6" eb="8">
      <t>マルボウ</t>
    </rPh>
    <rPh sb="8" eb="10">
      <t>センリョウ</t>
    </rPh>
    <rPh sb="10" eb="12">
      <t>キロク</t>
    </rPh>
    <rPh sb="12" eb="14">
      <t>ホウホウ</t>
    </rPh>
    <phoneticPr fontId="1"/>
  </si>
  <si>
    <t>Ⅰ</t>
    <phoneticPr fontId="1"/>
  </si>
  <si>
    <t>用紙の準備</t>
    <rPh sb="0" eb="2">
      <t>ヨウシ</t>
    </rPh>
    <rPh sb="3" eb="5">
      <t>ジュンビ</t>
    </rPh>
    <phoneticPr fontId="1"/>
  </si>
  <si>
    <t>ｼｰﾄ「測定値」の受付番号（10桁）、受付本数、指定線量、測定器、線量計種類、計算式ｺｰﾄﾞ、下限、上限を入力</t>
    <rPh sb="4" eb="6">
      <t>ソクテイ</t>
    </rPh>
    <rPh sb="6" eb="7">
      <t>チ</t>
    </rPh>
    <rPh sb="9" eb="11">
      <t>ウケツケ</t>
    </rPh>
    <rPh sb="11" eb="13">
      <t>バンゴウ</t>
    </rPh>
    <rPh sb="16" eb="17">
      <t>ケタ</t>
    </rPh>
    <rPh sb="19" eb="21">
      <t>ウケツケ</t>
    </rPh>
    <rPh sb="21" eb="23">
      <t>ホンスウ</t>
    </rPh>
    <rPh sb="24" eb="26">
      <t>シテイ</t>
    </rPh>
    <rPh sb="26" eb="28">
      <t>センリョウ</t>
    </rPh>
    <rPh sb="29" eb="31">
      <t>ソクテイ</t>
    </rPh>
    <rPh sb="31" eb="32">
      <t>キ</t>
    </rPh>
    <rPh sb="33" eb="36">
      <t>センリョウケイ</t>
    </rPh>
    <rPh sb="36" eb="38">
      <t>シュルイ</t>
    </rPh>
    <rPh sb="39" eb="41">
      <t>ケイサン</t>
    </rPh>
    <rPh sb="41" eb="42">
      <t>シキ</t>
    </rPh>
    <rPh sb="47" eb="49">
      <t>カゲン</t>
    </rPh>
    <rPh sb="50" eb="52">
      <t>ジョウゲン</t>
    </rPh>
    <rPh sb="53" eb="55">
      <t>ニュウリョク</t>
    </rPh>
    <phoneticPr fontId="1"/>
  </si>
  <si>
    <t>印刷範囲をｱｸﾃｨﾌﾞにする。</t>
    <rPh sb="0" eb="2">
      <t>インサツ</t>
    </rPh>
    <rPh sb="2" eb="4">
      <t>ハンイ</t>
    </rPh>
    <phoneticPr fontId="1"/>
  </si>
  <si>
    <t>「ﾌｧｲﾙ」→「印刷範囲(T)」→「印刷範囲の設定(S)」</t>
    <rPh sb="8" eb="10">
      <t>インサツ</t>
    </rPh>
    <rPh sb="10" eb="12">
      <t>ハンイ</t>
    </rPh>
    <rPh sb="18" eb="20">
      <t>インサツ</t>
    </rPh>
    <rPh sb="20" eb="22">
      <t>ハンイ</t>
    </rPh>
    <rPh sb="23" eb="25">
      <t>セッテイ</t>
    </rPh>
    <phoneticPr fontId="1"/>
  </si>
  <si>
    <t>（記録用紙が印刷される）</t>
    <rPh sb="1" eb="3">
      <t>キロク</t>
    </rPh>
    <rPh sb="3" eb="5">
      <t>ヨウシ</t>
    </rPh>
    <rPh sb="6" eb="8">
      <t>インサツ</t>
    </rPh>
    <phoneticPr fontId="1"/>
  </si>
  <si>
    <t>Ⅱ</t>
    <phoneticPr fontId="1"/>
  </si>
  <si>
    <t>Ⅲ</t>
    <phoneticPr fontId="1"/>
  </si>
  <si>
    <t>測定線量の入力</t>
    <rPh sb="0" eb="2">
      <t>ソクテイ</t>
    </rPh>
    <rPh sb="2" eb="4">
      <t>センリョウ</t>
    </rPh>
    <rPh sb="5" eb="7">
      <t>ニュウリョク</t>
    </rPh>
    <phoneticPr fontId="1"/>
  </si>
  <si>
    <t>照射日（例 11/15）、照射時間、測定温度を入力後、厚さ、ABSを入力すると線量が計算される。</t>
    <rPh sb="0" eb="2">
      <t>ショウシャ</t>
    </rPh>
    <rPh sb="2" eb="3">
      <t>ビ</t>
    </rPh>
    <rPh sb="4" eb="5">
      <t>レイ</t>
    </rPh>
    <rPh sb="13" eb="15">
      <t>ショウシャ</t>
    </rPh>
    <rPh sb="15" eb="17">
      <t>ジカン</t>
    </rPh>
    <rPh sb="18" eb="20">
      <t>ソクテイ</t>
    </rPh>
    <rPh sb="20" eb="22">
      <t>オンド</t>
    </rPh>
    <rPh sb="23" eb="26">
      <t>ニュウリョクゴ</t>
    </rPh>
    <rPh sb="27" eb="28">
      <t>アツ</t>
    </rPh>
    <rPh sb="34" eb="36">
      <t>ニュウリョク</t>
    </rPh>
    <rPh sb="39" eb="41">
      <t>センリョウ</t>
    </rPh>
    <rPh sb="42" eb="44">
      <t>ケイサン</t>
    </rPh>
    <phoneticPr fontId="1"/>
  </si>
  <si>
    <t>（黄色地部分は入力可）</t>
    <rPh sb="1" eb="3">
      <t>キイロ</t>
    </rPh>
    <rPh sb="3" eb="4">
      <t>ジ</t>
    </rPh>
    <rPh sb="4" eb="6">
      <t>ブブン</t>
    </rPh>
    <rPh sb="7" eb="9">
      <t>ニュウリョク</t>
    </rPh>
    <rPh sb="9" eb="10">
      <t>カ</t>
    </rPh>
    <phoneticPr fontId="1"/>
  </si>
  <si>
    <t>厚さとABSはⅠで印字した用紙に手書きしておく。</t>
    <rPh sb="0" eb="1">
      <t>アツ</t>
    </rPh>
    <rPh sb="9" eb="11">
      <t>インジ</t>
    </rPh>
    <rPh sb="13" eb="15">
      <t>ヨウシ</t>
    </rPh>
    <rPh sb="16" eb="18">
      <t>テガ</t>
    </rPh>
    <phoneticPr fontId="1"/>
  </si>
  <si>
    <t>Ⅳ</t>
    <phoneticPr fontId="1"/>
  </si>
  <si>
    <t>報告書発行</t>
    <rPh sb="0" eb="2">
      <t>ホウコク</t>
    </rPh>
    <rPh sb="2" eb="3">
      <t>ショ</t>
    </rPh>
    <rPh sb="3" eb="5">
      <t>ハッコウ</t>
    </rPh>
    <phoneticPr fontId="1"/>
  </si>
  <si>
    <t>ｼｰﾄ「報告書」選択</t>
    <rPh sb="4" eb="6">
      <t>ホウコク</t>
    </rPh>
    <rPh sb="6" eb="7">
      <t>ショ</t>
    </rPh>
    <rPh sb="8" eb="10">
      <t>センタク</t>
    </rPh>
    <phoneticPr fontId="1"/>
  </si>
  <si>
    <t>印刷範囲を設定</t>
    <rPh sb="0" eb="2">
      <t>インサツ</t>
    </rPh>
    <rPh sb="2" eb="4">
      <t>ハンイ</t>
    </rPh>
    <rPh sb="5" eb="7">
      <t>セッテイ</t>
    </rPh>
    <phoneticPr fontId="1"/>
  </si>
  <si>
    <t>不要な範囲は斜線を入れる</t>
    <rPh sb="0" eb="2">
      <t>フヨウ</t>
    </rPh>
    <rPh sb="3" eb="5">
      <t>ハンイ</t>
    </rPh>
    <rPh sb="6" eb="8">
      <t>シャセン</t>
    </rPh>
    <rPh sb="9" eb="10">
      <t>イ</t>
    </rPh>
    <phoneticPr fontId="1"/>
  </si>
  <si>
    <t>Ⅴ</t>
    <phoneticPr fontId="1"/>
  </si>
  <si>
    <t>Ｅｎｔｅｒｷｰ入力後、ｶｰｿﾙを下に設定するにはシート「測定値」の「ｶｰｿﾙ下に移動」をｸﾘｯｸする。</t>
    <rPh sb="7" eb="10">
      <t>ニュウリョクゴ</t>
    </rPh>
    <rPh sb="16" eb="17">
      <t>シタ</t>
    </rPh>
    <rPh sb="18" eb="20">
      <t>セッテイ</t>
    </rPh>
    <rPh sb="28" eb="31">
      <t>ソクテイチ</t>
    </rPh>
    <rPh sb="38" eb="39">
      <t>シタ</t>
    </rPh>
    <rPh sb="40" eb="42">
      <t>イドウ</t>
    </rPh>
    <phoneticPr fontId="1"/>
  </si>
  <si>
    <t>Ⅵ</t>
    <phoneticPr fontId="1"/>
  </si>
  <si>
    <t>シート「測定値」の保護解除きーは「ijiruna」です。</t>
    <rPh sb="4" eb="7">
      <t>ソクテイチ</t>
    </rPh>
    <rPh sb="9" eb="11">
      <t>ホゴ</t>
    </rPh>
    <rPh sb="11" eb="13">
      <t>カイジョ</t>
    </rPh>
    <phoneticPr fontId="1"/>
  </si>
  <si>
    <t>下段線量</t>
    <rPh sb="0" eb="1">
      <t>シタ</t>
    </rPh>
    <rPh sb="1" eb="2">
      <t>ダン</t>
    </rPh>
    <rPh sb="2" eb="3">
      <t>セン</t>
    </rPh>
    <rPh sb="3" eb="4">
      <t>リョウ</t>
    </rPh>
    <phoneticPr fontId="1"/>
  </si>
  <si>
    <t>RIC-No</t>
    <phoneticPr fontId="1"/>
  </si>
  <si>
    <t>(ｋGy)</t>
    <phoneticPr fontId="1"/>
  </si>
  <si>
    <t>(ｋGy)</t>
    <phoneticPr fontId="1"/>
  </si>
  <si>
    <t>記録用紙の登録とﾃﾞｰﾀの保存</t>
    <rPh sb="0" eb="2">
      <t>キロク</t>
    </rPh>
    <rPh sb="2" eb="4">
      <t>ヨウシ</t>
    </rPh>
    <rPh sb="5" eb="7">
      <t>トウロク</t>
    </rPh>
    <rPh sb="13" eb="15">
      <t>ホゾン</t>
    </rPh>
    <phoneticPr fontId="1"/>
  </si>
  <si>
    <t>「C:\Documents and Settings\Administrator\デスクトップ\JMM線量入力用\」のﾌｫﾙﾀﾞｰに</t>
    <phoneticPr fontId="1"/>
  </si>
  <si>
    <t>「受付番号JMM６０．Ｘｌｓ」のﾌｧｲﾙ名で保存されます。</t>
    <rPh sb="1" eb="3">
      <t>ウケツケ</t>
    </rPh>
    <rPh sb="3" eb="5">
      <t>バンゴウ</t>
    </rPh>
    <rPh sb="20" eb="21">
      <t>メイ</t>
    </rPh>
    <rPh sb="22" eb="24">
      <t>ホゾン</t>
    </rPh>
    <phoneticPr fontId="1"/>
  </si>
  <si>
    <t>入力終了後「保存」をｸﾘｯｸする。（メッセージに従って操作してください。）</t>
    <rPh sb="0" eb="2">
      <t>ニュウリョク</t>
    </rPh>
    <rPh sb="2" eb="5">
      <t>シュウリョウゴ</t>
    </rPh>
    <phoneticPr fontId="1"/>
  </si>
  <si>
    <t>ｼｰﾄ「測定値」の「保存」をクリックする。（メッセージに従って操作してください。）</t>
    <rPh sb="4" eb="6">
      <t>ソクテイ</t>
    </rPh>
    <rPh sb="6" eb="7">
      <t>チ</t>
    </rPh>
    <rPh sb="10" eb="12">
      <t>ホゾン</t>
    </rPh>
    <rPh sb="28" eb="29">
      <t>シタガ</t>
    </rPh>
    <rPh sb="31" eb="33">
      <t>ソウサ</t>
    </rPh>
    <phoneticPr fontId="1"/>
  </si>
  <si>
    <t>画面の「JMM線量入力用」ｼｮｰﾄｶｯﾄﾌｧｵﾙﾀﾞｰを開き,Ⅱの１で保存したﾌｧｲﾙを開く（受付番号が頭についている）</t>
    <rPh sb="0" eb="2">
      <t>ガメン</t>
    </rPh>
    <rPh sb="7" eb="9">
      <t>センリョウ</t>
    </rPh>
    <rPh sb="9" eb="12">
      <t>ニュウリョクヨウ</t>
    </rPh>
    <rPh sb="28" eb="29">
      <t>ヒラ</t>
    </rPh>
    <rPh sb="35" eb="37">
      <t>ホゾン</t>
    </rPh>
    <rPh sb="44" eb="45">
      <t>ヒラ</t>
    </rPh>
    <rPh sb="47" eb="49">
      <t>ウケツケ</t>
    </rPh>
    <rPh sb="49" eb="51">
      <t>バンゴウ</t>
    </rPh>
    <rPh sb="52" eb="53">
      <t>アタマ</t>
    </rPh>
    <phoneticPr fontId="1"/>
  </si>
  <si>
    <t>京セラメディカル様　６０φＰＥ丸棒線量測定結果</t>
    <rPh sb="0" eb="1">
      <t>キョウ</t>
    </rPh>
    <phoneticPr fontId="1"/>
  </si>
  <si>
    <t>有効計算式コード</t>
    <rPh sb="0" eb="2">
      <t>ユウコウ</t>
    </rPh>
    <rPh sb="2" eb="4">
      <t>ケイサン</t>
    </rPh>
    <rPh sb="4" eb="5">
      <t>シキ</t>
    </rPh>
    <phoneticPr fontId="1"/>
  </si>
  <si>
    <t>温度補正式</t>
    <rPh sb="0" eb="2">
      <t>オンド</t>
    </rPh>
    <rPh sb="2" eb="4">
      <t>ホセイ</t>
    </rPh>
    <rPh sb="4" eb="5">
      <t>シキ</t>
    </rPh>
    <phoneticPr fontId="1"/>
  </si>
  <si>
    <t>誤差修正式</t>
    <rPh sb="0" eb="2">
      <t>ゴサ</t>
    </rPh>
    <rPh sb="2" eb="4">
      <t>シュウセイ</t>
    </rPh>
    <rPh sb="4" eb="5">
      <t>シキ</t>
    </rPh>
    <phoneticPr fontId="1"/>
  </si>
  <si>
    <t>E(0次)</t>
    <rPh sb="3" eb="4">
      <t>ジ</t>
    </rPh>
    <phoneticPr fontId="1"/>
  </si>
  <si>
    <t>D(1次)</t>
    <phoneticPr fontId="1"/>
  </si>
  <si>
    <t>C(2次)</t>
    <phoneticPr fontId="1"/>
  </si>
  <si>
    <t>B(3次)</t>
    <phoneticPr fontId="1"/>
  </si>
  <si>
    <t>A(4次)</t>
    <phoneticPr fontId="1"/>
  </si>
  <si>
    <t>SikiPara</t>
    <phoneticPr fontId="1"/>
  </si>
  <si>
    <t>計算式ｺｰﾄ</t>
    <phoneticPr fontId="1"/>
  </si>
  <si>
    <t>前回記録</t>
    <rPh sb="0" eb="2">
      <t>ゼンカイ</t>
    </rPh>
    <rPh sb="2" eb="3">
      <t>キ</t>
    </rPh>
    <rPh sb="3" eb="4">
      <t>ロク</t>
    </rPh>
    <phoneticPr fontId="1"/>
  </si>
  <si>
    <t>受付番号</t>
    <rPh sb="0" eb="2">
      <t>ウケツケ</t>
    </rPh>
    <rPh sb="2" eb="4">
      <t>バンゴウ</t>
    </rPh>
    <phoneticPr fontId="1"/>
  </si>
  <si>
    <t>照射時間</t>
    <rPh sb="0" eb="2">
      <t>ショウシャ</t>
    </rPh>
    <rPh sb="2" eb="4">
      <t>ジカン</t>
    </rPh>
    <phoneticPr fontId="2"/>
  </si>
  <si>
    <t>測定温度</t>
    <rPh sb="0" eb="2">
      <t>ソクテイ</t>
    </rPh>
    <rPh sb="2" eb="4">
      <t>オンド</t>
    </rPh>
    <phoneticPr fontId="2"/>
  </si>
  <si>
    <t>記録先ﾌｫﾙﾀﾞｰ</t>
    <rPh sb="0" eb="1">
      <t>キ</t>
    </rPh>
    <rPh sb="1" eb="2">
      <t>ロク</t>
    </rPh>
    <rPh sb="2" eb="3">
      <t>サキ</t>
    </rPh>
    <phoneticPr fontId="1"/>
  </si>
  <si>
    <t>年度</t>
    <rPh sb="0" eb="2">
      <t>ネンド</t>
    </rPh>
    <phoneticPr fontId="1"/>
  </si>
  <si>
    <t>「ﾌｧｲﾙ」→「印刷(P)」→ﾌﾟﾘﾝﾀ名前(M)を選択→OKｸﾘｯｸ</t>
    <rPh sb="8" eb="10">
      <t>インサツ</t>
    </rPh>
    <rPh sb="20" eb="22">
      <t>ナマエ</t>
    </rPh>
    <rPh sb="26" eb="28">
      <t>センタク</t>
    </rPh>
    <phoneticPr fontId="1"/>
  </si>
  <si>
    <t>ﾌﾟﾘﾝﾀｰ名を選択→OKｸﾘｯｸし印字する。</t>
    <rPh sb="6" eb="7">
      <t>メイ</t>
    </rPh>
    <rPh sb="18" eb="20">
      <t>インジ</t>
    </rPh>
    <phoneticPr fontId="1"/>
  </si>
  <si>
    <t>小数点以下</t>
    <rPh sb="0" eb="3">
      <t>ショウスウテン</t>
    </rPh>
    <rPh sb="3" eb="5">
      <t>イカ</t>
    </rPh>
    <phoneticPr fontId="1"/>
  </si>
  <si>
    <t>D:\JMM線量\</t>
  </si>
  <si>
    <t>会社コード</t>
    <rPh sb="0" eb="2">
      <t>カイシャ</t>
    </rPh>
    <phoneticPr fontId="10"/>
  </si>
  <si>
    <t>0725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</si>
</sst>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_ "/>
    <numFmt numFmtId="177" formatCode="0.00_ "/>
    <numFmt numFmtId="178" formatCode="0.0_);[Red]\(0.0\)"/>
    <numFmt numFmtId="179" formatCode="m&quot;月&quot;d&quot;日&quot;;@"/>
    <numFmt numFmtId="180" formatCode="0.000_);[Red]\(0.000\)"/>
    <numFmt numFmtId="181" formatCode="0.00_);[Red]\(0.00\)"/>
    <numFmt numFmtId="182" formatCode="0&quot;kGy&quot;"/>
    <numFmt numFmtId="183" formatCode="#,##0.000_ "/>
    <numFmt numFmtId="184" formatCode="000000\-0000"/>
    <numFmt numFmtId="185" formatCode="m/d\ hh:mm:ss"/>
    <numFmt numFmtId="186" formatCode="0\ &quot;桁&quot;&quot;ま&quot;&quot;で&quot;&quot;表&quot;&quot;示&quot;"/>
  </numFmts>
  <fonts count="1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color indexed="1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179" fontId="0" fillId="2" borderId="2" xfId="0" applyNumberFormat="1" applyFill="1" applyBorder="1" applyAlignment="1" applyProtection="1">
      <alignment horizontal="center" vertical="center"/>
      <protection locked="0"/>
    </xf>
    <xf numFmtId="181" fontId="0" fillId="2" borderId="3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0" borderId="0" xfId="0" applyFill="1" applyBorder="1" applyProtection="1"/>
    <xf numFmtId="180" fontId="4" fillId="0" borderId="1" xfId="0" applyNumberFormat="1" applyFont="1" applyBorder="1" applyAlignment="1" applyProtection="1">
      <alignment horizontal="center"/>
    </xf>
    <xf numFmtId="179" fontId="0" fillId="0" borderId="4" xfId="0" applyNumberFormat="1" applyFill="1" applyBorder="1" applyAlignment="1" applyProtection="1">
      <alignment horizontal="center" vertical="center"/>
    </xf>
    <xf numFmtId="181" fontId="0" fillId="0" borderId="5" xfId="0" applyNumberFormat="1" applyFill="1" applyBorder="1" applyAlignment="1" applyProtection="1">
      <alignment horizontal="center" vertical="center"/>
    </xf>
    <xf numFmtId="179" fontId="0" fillId="0" borderId="6" xfId="0" applyNumberFormat="1" applyFill="1" applyBorder="1" applyAlignment="1" applyProtection="1">
      <alignment horizontal="center" vertical="center"/>
    </xf>
    <xf numFmtId="181" fontId="0" fillId="0" borderId="7" xfId="0" applyNumberFormat="1" applyFill="1" applyBorder="1" applyAlignment="1" applyProtection="1">
      <alignment horizontal="center" vertical="center"/>
    </xf>
    <xf numFmtId="178" fontId="0" fillId="2" borderId="3" xfId="0" applyNumberFormat="1" applyFill="1" applyBorder="1" applyAlignment="1" applyProtection="1">
      <alignment horizontal="center" vertical="center"/>
      <protection locked="0"/>
    </xf>
    <xf numFmtId="178" fontId="0" fillId="0" borderId="5" xfId="0" applyNumberFormat="1" applyFill="1" applyBorder="1" applyAlignment="1" applyProtection="1">
      <alignment horizontal="center" vertical="center"/>
    </xf>
    <xf numFmtId="178" fontId="0" fillId="0" borderId="7" xfId="0" applyNumberFormat="1" applyFill="1" applyBorder="1" applyAlignment="1" applyProtection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/>
    <xf numFmtId="0" fontId="5" fillId="0" borderId="0" xfId="0" applyFont="1" applyAlignment="1" applyProtection="1"/>
    <xf numFmtId="0" fontId="6" fillId="0" borderId="0" xfId="0" applyFont="1"/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56" fontId="6" fillId="0" borderId="1" xfId="0" applyNumberFormat="1" applyFont="1" applyBorder="1" applyAlignment="1">
      <alignment horizontal="center"/>
    </xf>
    <xf numFmtId="0" fontId="3" fillId="3" borderId="0" xfId="0" applyFont="1" applyFill="1"/>
    <xf numFmtId="0" fontId="0" fillId="0" borderId="0" xfId="0" applyFill="1" applyAlignment="1">
      <alignment horizontal="center"/>
    </xf>
    <xf numFmtId="0" fontId="5" fillId="0" borderId="0" xfId="0" applyFont="1" applyFill="1" applyAlignment="1" applyProtection="1"/>
    <xf numFmtId="0" fontId="0" fillId="0" borderId="8" xfId="0" applyFill="1" applyBorder="1" applyAlignment="1"/>
    <xf numFmtId="0" fontId="0" fillId="0" borderId="0" xfId="0" applyFill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0" fillId="0" borderId="0" xfId="0" applyFill="1" applyAlignment="1"/>
    <xf numFmtId="0" fontId="3" fillId="0" borderId="0" xfId="0" applyFont="1" applyBorder="1" applyAlignment="1"/>
    <xf numFmtId="0" fontId="5" fillId="0" borderId="0" xfId="0" applyFont="1" applyBorder="1" applyAlignment="1" applyProtection="1"/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Border="1"/>
    <xf numFmtId="0" fontId="2" fillId="0" borderId="0" xfId="0" applyFont="1" applyBorder="1" applyAlignment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78" fontId="6" fillId="0" borderId="10" xfId="0" applyNumberFormat="1" applyFont="1" applyBorder="1" applyAlignment="1">
      <alignment horizontal="center"/>
    </xf>
    <xf numFmtId="178" fontId="6" fillId="0" borderId="11" xfId="0" applyNumberFormat="1" applyFont="1" applyBorder="1" applyAlignment="1">
      <alignment horizontal="center"/>
    </xf>
    <xf numFmtId="176" fontId="6" fillId="0" borderId="10" xfId="0" applyNumberFormat="1" applyFont="1" applyBorder="1" applyAlignment="1">
      <alignment horizontal="center"/>
    </xf>
    <xf numFmtId="176" fontId="6" fillId="0" borderId="11" xfId="0" applyNumberFormat="1" applyFont="1" applyBorder="1" applyAlignment="1">
      <alignment horizontal="center"/>
    </xf>
    <xf numFmtId="176" fontId="6" fillId="0" borderId="12" xfId="0" applyNumberFormat="1" applyFont="1" applyBorder="1" applyAlignment="1">
      <alignment horizontal="center"/>
    </xf>
    <xf numFmtId="178" fontId="6" fillId="0" borderId="13" xfId="0" applyNumberFormat="1" applyFont="1" applyBorder="1" applyAlignment="1">
      <alignment horizontal="center"/>
    </xf>
    <xf numFmtId="176" fontId="6" fillId="0" borderId="13" xfId="0" applyNumberFormat="1" applyFont="1" applyBorder="1" applyAlignment="1">
      <alignment horizontal="center"/>
    </xf>
    <xf numFmtId="0" fontId="0" fillId="0" borderId="14" xfId="0" applyNumberFormat="1" applyFill="1" applyBorder="1" applyAlignment="1" applyProtection="1">
      <alignment horizontal="center" vertical="center"/>
    </xf>
    <xf numFmtId="0" fontId="0" fillId="0" borderId="15" xfId="0" applyNumberFormat="1" applyFill="1" applyBorder="1" applyAlignment="1" applyProtection="1">
      <alignment horizontal="center" vertical="center"/>
    </xf>
    <xf numFmtId="177" fontId="0" fillId="2" borderId="1" xfId="0" applyNumberFormat="1" applyFill="1" applyBorder="1" applyAlignment="1" applyProtection="1">
      <alignment horizontal="center"/>
      <protection locked="0"/>
    </xf>
    <xf numFmtId="0" fontId="0" fillId="0" borderId="16" xfId="0" applyNumberFormat="1" applyFill="1" applyBorder="1" applyAlignment="1" applyProtection="1">
      <alignment horizontal="center" vertical="center"/>
    </xf>
    <xf numFmtId="183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177" fontId="6" fillId="0" borderId="1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Fill="1" applyBorder="1" applyAlignment="1"/>
    <xf numFmtId="0" fontId="6" fillId="0" borderId="0" xfId="0" applyFont="1" applyBorder="1"/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56" fontId="6" fillId="0" borderId="19" xfId="0" applyNumberFormat="1" applyFont="1" applyBorder="1" applyAlignment="1">
      <alignment horizontal="center"/>
    </xf>
    <xf numFmtId="177" fontId="6" fillId="0" borderId="19" xfId="0" applyNumberFormat="1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178" fontId="6" fillId="0" borderId="21" xfId="0" applyNumberFormat="1" applyFont="1" applyBorder="1" applyAlignment="1">
      <alignment horizontal="center"/>
    </xf>
    <xf numFmtId="178" fontId="6" fillId="0" borderId="22" xfId="0" applyNumberFormat="1" applyFont="1" applyBorder="1" applyAlignment="1">
      <alignment horizontal="center"/>
    </xf>
    <xf numFmtId="176" fontId="6" fillId="0" borderId="21" xfId="0" applyNumberFormat="1" applyFont="1" applyBorder="1" applyAlignment="1">
      <alignment horizontal="center"/>
    </xf>
    <xf numFmtId="176" fontId="6" fillId="0" borderId="22" xfId="0" applyNumberFormat="1" applyFont="1" applyBorder="1" applyAlignment="1">
      <alignment horizontal="center"/>
    </xf>
    <xf numFmtId="176" fontId="6" fillId="0" borderId="23" xfId="0" applyNumberFormat="1" applyFont="1" applyBorder="1" applyAlignment="1">
      <alignment horizontal="center"/>
    </xf>
    <xf numFmtId="178" fontId="6" fillId="0" borderId="24" xfId="0" applyNumberFormat="1" applyFont="1" applyBorder="1" applyAlignment="1">
      <alignment horizontal="center"/>
    </xf>
    <xf numFmtId="176" fontId="6" fillId="0" borderId="24" xfId="0" applyNumberFormat="1" applyFont="1" applyBorder="1" applyAlignment="1">
      <alignment horizontal="center"/>
    </xf>
    <xf numFmtId="0" fontId="0" fillId="0" borderId="0" xfId="0" applyAlignment="1" applyProtection="1">
      <alignment vertical="top"/>
    </xf>
    <xf numFmtId="178" fontId="0" fillId="0" borderId="0" xfId="0" applyNumberFormat="1" applyProtection="1"/>
    <xf numFmtId="0" fontId="0" fillId="0" borderId="1" xfId="0" applyBorder="1" applyAlignment="1" applyProtection="1">
      <alignment horizontal="center"/>
    </xf>
    <xf numFmtId="178" fontId="0" fillId="0" borderId="1" xfId="0" applyNumberFormat="1" applyBorder="1" applyAlignment="1" applyProtection="1">
      <alignment horizontal="center"/>
    </xf>
    <xf numFmtId="180" fontId="0" fillId="0" borderId="1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center" shrinkToFit="1"/>
    </xf>
    <xf numFmtId="0" fontId="0" fillId="0" borderId="25" xfId="0" applyFill="1" applyBorder="1" applyAlignment="1" applyProtection="1">
      <alignment horizontal="center" vertical="center"/>
    </xf>
    <xf numFmtId="0" fontId="0" fillId="0" borderId="26" xfId="0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178" fontId="0" fillId="0" borderId="0" xfId="0" applyNumberFormat="1" applyProtection="1"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14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</xf>
    <xf numFmtId="180" fontId="4" fillId="0" borderId="1" xfId="0" applyNumberFormat="1" applyFont="1" applyFill="1" applyBorder="1" applyAlignment="1" applyProtection="1">
      <alignment horizontal="center"/>
    </xf>
    <xf numFmtId="0" fontId="7" fillId="0" borderId="0" xfId="0" applyFont="1" applyAlignment="1" applyProtection="1">
      <alignment vertical="center"/>
    </xf>
    <xf numFmtId="184" fontId="6" fillId="0" borderId="0" xfId="0" applyNumberFormat="1" applyFont="1" applyBorder="1" applyAlignment="1"/>
    <xf numFmtId="0" fontId="0" fillId="0" borderId="28" xfId="0" applyBorder="1"/>
    <xf numFmtId="0" fontId="0" fillId="0" borderId="28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6" fillId="0" borderId="29" xfId="0" applyFont="1" applyBorder="1" applyAlignment="1">
      <alignment horizontal="center"/>
    </xf>
    <xf numFmtId="184" fontId="6" fillId="0" borderId="29" xfId="0" applyNumberFormat="1" applyFont="1" applyBorder="1" applyAlignment="1">
      <alignment horizontal="center"/>
    </xf>
    <xf numFmtId="0" fontId="8" fillId="0" borderId="28" xfId="0" applyNumberFormat="1" applyFont="1" applyBorder="1" applyAlignment="1" applyProtection="1">
      <alignment vertical="center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2" xfId="0" applyFont="1" applyBorder="1" applyAlignment="1"/>
    <xf numFmtId="0" fontId="6" fillId="0" borderId="33" xfId="0" applyFont="1" applyBorder="1" applyAlignment="1"/>
    <xf numFmtId="0" fontId="6" fillId="0" borderId="34" xfId="0" applyFont="1" applyBorder="1" applyAlignment="1">
      <alignment horizontal="center"/>
    </xf>
    <xf numFmtId="0" fontId="0" fillId="0" borderId="1" xfId="0" applyBorder="1" applyProtection="1"/>
    <xf numFmtId="0" fontId="0" fillId="0" borderId="1" xfId="0" applyFill="1" applyBorder="1" applyAlignment="1" applyProtection="1">
      <alignment horizontal="center"/>
    </xf>
    <xf numFmtId="22" fontId="0" fillId="0" borderId="0" xfId="0" applyNumberFormat="1" applyProtection="1"/>
    <xf numFmtId="0" fontId="0" fillId="4" borderId="1" xfId="0" applyFill="1" applyBorder="1" applyProtection="1"/>
    <xf numFmtId="0" fontId="0" fillId="0" borderId="0" xfId="0" applyBorder="1" applyProtection="1"/>
    <xf numFmtId="0" fontId="0" fillId="5" borderId="1" xfId="0" applyFill="1" applyBorder="1" applyAlignment="1" applyProtection="1">
      <alignment horizontal="center" shrinkToFit="1"/>
    </xf>
    <xf numFmtId="0" fontId="0" fillId="5" borderId="1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 wrapText="1"/>
    </xf>
    <xf numFmtId="0" fontId="0" fillId="0" borderId="1" xfId="0" applyFill="1" applyBorder="1" applyAlignment="1" applyProtection="1">
      <alignment horizontal="center" vertical="center" wrapText="1"/>
    </xf>
    <xf numFmtId="22" fontId="0" fillId="0" borderId="1" xfId="0" applyNumberFormat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vertical="center"/>
    </xf>
    <xf numFmtId="180" fontId="0" fillId="0" borderId="1" xfId="0" applyNumberFormat="1" applyFont="1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Border="1" applyAlignment="1" applyProtection="1">
      <alignment vertical="center" wrapText="1"/>
    </xf>
    <xf numFmtId="185" fontId="0" fillId="0" borderId="1" xfId="0" applyNumberFormat="1" applyFill="1" applyBorder="1" applyAlignment="1" applyProtection="1">
      <alignment horizontal="center" vertical="center" shrinkToFit="1"/>
    </xf>
    <xf numFmtId="0" fontId="0" fillId="0" borderId="43" xfId="0" applyBorder="1" applyAlignment="1" applyProtection="1"/>
    <xf numFmtId="0" fontId="0" fillId="0" borderId="5" xfId="0" applyNumberFormat="1" applyFill="1" applyBorder="1" applyAlignment="1" applyProtection="1">
      <alignment horizontal="center" vertical="center"/>
    </xf>
    <xf numFmtId="0" fontId="0" fillId="7" borderId="0" xfId="0" applyFill="1" applyAlignment="1" applyProtection="1">
      <alignment vertical="top"/>
      <protection locked="0"/>
    </xf>
    <xf numFmtId="0" fontId="4" fillId="6" borderId="1" xfId="0" applyNumberFormat="1" applyFont="1" applyFill="1" applyBorder="1" applyAlignment="1" applyProtection="1">
      <alignment horizontal="center"/>
      <protection locked="0"/>
    </xf>
    <xf numFmtId="0" fontId="0" fillId="4" borderId="35" xfId="0" applyFill="1" applyBorder="1" applyAlignment="1" applyProtection="1">
      <alignment horizontal="center" wrapText="1"/>
    </xf>
    <xf numFmtId="0" fontId="6" fillId="0" borderId="1" xfId="0" applyFont="1" applyBorder="1" applyAlignment="1" applyProtection="1">
      <alignment wrapText="1"/>
    </xf>
    <xf numFmtId="0" fontId="0" fillId="4" borderId="35" xfId="0" applyFill="1" applyBorder="1" applyAlignment="1" applyProtection="1">
      <alignment horizontal="center" vertical="center" wrapText="1"/>
    </xf>
    <xf numFmtId="0" fontId="0" fillId="2" borderId="1" xfId="0" applyFont="1" applyFill="1" applyBorder="1" applyAlignment="1" applyProtection="1">
      <alignment horizontal="center"/>
      <protection locked="0"/>
    </xf>
    <xf numFmtId="186" fontId="0" fillId="0" borderId="1" xfId="0" applyNumberForma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right" indent="1"/>
    </xf>
    <xf numFmtId="0" fontId="0" fillId="0" borderId="1" xfId="0" applyNumberFormat="1" applyFill="1" applyBorder="1" applyAlignment="1" applyProtection="1">
      <alignment horizontal="right" indent="1"/>
    </xf>
    <xf numFmtId="0" fontId="0" fillId="4" borderId="1" xfId="0" applyFill="1" applyBorder="1" applyAlignment="1" applyProtection="1">
      <alignment horizontal="center" vertical="center"/>
    </xf>
    <xf numFmtId="49" fontId="0" fillId="0" borderId="1" xfId="0" applyNumberFormat="1" applyBorder="1" applyAlignment="1" applyProtection="1">
      <alignment horizontal="center" wrapText="1"/>
    </xf>
    <xf numFmtId="176" fontId="4" fillId="0" borderId="1" xfId="0" applyNumberFormat="1" applyFont="1" applyFill="1" applyBorder="1" applyAlignment="1" applyProtection="1">
      <alignment horizontal="center"/>
    </xf>
    <xf numFmtId="0" fontId="4" fillId="0" borderId="1" xfId="0" applyNumberFormat="1" applyFont="1" applyFill="1" applyBorder="1" applyAlignment="1" applyProtection="1">
      <alignment horizontal="center"/>
    </xf>
    <xf numFmtId="182" fontId="4" fillId="0" borderId="1" xfId="0" applyNumberFormat="1" applyFont="1" applyFill="1" applyBorder="1" applyAlignment="1" applyProtection="1">
      <alignment horizontal="center"/>
    </xf>
    <xf numFmtId="180" fontId="4" fillId="0" borderId="35" xfId="0" applyNumberFormat="1" applyFont="1" applyBorder="1" applyAlignment="1" applyProtection="1">
      <alignment horizontal="center"/>
    </xf>
    <xf numFmtId="180" fontId="4" fillId="0" borderId="36" xfId="0" applyNumberFormat="1" applyFont="1" applyBorder="1" applyAlignment="1" applyProtection="1">
      <alignment horizontal="center"/>
    </xf>
    <xf numFmtId="184" fontId="7" fillId="0" borderId="35" xfId="0" applyNumberFormat="1" applyFont="1" applyFill="1" applyBorder="1" applyAlignment="1" applyProtection="1">
      <alignment horizontal="center"/>
    </xf>
    <xf numFmtId="184" fontId="7" fillId="0" borderId="42" xfId="0" applyNumberFormat="1" applyFont="1" applyFill="1" applyBorder="1" applyAlignment="1" applyProtection="1">
      <alignment horizontal="center"/>
    </xf>
    <xf numFmtId="0" fontId="6" fillId="0" borderId="32" xfId="0" applyFont="1" applyBorder="1" applyAlignment="1">
      <alignment horizontal="center" vertical="center" shrinkToFit="1"/>
    </xf>
    <xf numFmtId="0" fontId="0" fillId="0" borderId="33" xfId="0" applyBorder="1" applyAlignment="1">
      <alignment horizontal="center"/>
    </xf>
    <xf numFmtId="184" fontId="6" fillId="0" borderId="1" xfId="0" applyNumberFormat="1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6" fillId="0" borderId="40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30" xfId="0" applyFont="1" applyBorder="1" applyAlignment="1">
      <alignment horizontal="center" vertical="center" textRotation="255" shrinkToFit="1"/>
    </xf>
    <xf numFmtId="0" fontId="0" fillId="0" borderId="37" xfId="0" applyBorder="1" applyAlignment="1">
      <alignment horizontal="center" vertical="center"/>
    </xf>
    <xf numFmtId="0" fontId="6" fillId="0" borderId="0" xfId="0" applyFont="1" applyAlignment="1">
      <alignment vertical="center" shrinkToFit="1"/>
    </xf>
    <xf numFmtId="0" fontId="6" fillId="0" borderId="0" xfId="0" applyFont="1" applyBorder="1" applyAlignment="1">
      <alignment vertical="center" shrinkToFit="1"/>
    </xf>
  </cellXfs>
  <cellStyles count="1">
    <cellStyle name="標準" xfId="0" builtinId="0"/>
  </cellStyles>
  <dxfs count="3"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auto="1"/>
      </font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3</xdr:col>
      <xdr:colOff>457200</xdr:colOff>
      <xdr:row>0</xdr:row>
      <xdr:rowOff>314325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323850" y="0"/>
          <a:ext cx="2019300" cy="314325"/>
        </a:xfrm>
        <a:prstGeom prst="rect">
          <a:avLst/>
        </a:prstGeom>
        <a:solidFill>
          <a:srgbClr val="0000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strike="noStrike">
              <a:solidFill>
                <a:srgbClr val="FFFF00"/>
              </a:solidFill>
              <a:latin typeface="ＭＳ Ｐゴシック"/>
              <a:ea typeface="ＭＳ Ｐゴシック"/>
            </a:rPr>
            <a:t>印刷は印刷範囲を指定して印刷。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000" b="1" i="0" strike="noStrike">
              <a:solidFill>
                <a:srgbClr val="FFFF00"/>
              </a:solidFill>
              <a:latin typeface="ＭＳ Ｐゴシック"/>
              <a:ea typeface="ＭＳ Ｐゴシック"/>
            </a:rPr>
            <a:t>黄色部分は入力可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723900</xdr:colOff>
          <xdr:row>0</xdr:row>
          <xdr:rowOff>47625</xdr:rowOff>
        </xdr:from>
        <xdr:to>
          <xdr:col>10</xdr:col>
          <xdr:colOff>714375</xdr:colOff>
          <xdr:row>0</xdr:row>
          <xdr:rowOff>400050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ｶｰｿﾙ右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0</xdr:row>
          <xdr:rowOff>57150</xdr:rowOff>
        </xdr:from>
        <xdr:to>
          <xdr:col>8</xdr:col>
          <xdr:colOff>628650</xdr:colOff>
          <xdr:row>0</xdr:row>
          <xdr:rowOff>409575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0</xdr:row>
          <xdr:rowOff>47625</xdr:rowOff>
        </xdr:from>
        <xdr:to>
          <xdr:col>9</xdr:col>
          <xdr:colOff>638175</xdr:colOff>
          <xdr:row>0</xdr:row>
          <xdr:rowOff>400050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361950</xdr:colOff>
      <xdr:row>1</xdr:row>
      <xdr:rowOff>57150</xdr:rowOff>
    </xdr:from>
    <xdr:to>
      <xdr:col>8</xdr:col>
      <xdr:colOff>847725</xdr:colOff>
      <xdr:row>4</xdr:row>
      <xdr:rowOff>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4524375" y="57150"/>
          <a:ext cx="2200275" cy="438150"/>
        </a:xfrm>
        <a:prstGeom prst="rect">
          <a:avLst/>
        </a:prstGeom>
        <a:solidFill>
          <a:srgbClr val="0000FF"/>
        </a:solidFill>
        <a:ln w="9525" algn="ctr">
          <a:noFill/>
          <a:miter lim="800000"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1">
            <a:lnSpc>
              <a:spcPts val="1200"/>
            </a:lnSpc>
            <a:defRPr sz="1000"/>
          </a:pPr>
          <a:r>
            <a:rPr lang="ja-JP" altLang="en-US" sz="1000" b="1" i="0" strike="noStrike">
              <a:solidFill>
                <a:srgbClr val="FFFF00"/>
              </a:solidFill>
              <a:latin typeface="ＭＳ Ｐゴシック"/>
              <a:ea typeface="ＭＳ Ｐゴシック"/>
            </a:rPr>
            <a:t>不要セル範囲に斜線をいれ</a:t>
          </a:r>
        </a:p>
        <a:p>
          <a:pPr algn="ctr" rtl="1">
            <a:lnSpc>
              <a:spcPts val="1100"/>
            </a:lnSpc>
            <a:defRPr sz="1000"/>
          </a:pPr>
          <a:r>
            <a:rPr lang="ja-JP" altLang="en-US" sz="1000" b="1" i="0" strike="noStrike">
              <a:solidFill>
                <a:srgbClr val="FFFF00"/>
              </a:solidFill>
              <a:latin typeface="ＭＳ Ｐゴシック"/>
              <a:ea typeface="ＭＳ Ｐゴシック"/>
            </a:rPr>
            <a:t>印刷範囲を指定して印字してください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30"/>
  <sheetViews>
    <sheetView workbookViewId="0">
      <selection activeCell="H8" sqref="H8"/>
    </sheetView>
  </sheetViews>
  <sheetFormatPr defaultRowHeight="13.5"/>
  <cols>
    <col min="2" max="2" width="3" customWidth="1"/>
    <col min="3" max="3" width="3.125" customWidth="1"/>
    <col min="4" max="4" width="4.25" customWidth="1"/>
  </cols>
  <sheetData>
    <row r="1" spans="2:4">
      <c r="C1" t="s">
        <v>59</v>
      </c>
    </row>
    <row r="3" spans="2:4">
      <c r="B3" t="s">
        <v>60</v>
      </c>
      <c r="C3" t="s">
        <v>61</v>
      </c>
    </row>
    <row r="4" spans="2:4">
      <c r="C4" s="1">
        <v>1</v>
      </c>
      <c r="D4" t="s">
        <v>62</v>
      </c>
    </row>
    <row r="5" spans="2:4">
      <c r="C5" s="1">
        <v>2</v>
      </c>
      <c r="D5" t="s">
        <v>63</v>
      </c>
    </row>
    <row r="6" spans="2:4">
      <c r="C6" s="1">
        <v>3</v>
      </c>
      <c r="D6" t="s">
        <v>64</v>
      </c>
    </row>
    <row r="7" spans="2:4">
      <c r="C7" s="1">
        <v>4</v>
      </c>
      <c r="D7" t="s">
        <v>108</v>
      </c>
    </row>
    <row r="8" spans="2:4">
      <c r="C8" s="1"/>
      <c r="D8" t="s">
        <v>65</v>
      </c>
    </row>
    <row r="9" spans="2:4">
      <c r="C9" s="1"/>
    </row>
    <row r="10" spans="2:4">
      <c r="B10" t="s">
        <v>66</v>
      </c>
      <c r="C10" t="s">
        <v>85</v>
      </c>
    </row>
    <row r="11" spans="2:4">
      <c r="C11" s="1">
        <v>1</v>
      </c>
      <c r="D11" t="s">
        <v>89</v>
      </c>
    </row>
    <row r="12" spans="2:4">
      <c r="D12" s="7" t="s">
        <v>86</v>
      </c>
    </row>
    <row r="13" spans="2:4">
      <c r="D13" s="7" t="s">
        <v>87</v>
      </c>
    </row>
    <row r="14" spans="2:4">
      <c r="D14" s="7"/>
    </row>
    <row r="15" spans="2:4">
      <c r="B15" t="s">
        <v>67</v>
      </c>
      <c r="C15" t="s">
        <v>68</v>
      </c>
    </row>
    <row r="16" spans="2:4">
      <c r="C16" s="1">
        <v>1</v>
      </c>
      <c r="D16" t="s">
        <v>90</v>
      </c>
    </row>
    <row r="17" spans="2:4">
      <c r="C17" s="1">
        <v>2</v>
      </c>
      <c r="D17" t="s">
        <v>69</v>
      </c>
    </row>
    <row r="18" spans="2:4">
      <c r="C18" s="1"/>
      <c r="D18" t="s">
        <v>70</v>
      </c>
    </row>
    <row r="19" spans="2:4">
      <c r="C19" s="1">
        <v>3</v>
      </c>
      <c r="D19" t="s">
        <v>71</v>
      </c>
    </row>
    <row r="20" spans="2:4">
      <c r="C20" s="1">
        <v>4</v>
      </c>
      <c r="D20" t="s">
        <v>88</v>
      </c>
    </row>
    <row r="21" spans="2:4">
      <c r="C21" s="1"/>
    </row>
    <row r="22" spans="2:4">
      <c r="B22" t="s">
        <v>72</v>
      </c>
      <c r="C22" t="s">
        <v>73</v>
      </c>
    </row>
    <row r="23" spans="2:4">
      <c r="C23" s="1">
        <v>1</v>
      </c>
      <c r="D23" t="s">
        <v>74</v>
      </c>
    </row>
    <row r="24" spans="2:4">
      <c r="C24" s="1">
        <v>2</v>
      </c>
      <c r="D24" t="s">
        <v>75</v>
      </c>
    </row>
    <row r="25" spans="2:4">
      <c r="C25" s="1">
        <v>3</v>
      </c>
      <c r="D25" t="s">
        <v>76</v>
      </c>
    </row>
    <row r="26" spans="2:4">
      <c r="C26" s="1">
        <v>4</v>
      </c>
      <c r="D26" t="s">
        <v>109</v>
      </c>
    </row>
    <row r="28" spans="2:4">
      <c r="B28" t="s">
        <v>77</v>
      </c>
      <c r="C28" t="s">
        <v>78</v>
      </c>
    </row>
    <row r="30" spans="2:4">
      <c r="B30" t="s">
        <v>79</v>
      </c>
      <c r="C30" t="s">
        <v>80</v>
      </c>
    </row>
  </sheetData>
  <phoneticPr fontId="1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544"/>
  <sheetViews>
    <sheetView showGridLines="0" tabSelected="1" workbookViewId="0">
      <pane xSplit="11" ySplit="4" topLeftCell="L5" activePane="bottomRight" state="frozen"/>
      <selection pane="topRight" activeCell="L1" sqref="L1"/>
      <selection pane="bottomLeft" activeCell="A5" sqref="A5"/>
      <selection pane="bottomRight" activeCell="F3" sqref="F3"/>
    </sheetView>
  </sheetViews>
  <sheetFormatPr defaultRowHeight="13.5"/>
  <cols>
    <col min="1" max="1" width="4.25" style="7" customWidth="1"/>
    <col min="2" max="3" width="10.375" style="7" customWidth="1"/>
    <col min="4" max="4" width="10.375" style="71" customWidth="1"/>
    <col min="5" max="9" width="10.375" style="7" customWidth="1"/>
    <col min="10" max="10" width="10.375" style="5" customWidth="1"/>
    <col min="11" max="11" width="10.375" style="115" customWidth="1"/>
    <col min="12" max="13" width="1.5" style="7" customWidth="1"/>
    <col min="14" max="14" width="12.5" style="7" customWidth="1"/>
    <col min="15" max="15" width="12.875" style="7" customWidth="1"/>
    <col min="16" max="16" width="1.5" style="7" customWidth="1"/>
    <col min="17" max="17" width="9" style="7" hidden="1" customWidth="1"/>
    <col min="18" max="18" width="1.5" style="7" hidden="1" customWidth="1"/>
    <col min="19" max="19" width="14.375" style="7" hidden="1" customWidth="1"/>
    <col min="20" max="20" width="1.5" style="7" hidden="1" customWidth="1"/>
    <col min="21" max="21" width="10.25" style="7" hidden="1" customWidth="1"/>
    <col min="22" max="22" width="1.5" style="7" hidden="1" customWidth="1"/>
    <col min="23" max="23" width="0" style="7" hidden="1" customWidth="1"/>
    <col min="24" max="30" width="12.5" style="7" hidden="1" customWidth="1"/>
    <col min="31" max="16384" width="9" style="7"/>
  </cols>
  <sheetData>
    <row r="1" spans="1:48" ht="37.5" customHeight="1">
      <c r="A1" s="120"/>
      <c r="B1" s="70"/>
      <c r="D1" s="81"/>
      <c r="E1" s="86" t="s">
        <v>26</v>
      </c>
      <c r="F1" s="84"/>
      <c r="G1" s="84"/>
      <c r="H1" s="84"/>
      <c r="J1" s="93"/>
      <c r="K1" s="113"/>
      <c r="L1" s="5"/>
      <c r="M1" s="5"/>
      <c r="N1" s="124" t="s">
        <v>106</v>
      </c>
      <c r="O1" s="123" t="s">
        <v>111</v>
      </c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</row>
    <row r="2" spans="1:48" ht="18" customHeight="1">
      <c r="B2" s="136" t="s">
        <v>103</v>
      </c>
      <c r="C2" s="137"/>
      <c r="D2" s="9" t="s">
        <v>15</v>
      </c>
      <c r="E2" s="9" t="s">
        <v>14</v>
      </c>
      <c r="F2" s="9" t="s">
        <v>23</v>
      </c>
      <c r="G2" s="9" t="s">
        <v>24</v>
      </c>
      <c r="H2" s="9" t="s">
        <v>25</v>
      </c>
      <c r="I2" s="85" t="s">
        <v>55</v>
      </c>
      <c r="J2" s="127" t="s">
        <v>56</v>
      </c>
      <c r="K2" s="128" t="s">
        <v>102</v>
      </c>
      <c r="M2" s="109"/>
      <c r="N2" s="106" t="s">
        <v>110</v>
      </c>
      <c r="O2" s="126">
        <v>1</v>
      </c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</row>
    <row r="3" spans="1:48" ht="18" customHeight="1">
      <c r="B3" s="138"/>
      <c r="C3" s="139"/>
      <c r="D3" s="134"/>
      <c r="E3" s="135"/>
      <c r="F3" s="121"/>
      <c r="G3" s="121"/>
      <c r="H3" s="121"/>
      <c r="I3" s="133"/>
      <c r="J3" s="133"/>
      <c r="K3" s="117"/>
      <c r="L3" s="116"/>
      <c r="M3" s="109"/>
      <c r="N3" s="122" t="s">
        <v>107</v>
      </c>
      <c r="O3" s="75" t="str">
        <f>IFERROR(IF(MID(Uno,5,2)*1&lt;4,(LEFT(Uno,4)*1-1) &amp; "年度\",LEFT(Uno,4)&amp; "年度\"),"")</f>
        <v/>
      </c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4"/>
      <c r="AU3" s="104"/>
      <c r="AV3" s="104"/>
    </row>
    <row r="4" spans="1:48" ht="18" customHeight="1">
      <c r="A4" s="72" t="s">
        <v>11</v>
      </c>
      <c r="B4" s="118" t="s">
        <v>5</v>
      </c>
      <c r="C4" s="72" t="s">
        <v>104</v>
      </c>
      <c r="D4" s="73" t="s">
        <v>105</v>
      </c>
      <c r="E4" s="72" t="s">
        <v>12</v>
      </c>
      <c r="F4" s="72" t="s">
        <v>6</v>
      </c>
      <c r="G4" s="72" t="s">
        <v>7</v>
      </c>
      <c r="H4" s="74" t="s">
        <v>8</v>
      </c>
      <c r="I4" s="72" t="s">
        <v>9</v>
      </c>
      <c r="J4" s="75" t="s">
        <v>13</v>
      </c>
      <c r="K4" s="114" t="s">
        <v>25</v>
      </c>
      <c r="L4" s="102"/>
      <c r="N4" s="131" t="s">
        <v>112</v>
      </c>
      <c r="O4" s="132" t="s">
        <v>113</v>
      </c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I4" s="104"/>
      <c r="AJ4" s="104"/>
      <c r="AK4" s="104"/>
      <c r="AL4" s="104"/>
      <c r="AM4" s="104"/>
      <c r="AN4" s="104"/>
      <c r="AO4" s="104"/>
      <c r="AP4" s="104"/>
      <c r="AQ4" s="104"/>
      <c r="AR4" s="104"/>
      <c r="AS4" s="104"/>
      <c r="AT4" s="104"/>
      <c r="AU4" s="104"/>
      <c r="AV4" s="104"/>
    </row>
    <row r="5" spans="1:48" ht="19.5" customHeight="1">
      <c r="A5" s="82">
        <v>1</v>
      </c>
      <c r="B5" s="3"/>
      <c r="C5" s="4"/>
      <c r="D5" s="14"/>
      <c r="E5" s="83">
        <v>1</v>
      </c>
      <c r="F5" s="72" t="str">
        <f>IF(OR(D3=1,E5=0),"","A"&amp;E5&amp;"-0")</f>
        <v>A1-0</v>
      </c>
      <c r="G5" s="50"/>
      <c r="H5" s="52"/>
      <c r="I5" s="129"/>
      <c r="J5" s="53"/>
      <c r="K5" s="101"/>
      <c r="Q5" s="112" t="s">
        <v>24</v>
      </c>
      <c r="R5" s="5"/>
      <c r="S5" s="103" t="s">
        <v>92</v>
      </c>
      <c r="T5" s="8"/>
      <c r="U5" s="106" t="s">
        <v>101</v>
      </c>
      <c r="W5" s="106" t="s">
        <v>100</v>
      </c>
      <c r="X5" s="106" t="s">
        <v>95</v>
      </c>
      <c r="Y5" s="106" t="s">
        <v>96</v>
      </c>
      <c r="Z5" s="106" t="s">
        <v>97</v>
      </c>
      <c r="AA5" s="106" t="s">
        <v>98</v>
      </c>
      <c r="AB5" s="106" t="s">
        <v>99</v>
      </c>
      <c r="AC5" s="106" t="s">
        <v>20</v>
      </c>
      <c r="AD5" s="106" t="s">
        <v>21</v>
      </c>
    </row>
    <row r="6" spans="1:48" ht="19.5" customHeight="1">
      <c r="A6" s="76"/>
      <c r="B6" s="10"/>
      <c r="C6" s="11"/>
      <c r="D6" s="15"/>
      <c r="E6" s="49" t="s">
        <v>52</v>
      </c>
      <c r="F6" s="72" t="str">
        <f>IF(OR(D3=1,E5=0),"","A"&amp;E5&amp;"-1")</f>
        <v>A1-1</v>
      </c>
      <c r="G6" s="50"/>
      <c r="H6" s="52"/>
      <c r="I6" s="129"/>
      <c r="J6" s="53"/>
      <c r="K6" s="101"/>
      <c r="Q6" s="110"/>
      <c r="R6" s="5"/>
      <c r="S6" s="72"/>
      <c r="T6" s="8"/>
      <c r="U6" s="100"/>
      <c r="W6" s="105" t="s">
        <v>18</v>
      </c>
      <c r="X6" s="100"/>
      <c r="Y6" s="100"/>
      <c r="Z6" s="100"/>
      <c r="AA6" s="100"/>
      <c r="AB6" s="100"/>
      <c r="AC6" s="100"/>
      <c r="AD6" s="100"/>
    </row>
    <row r="7" spans="1:48" ht="19.5" customHeight="1">
      <c r="A7" s="76"/>
      <c r="B7" s="10"/>
      <c r="C7" s="119"/>
      <c r="D7" s="15"/>
      <c r="E7" s="49"/>
      <c r="F7" s="72" t="str">
        <f>IF(OR(D3=1,E5=0),"","B"&amp;E5&amp;"-0")</f>
        <v>B1-0</v>
      </c>
      <c r="G7" s="50"/>
      <c r="H7" s="52"/>
      <c r="I7" s="129"/>
      <c r="J7" s="53"/>
      <c r="K7" s="101"/>
      <c r="Q7" s="111"/>
      <c r="R7" s="5"/>
      <c r="S7" s="72"/>
      <c r="T7" s="6"/>
      <c r="W7" s="105" t="s">
        <v>22</v>
      </c>
      <c r="X7" s="100"/>
      <c r="Y7" s="100"/>
      <c r="Z7" s="100"/>
      <c r="AA7" s="100"/>
      <c r="AB7" s="100"/>
      <c r="AC7" s="100"/>
      <c r="AD7" s="100"/>
    </row>
    <row r="8" spans="1:48" ht="19.5" customHeight="1">
      <c r="A8" s="76"/>
      <c r="B8" s="10"/>
      <c r="C8" s="11"/>
      <c r="D8" s="15"/>
      <c r="E8" s="49"/>
      <c r="F8" s="72" t="str">
        <f>IF(OR(D3=1,E5=0),"","B"&amp;E5&amp;"-1")</f>
        <v>B1-1</v>
      </c>
      <c r="G8" s="50"/>
      <c r="H8" s="52"/>
      <c r="I8" s="129"/>
      <c r="J8" s="53"/>
      <c r="K8" s="101"/>
      <c r="Q8" s="72"/>
      <c r="S8" s="72"/>
      <c r="T8" s="108"/>
      <c r="W8" s="105" t="s">
        <v>19</v>
      </c>
      <c r="X8" s="100"/>
      <c r="Y8" s="100"/>
      <c r="Z8" s="100"/>
      <c r="AA8" s="100"/>
      <c r="AB8" s="100"/>
      <c r="AC8" s="100"/>
      <c r="AD8" s="100"/>
    </row>
    <row r="9" spans="1:48" ht="19.5" customHeight="1">
      <c r="A9" s="76"/>
      <c r="B9" s="10"/>
      <c r="C9" s="11"/>
      <c r="D9" s="15"/>
      <c r="E9" s="49"/>
      <c r="F9" s="72" t="str">
        <f>IF(OR(D3=1,E5=0),"","C"&amp;E5&amp;"-0")</f>
        <v>C1-0</v>
      </c>
      <c r="G9" s="50"/>
      <c r="H9" s="52"/>
      <c r="I9" s="129"/>
      <c r="J9" s="53"/>
      <c r="K9" s="101"/>
      <c r="S9" s="72"/>
      <c r="T9" s="8"/>
      <c r="W9" s="105" t="s">
        <v>93</v>
      </c>
      <c r="X9" s="100"/>
      <c r="Y9" s="100"/>
      <c r="Z9" s="100"/>
      <c r="AA9" s="100"/>
      <c r="AB9" s="100"/>
      <c r="AC9" s="100"/>
      <c r="AD9" s="100"/>
    </row>
    <row r="10" spans="1:48" ht="19.5" customHeight="1">
      <c r="A10" s="76"/>
      <c r="B10" s="10"/>
      <c r="C10" s="11"/>
      <c r="D10" s="15"/>
      <c r="E10" s="51"/>
      <c r="F10" s="72" t="str">
        <f>IF(OR(D3=1,E5=0),"","C"&amp;E5&amp;"-1")</f>
        <v>C1-1</v>
      </c>
      <c r="G10" s="50"/>
      <c r="H10" s="52"/>
      <c r="I10" s="129"/>
      <c r="J10" s="53"/>
      <c r="K10" s="101"/>
      <c r="S10" s="72"/>
      <c r="T10" s="104"/>
      <c r="W10" s="105" t="s">
        <v>94</v>
      </c>
      <c r="X10" s="100"/>
      <c r="Y10" s="100"/>
      <c r="Z10" s="100"/>
      <c r="AA10" s="100"/>
      <c r="AB10" s="100"/>
      <c r="AC10" s="100"/>
      <c r="AD10" s="100"/>
    </row>
    <row r="11" spans="1:48" ht="19.5" customHeight="1">
      <c r="A11" s="76"/>
      <c r="B11" s="10"/>
      <c r="C11" s="11"/>
      <c r="D11" s="15"/>
      <c r="E11" s="48">
        <f>IF(D3=1,1,IF($D$3&gt;=E5+1,E5+1,0))</f>
        <v>0</v>
      </c>
      <c r="F11" s="72" t="str">
        <f>IF(E11=0,"","A"&amp;E11&amp;"-0")</f>
        <v/>
      </c>
      <c r="G11" s="50"/>
      <c r="H11" s="52"/>
      <c r="I11" s="129"/>
      <c r="J11" s="53"/>
      <c r="K11" s="101"/>
      <c r="S11" s="72"/>
    </row>
    <row r="12" spans="1:48" ht="19.5" customHeight="1">
      <c r="A12" s="76"/>
      <c r="B12" s="10"/>
      <c r="C12" s="11"/>
      <c r="D12" s="15"/>
      <c r="E12" s="49" t="s">
        <v>53</v>
      </c>
      <c r="F12" s="72" t="str">
        <f>IF(E11=0,"","A"&amp;E11&amp;"-1")</f>
        <v/>
      </c>
      <c r="G12" s="50"/>
      <c r="H12" s="52"/>
      <c r="I12" s="129"/>
      <c r="J12" s="53"/>
      <c r="K12" s="101"/>
      <c r="S12" s="72"/>
    </row>
    <row r="13" spans="1:48" ht="19.5" customHeight="1">
      <c r="A13" s="76"/>
      <c r="B13" s="10"/>
      <c r="C13" s="11"/>
      <c r="D13" s="15"/>
      <c r="E13" s="49"/>
      <c r="F13" s="72" t="str">
        <f>IF(E11=0,"","B"&amp;E11&amp;"-0")</f>
        <v/>
      </c>
      <c r="G13" s="50"/>
      <c r="H13" s="52"/>
      <c r="I13" s="129"/>
      <c r="J13" s="53"/>
      <c r="K13" s="101"/>
      <c r="S13" s="72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</row>
    <row r="14" spans="1:48" ht="19.5" customHeight="1">
      <c r="A14" s="76"/>
      <c r="B14" s="10"/>
      <c r="C14" s="11"/>
      <c r="D14" s="15"/>
      <c r="E14" s="49"/>
      <c r="F14" s="72" t="str">
        <f>IF(E11=0,"","B"&amp;E11&amp;"-1")</f>
        <v/>
      </c>
      <c r="G14" s="50"/>
      <c r="H14" s="52"/>
      <c r="I14" s="129"/>
      <c r="J14" s="53"/>
      <c r="K14" s="101"/>
      <c r="R14" s="104"/>
      <c r="S14" s="72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</row>
    <row r="15" spans="1:48" ht="19.5" customHeight="1">
      <c r="A15" s="76"/>
      <c r="B15" s="10"/>
      <c r="C15" s="11"/>
      <c r="D15" s="15"/>
      <c r="E15" s="49"/>
      <c r="F15" s="72" t="str">
        <f>IF(E11=0,"","C"&amp;E11&amp;"-0")</f>
        <v/>
      </c>
      <c r="G15" s="50"/>
      <c r="H15" s="52"/>
      <c r="I15" s="129"/>
      <c r="J15" s="53"/>
      <c r="K15" s="101"/>
      <c r="R15" s="104"/>
      <c r="S15" s="72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</row>
    <row r="16" spans="1:48" ht="19.5" customHeight="1">
      <c r="A16" s="76"/>
      <c r="B16" s="10"/>
      <c r="C16" s="11"/>
      <c r="D16" s="15"/>
      <c r="E16" s="51"/>
      <c r="F16" s="72" t="str">
        <f>IF(E11=0,"","C"&amp;E11&amp;"-1")</f>
        <v/>
      </c>
      <c r="G16" s="50"/>
      <c r="H16" s="52"/>
      <c r="I16" s="129"/>
      <c r="J16" s="53"/>
      <c r="K16" s="101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</row>
    <row r="17" spans="1:42" ht="19.5" customHeight="1">
      <c r="A17" s="76"/>
      <c r="B17" s="10"/>
      <c r="C17" s="11"/>
      <c r="D17" s="15"/>
      <c r="E17" s="48">
        <f>IF($D$3&gt;=E11+1,E11+1,0)</f>
        <v>0</v>
      </c>
      <c r="F17" s="72" t="str">
        <f>IF(E17=0,"","A"&amp;E17&amp;"-0")</f>
        <v/>
      </c>
      <c r="G17" s="50"/>
      <c r="H17" s="52"/>
      <c r="I17" s="129"/>
      <c r="J17" s="53"/>
      <c r="K17" s="101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</row>
    <row r="18" spans="1:42" ht="19.5" customHeight="1">
      <c r="A18" s="76"/>
      <c r="B18" s="10"/>
      <c r="C18" s="11"/>
      <c r="D18" s="15"/>
      <c r="E18" s="49" t="s">
        <v>54</v>
      </c>
      <c r="F18" s="72" t="str">
        <f>IF(E17=0,"","A"&amp;E17&amp;"-1")</f>
        <v/>
      </c>
      <c r="G18" s="50"/>
      <c r="H18" s="52"/>
      <c r="I18" s="129"/>
      <c r="J18" s="53"/>
      <c r="K18" s="101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</row>
    <row r="19" spans="1:42" ht="19.5" customHeight="1">
      <c r="A19" s="76"/>
      <c r="B19" s="10"/>
      <c r="C19" s="11"/>
      <c r="D19" s="15"/>
      <c r="E19" s="49"/>
      <c r="F19" s="72" t="str">
        <f>IF(E17=0,"","B"&amp;E17&amp;"-0")</f>
        <v/>
      </c>
      <c r="G19" s="50"/>
      <c r="H19" s="52"/>
      <c r="I19" s="129"/>
      <c r="J19" s="53"/>
      <c r="K19" s="101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</row>
    <row r="20" spans="1:42" ht="19.5" customHeight="1">
      <c r="A20" s="76"/>
      <c r="B20" s="10"/>
      <c r="C20" s="11"/>
      <c r="D20" s="15"/>
      <c r="E20" s="49"/>
      <c r="F20" s="72" t="str">
        <f>IF(E17=0,"","B"&amp;E17&amp;"-1")</f>
        <v/>
      </c>
      <c r="G20" s="50"/>
      <c r="H20" s="52"/>
      <c r="I20" s="129"/>
      <c r="J20" s="53"/>
      <c r="K20" s="101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</row>
    <row r="21" spans="1:42" ht="19.5" customHeight="1">
      <c r="A21" s="76"/>
      <c r="B21" s="10"/>
      <c r="C21" s="11"/>
      <c r="D21" s="15"/>
      <c r="E21" s="49"/>
      <c r="F21" s="72" t="str">
        <f>IF(E17=0,"","C"&amp;E17&amp;"-0")</f>
        <v/>
      </c>
      <c r="G21" s="50"/>
      <c r="H21" s="52"/>
      <c r="I21" s="129"/>
      <c r="J21" s="53"/>
      <c r="K21" s="101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</row>
    <row r="22" spans="1:42" ht="19.5" customHeight="1">
      <c r="A22" s="77"/>
      <c r="B22" s="12"/>
      <c r="C22" s="13"/>
      <c r="D22" s="16"/>
      <c r="E22" s="51"/>
      <c r="F22" s="72" t="str">
        <f>IF(E17=0,"","C"&amp;E17&amp;"-1")</f>
        <v/>
      </c>
      <c r="G22" s="50"/>
      <c r="H22" s="52"/>
      <c r="I22" s="129"/>
      <c r="J22" s="53"/>
      <c r="K22" s="101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</row>
    <row r="23" spans="1:42" ht="19.5" customHeight="1">
      <c r="A23" s="78" t="str">
        <f>IF(ROUNDUP($D$3/3,0)&gt;A5,A5+1,"")</f>
        <v/>
      </c>
      <c r="B23" s="3"/>
      <c r="C23" s="4"/>
      <c r="D23" s="14"/>
      <c r="E23" s="48">
        <f>IF(AND(E17&gt;1,$D$3&gt;=E17+1),E17+1,0)</f>
        <v>0</v>
      </c>
      <c r="F23" s="72" t="str">
        <f>IF(E23=0,"","A"&amp;E23&amp;"-0")</f>
        <v/>
      </c>
      <c r="G23" s="50"/>
      <c r="H23" s="52"/>
      <c r="I23" s="129"/>
      <c r="J23" s="125"/>
      <c r="K23" s="101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</row>
    <row r="24" spans="1:42" ht="19.5" customHeight="1">
      <c r="A24" s="79"/>
      <c r="B24" s="10"/>
      <c r="C24" s="11"/>
      <c r="D24" s="15"/>
      <c r="E24" s="49" t="s">
        <v>52</v>
      </c>
      <c r="F24" s="72" t="str">
        <f>IF(E23=0,"","A"&amp;E23&amp;"-1")</f>
        <v/>
      </c>
      <c r="G24" s="50"/>
      <c r="H24" s="52"/>
      <c r="I24" s="129"/>
      <c r="J24" s="125"/>
      <c r="K24" s="101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</row>
    <row r="25" spans="1:42" ht="19.5" customHeight="1">
      <c r="A25" s="79"/>
      <c r="B25" s="10"/>
      <c r="C25" s="11"/>
      <c r="D25" s="15"/>
      <c r="E25" s="49"/>
      <c r="F25" s="72" t="str">
        <f>IF(E23=0,"","B"&amp;E23&amp;"-0")</f>
        <v/>
      </c>
      <c r="G25" s="50"/>
      <c r="H25" s="52"/>
      <c r="I25" s="129"/>
      <c r="J25" s="125"/>
      <c r="K25" s="101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</row>
    <row r="26" spans="1:42" ht="19.5" customHeight="1">
      <c r="A26" s="79"/>
      <c r="B26" s="10"/>
      <c r="C26" s="11"/>
      <c r="D26" s="15"/>
      <c r="E26" s="49"/>
      <c r="F26" s="72" t="str">
        <f>IF(E23=0,"","B"&amp;E23&amp;"-1")</f>
        <v/>
      </c>
      <c r="G26" s="50"/>
      <c r="H26" s="52"/>
      <c r="I26" s="129"/>
      <c r="J26" s="125"/>
      <c r="K26" s="101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</row>
    <row r="27" spans="1:42" ht="19.5" customHeight="1">
      <c r="A27" s="79"/>
      <c r="B27" s="10"/>
      <c r="C27" s="11"/>
      <c r="D27" s="15"/>
      <c r="E27" s="49"/>
      <c r="F27" s="72" t="str">
        <f>IF(E23=0,"","C"&amp;E23&amp;"-0")</f>
        <v/>
      </c>
      <c r="G27" s="50"/>
      <c r="H27" s="52"/>
      <c r="I27" s="129"/>
      <c r="J27" s="125"/>
      <c r="K27" s="101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</row>
    <row r="28" spans="1:42" ht="19.5" customHeight="1">
      <c r="A28" s="79"/>
      <c r="B28" s="10"/>
      <c r="C28" s="11"/>
      <c r="D28" s="15"/>
      <c r="E28" s="51"/>
      <c r="F28" s="72" t="str">
        <f>IF(E23=0,"","C"&amp;E23&amp;"-1")</f>
        <v/>
      </c>
      <c r="G28" s="50"/>
      <c r="H28" s="52"/>
      <c r="I28" s="129"/>
      <c r="J28" s="125"/>
      <c r="K28" s="101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</row>
    <row r="29" spans="1:42" ht="19.5" customHeight="1">
      <c r="A29" s="79"/>
      <c r="B29" s="10"/>
      <c r="C29" s="11"/>
      <c r="D29" s="15"/>
      <c r="E29" s="48">
        <f>IF(AND(E23&gt;1,$D$3&gt;=E23+1),E23+1,0)</f>
        <v>0</v>
      </c>
      <c r="F29" s="72" t="str">
        <f>IF(E29=0,"","A"&amp;E29&amp;"-0")</f>
        <v/>
      </c>
      <c r="G29" s="50"/>
      <c r="H29" s="52"/>
      <c r="I29" s="129"/>
      <c r="J29" s="125"/>
      <c r="K29" s="101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</row>
    <row r="30" spans="1:42" ht="19.5" customHeight="1">
      <c r="A30" s="79"/>
      <c r="B30" s="10"/>
      <c r="C30" s="11"/>
      <c r="D30" s="15"/>
      <c r="E30" s="49" t="s">
        <v>53</v>
      </c>
      <c r="F30" s="72" t="str">
        <f>IF(E29=0,"","A"&amp;E29&amp;"-1")</f>
        <v/>
      </c>
      <c r="G30" s="50"/>
      <c r="H30" s="52"/>
      <c r="I30" s="129"/>
      <c r="J30" s="125"/>
      <c r="K30" s="101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</row>
    <row r="31" spans="1:42" ht="19.5" customHeight="1">
      <c r="A31" s="79"/>
      <c r="B31" s="10"/>
      <c r="C31" s="11"/>
      <c r="D31" s="15"/>
      <c r="E31" s="49"/>
      <c r="F31" s="72" t="str">
        <f>IF(E29=0,"","B"&amp;E29&amp;"-0")</f>
        <v/>
      </c>
      <c r="G31" s="50"/>
      <c r="H31" s="52"/>
      <c r="I31" s="129"/>
      <c r="J31" s="125"/>
      <c r="K31" s="101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</row>
    <row r="32" spans="1:42" ht="19.5" customHeight="1">
      <c r="A32" s="79"/>
      <c r="B32" s="10"/>
      <c r="C32" s="11"/>
      <c r="D32" s="15"/>
      <c r="E32" s="49"/>
      <c r="F32" s="72" t="str">
        <f>IF(E29=0,"","B"&amp;E29&amp;"-1")</f>
        <v/>
      </c>
      <c r="G32" s="50"/>
      <c r="H32" s="52"/>
      <c r="I32" s="129"/>
      <c r="J32" s="125"/>
      <c r="K32" s="101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</row>
    <row r="33" spans="1:42" ht="19.5" customHeight="1">
      <c r="A33" s="79"/>
      <c r="B33" s="10"/>
      <c r="C33" s="11"/>
      <c r="D33" s="15"/>
      <c r="E33" s="49"/>
      <c r="F33" s="72" t="str">
        <f>IF(E29=0,"","C"&amp;E29&amp;"-0")</f>
        <v/>
      </c>
      <c r="G33" s="50"/>
      <c r="H33" s="52"/>
      <c r="I33" s="129"/>
      <c r="J33" s="125"/>
      <c r="K33" s="101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</row>
    <row r="34" spans="1:42" ht="19.5" customHeight="1">
      <c r="A34" s="79"/>
      <c r="B34" s="10"/>
      <c r="C34" s="11"/>
      <c r="D34" s="15"/>
      <c r="E34" s="51"/>
      <c r="F34" s="72" t="str">
        <f>IF(E29=0,"","C"&amp;E29&amp;"-1")</f>
        <v/>
      </c>
      <c r="G34" s="50"/>
      <c r="H34" s="52"/>
      <c r="I34" s="129"/>
      <c r="J34" s="125"/>
      <c r="K34" s="101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</row>
    <row r="35" spans="1:42" ht="19.5" customHeight="1">
      <c r="A35" s="79"/>
      <c r="B35" s="10"/>
      <c r="C35" s="11"/>
      <c r="D35" s="15"/>
      <c r="E35" s="48">
        <f>IF(AND(E29&gt;1,$D$3&gt;=E29+1),E29+1,0)</f>
        <v>0</v>
      </c>
      <c r="F35" s="72" t="str">
        <f>IF(E35=0,"","A"&amp;E35&amp;"-0")</f>
        <v/>
      </c>
      <c r="G35" s="50"/>
      <c r="H35" s="52"/>
      <c r="I35" s="129"/>
      <c r="J35" s="125"/>
      <c r="K35" s="101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</row>
    <row r="36" spans="1:42" ht="19.5" customHeight="1">
      <c r="A36" s="79"/>
      <c r="B36" s="10"/>
      <c r="C36" s="11"/>
      <c r="D36" s="15"/>
      <c r="E36" s="49" t="s">
        <v>54</v>
      </c>
      <c r="F36" s="72" t="str">
        <f>IF(E35=0,"","A"&amp;E35&amp;"-1")</f>
        <v/>
      </c>
      <c r="G36" s="50"/>
      <c r="H36" s="52"/>
      <c r="I36" s="129"/>
      <c r="J36" s="53"/>
      <c r="K36" s="101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</row>
    <row r="37" spans="1:42" ht="19.5" customHeight="1">
      <c r="A37" s="79"/>
      <c r="B37" s="10"/>
      <c r="C37" s="11"/>
      <c r="D37" s="15"/>
      <c r="E37" s="49"/>
      <c r="F37" s="72" t="str">
        <f>IF(E35=0,"","B"&amp;E35&amp;"-0")</f>
        <v/>
      </c>
      <c r="G37" s="50"/>
      <c r="H37" s="52"/>
      <c r="I37" s="129"/>
      <c r="J37" s="53"/>
      <c r="K37" s="101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</row>
    <row r="38" spans="1:42" ht="19.5" customHeight="1">
      <c r="A38" s="79"/>
      <c r="B38" s="10"/>
      <c r="C38" s="11"/>
      <c r="D38" s="15"/>
      <c r="E38" s="49"/>
      <c r="F38" s="72" t="str">
        <f>IF(E35=0,"","B"&amp;E35&amp;"-1")</f>
        <v/>
      </c>
      <c r="G38" s="50"/>
      <c r="H38" s="52"/>
      <c r="I38" s="129"/>
      <c r="J38" s="53"/>
      <c r="K38" s="101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</row>
    <row r="39" spans="1:42" ht="19.5" customHeight="1">
      <c r="A39" s="79"/>
      <c r="B39" s="10"/>
      <c r="C39" s="11"/>
      <c r="D39" s="15"/>
      <c r="E39" s="49"/>
      <c r="F39" s="72" t="str">
        <f>IF(E35=0,"","C"&amp;E35&amp;"-0")</f>
        <v/>
      </c>
      <c r="G39" s="50"/>
      <c r="H39" s="52"/>
      <c r="I39" s="129"/>
      <c r="J39" s="53"/>
      <c r="K39" s="101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</row>
    <row r="40" spans="1:42" ht="19.5" customHeight="1">
      <c r="A40" s="80"/>
      <c r="B40" s="12"/>
      <c r="C40" s="13"/>
      <c r="D40" s="16"/>
      <c r="E40" s="51"/>
      <c r="F40" s="72" t="str">
        <f>IF(E35=0,"","C"&amp;E35&amp;"-1")</f>
        <v/>
      </c>
      <c r="G40" s="50"/>
      <c r="H40" s="52"/>
      <c r="I40" s="129"/>
      <c r="J40" s="53"/>
      <c r="K40" s="101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</row>
    <row r="41" spans="1:42" ht="19.5" customHeight="1">
      <c r="A41" s="78" t="str">
        <f>IF(ROUNDUP($D$3/3,0)&gt;A23,A23+1,"")</f>
        <v/>
      </c>
      <c r="B41" s="3"/>
      <c r="C41" s="4"/>
      <c r="D41" s="14"/>
      <c r="E41" s="48">
        <f>IF(AND(E35&gt;1,$D$3&gt;=E35+1),E35+1,0)</f>
        <v>0</v>
      </c>
      <c r="F41" s="72" t="str">
        <f>IF(E41=0,"","A"&amp;E41&amp;"-0")</f>
        <v/>
      </c>
      <c r="G41" s="50"/>
      <c r="H41" s="52"/>
      <c r="I41" s="129"/>
      <c r="J41" s="53"/>
      <c r="K41" s="101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</row>
    <row r="42" spans="1:42" ht="19.5" customHeight="1">
      <c r="A42" s="79"/>
      <c r="B42" s="10"/>
      <c r="C42" s="11"/>
      <c r="D42" s="15"/>
      <c r="E42" s="49" t="s">
        <v>52</v>
      </c>
      <c r="F42" s="72" t="str">
        <f>IF(E41=0,"","A"&amp;E41&amp;"-1")</f>
        <v/>
      </c>
      <c r="G42" s="50"/>
      <c r="H42" s="52"/>
      <c r="I42" s="129"/>
      <c r="J42" s="53"/>
      <c r="K42" s="101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</row>
    <row r="43" spans="1:42" ht="19.5" customHeight="1">
      <c r="A43" s="79"/>
      <c r="B43" s="10"/>
      <c r="C43" s="11"/>
      <c r="D43" s="15"/>
      <c r="E43" s="49"/>
      <c r="F43" s="72" t="str">
        <f>IF(E41=0,"","B"&amp;E41&amp;"-0")</f>
        <v/>
      </c>
      <c r="G43" s="50"/>
      <c r="H43" s="52"/>
      <c r="I43" s="129"/>
      <c r="J43" s="53"/>
      <c r="K43" s="101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</row>
    <row r="44" spans="1:42" ht="19.5" customHeight="1">
      <c r="A44" s="79"/>
      <c r="B44" s="10"/>
      <c r="C44" s="11"/>
      <c r="D44" s="15"/>
      <c r="E44" s="49"/>
      <c r="F44" s="72" t="str">
        <f>IF(E41=0,"","B"&amp;E41&amp;"-1")</f>
        <v/>
      </c>
      <c r="G44" s="50"/>
      <c r="H44" s="52"/>
      <c r="I44" s="129"/>
      <c r="J44" s="53"/>
      <c r="K44" s="101"/>
    </row>
    <row r="45" spans="1:42" ht="19.5" customHeight="1">
      <c r="A45" s="79"/>
      <c r="B45" s="10"/>
      <c r="C45" s="11"/>
      <c r="D45" s="15"/>
      <c r="E45" s="49"/>
      <c r="F45" s="72" t="str">
        <f>IF(E41=0,"","C"&amp;E41&amp;"-0")</f>
        <v/>
      </c>
      <c r="G45" s="50"/>
      <c r="H45" s="52"/>
      <c r="I45" s="129"/>
      <c r="J45" s="53"/>
      <c r="K45" s="101"/>
    </row>
    <row r="46" spans="1:42" ht="19.5" customHeight="1">
      <c r="A46" s="79"/>
      <c r="B46" s="10"/>
      <c r="C46" s="11"/>
      <c r="D46" s="15"/>
      <c r="E46" s="51"/>
      <c r="F46" s="72" t="str">
        <f>IF(E41=0,"","C"&amp;E41&amp;"-1")</f>
        <v/>
      </c>
      <c r="G46" s="50"/>
      <c r="H46" s="52"/>
      <c r="I46" s="129"/>
      <c r="J46" s="53"/>
      <c r="K46" s="101"/>
    </row>
    <row r="47" spans="1:42" ht="19.5" customHeight="1">
      <c r="A47" s="79"/>
      <c r="B47" s="10"/>
      <c r="C47" s="11"/>
      <c r="D47" s="15"/>
      <c r="E47" s="48">
        <f>IF(AND(E41&gt;1,$D$3&gt;=E41+1),E41+1,0)</f>
        <v>0</v>
      </c>
      <c r="F47" s="72" t="str">
        <f>IF(E47=0,"","A"&amp;E47&amp;"-0")</f>
        <v/>
      </c>
      <c r="G47" s="50"/>
      <c r="H47" s="52"/>
      <c r="I47" s="129"/>
      <c r="J47" s="53"/>
      <c r="K47" s="101"/>
    </row>
    <row r="48" spans="1:42" ht="19.5" customHeight="1">
      <c r="A48" s="79"/>
      <c r="B48" s="10"/>
      <c r="C48" s="11"/>
      <c r="D48" s="15"/>
      <c r="E48" s="49" t="s">
        <v>53</v>
      </c>
      <c r="F48" s="72" t="str">
        <f>IF(E47=0,"","A"&amp;E47&amp;"-1")</f>
        <v/>
      </c>
      <c r="G48" s="50"/>
      <c r="H48" s="52"/>
      <c r="I48" s="129"/>
      <c r="J48" s="53"/>
      <c r="K48" s="101"/>
    </row>
    <row r="49" spans="1:11" ht="19.5" customHeight="1">
      <c r="A49" s="79"/>
      <c r="B49" s="10"/>
      <c r="C49" s="11"/>
      <c r="D49" s="15"/>
      <c r="E49" s="49"/>
      <c r="F49" s="72" t="str">
        <f>IF(E47=0,"","B"&amp;E47&amp;"-0")</f>
        <v/>
      </c>
      <c r="G49" s="50"/>
      <c r="H49" s="52"/>
      <c r="I49" s="129"/>
      <c r="J49" s="53"/>
      <c r="K49" s="101"/>
    </row>
    <row r="50" spans="1:11" ht="19.5" customHeight="1">
      <c r="A50" s="79"/>
      <c r="B50" s="10"/>
      <c r="C50" s="11"/>
      <c r="D50" s="15"/>
      <c r="E50" s="49"/>
      <c r="F50" s="72" t="str">
        <f>IF(E47=0,"","B"&amp;E47&amp;"-1")</f>
        <v/>
      </c>
      <c r="G50" s="50"/>
      <c r="H50" s="52"/>
      <c r="I50" s="129"/>
      <c r="J50" s="53"/>
      <c r="K50" s="101"/>
    </row>
    <row r="51" spans="1:11" ht="19.5" customHeight="1">
      <c r="A51" s="79"/>
      <c r="B51" s="10"/>
      <c r="C51" s="11"/>
      <c r="D51" s="15"/>
      <c r="E51" s="49"/>
      <c r="F51" s="72" t="str">
        <f>IF(E47=0,"","C"&amp;E47&amp;"-0")</f>
        <v/>
      </c>
      <c r="G51" s="50"/>
      <c r="H51" s="52"/>
      <c r="I51" s="129"/>
      <c r="J51" s="53"/>
      <c r="K51" s="101"/>
    </row>
    <row r="52" spans="1:11" ht="19.5" customHeight="1">
      <c r="A52" s="79"/>
      <c r="B52" s="10"/>
      <c r="C52" s="11"/>
      <c r="D52" s="15"/>
      <c r="E52" s="51"/>
      <c r="F52" s="72" t="str">
        <f>IF(E47=0,"","C"&amp;E47&amp;"-1")</f>
        <v/>
      </c>
      <c r="G52" s="50"/>
      <c r="H52" s="52"/>
      <c r="I52" s="129"/>
      <c r="J52" s="53"/>
      <c r="K52" s="101"/>
    </row>
    <row r="53" spans="1:11" ht="19.5" customHeight="1">
      <c r="A53" s="79"/>
      <c r="B53" s="10"/>
      <c r="C53" s="11"/>
      <c r="D53" s="15"/>
      <c r="E53" s="48">
        <f>IF(AND(E47&gt;1,$D$3&gt;=E47+1),E47+1,0)</f>
        <v>0</v>
      </c>
      <c r="F53" s="72" t="str">
        <f>IF(E53=0,"","A"&amp;E53&amp;"-0")</f>
        <v/>
      </c>
      <c r="G53" s="50"/>
      <c r="H53" s="52"/>
      <c r="I53" s="129"/>
      <c r="J53" s="53"/>
      <c r="K53" s="101"/>
    </row>
    <row r="54" spans="1:11" ht="19.5" customHeight="1">
      <c r="A54" s="79"/>
      <c r="B54" s="10"/>
      <c r="C54" s="11"/>
      <c r="D54" s="15"/>
      <c r="E54" s="49" t="s">
        <v>54</v>
      </c>
      <c r="F54" s="72" t="str">
        <f>IF(E53=0,"","A"&amp;E53&amp;"-1")</f>
        <v/>
      </c>
      <c r="G54" s="50"/>
      <c r="H54" s="52"/>
      <c r="I54" s="129"/>
      <c r="J54" s="53"/>
      <c r="K54" s="101"/>
    </row>
    <row r="55" spans="1:11" ht="19.5" customHeight="1">
      <c r="A55" s="79"/>
      <c r="B55" s="10"/>
      <c r="C55" s="11"/>
      <c r="D55" s="15"/>
      <c r="E55" s="49"/>
      <c r="F55" s="72" t="str">
        <f>IF(E53=0,"","B"&amp;E53&amp;"-0")</f>
        <v/>
      </c>
      <c r="G55" s="50"/>
      <c r="H55" s="52"/>
      <c r="I55" s="129"/>
      <c r="J55" s="53"/>
      <c r="K55" s="101"/>
    </row>
    <row r="56" spans="1:11" ht="19.5" customHeight="1">
      <c r="A56" s="79"/>
      <c r="B56" s="10"/>
      <c r="C56" s="11"/>
      <c r="D56" s="15"/>
      <c r="E56" s="49"/>
      <c r="F56" s="72" t="str">
        <f>IF(E53=0,"","B"&amp;E53&amp;"-1")</f>
        <v/>
      </c>
      <c r="G56" s="50"/>
      <c r="H56" s="52"/>
      <c r="I56" s="129"/>
      <c r="J56" s="53"/>
      <c r="K56" s="101"/>
    </row>
    <row r="57" spans="1:11" ht="19.5" customHeight="1">
      <c r="A57" s="79"/>
      <c r="B57" s="10"/>
      <c r="C57" s="11"/>
      <c r="D57" s="15"/>
      <c r="E57" s="49"/>
      <c r="F57" s="72" t="str">
        <f>IF(E53=0,"","C"&amp;E53&amp;"-0")</f>
        <v/>
      </c>
      <c r="G57" s="50"/>
      <c r="H57" s="52"/>
      <c r="I57" s="129"/>
      <c r="J57" s="53"/>
      <c r="K57" s="101"/>
    </row>
    <row r="58" spans="1:11" ht="19.5" customHeight="1">
      <c r="A58" s="80"/>
      <c r="B58" s="12"/>
      <c r="C58" s="13"/>
      <c r="D58" s="16"/>
      <c r="E58" s="51"/>
      <c r="F58" s="72" t="str">
        <f>IF(E53=0,"","C"&amp;E53&amp;"-1")</f>
        <v/>
      </c>
      <c r="G58" s="50"/>
      <c r="H58" s="52"/>
      <c r="I58" s="129"/>
      <c r="J58" s="53"/>
      <c r="K58" s="101"/>
    </row>
    <row r="59" spans="1:11" ht="19.5" customHeight="1">
      <c r="A59" s="78" t="str">
        <f>IF(ROUNDUP($D$3/3,0)&gt;A41,A41+1,"")</f>
        <v/>
      </c>
      <c r="B59" s="3"/>
      <c r="C59" s="4"/>
      <c r="D59" s="14"/>
      <c r="E59" s="48">
        <f>IF(AND(E53&gt;1,$D$3&gt;=E53+1),E53+1,0)</f>
        <v>0</v>
      </c>
      <c r="F59" s="72" t="str">
        <f>IF(E59=0,"","A"&amp;E59&amp;"-0")</f>
        <v/>
      </c>
      <c r="G59" s="50"/>
      <c r="H59" s="52"/>
      <c r="I59" s="129"/>
      <c r="J59" s="53"/>
      <c r="K59" s="101"/>
    </row>
    <row r="60" spans="1:11" ht="19.5" customHeight="1">
      <c r="A60" s="79"/>
      <c r="B60" s="10"/>
      <c r="C60" s="11"/>
      <c r="D60" s="15"/>
      <c r="E60" s="49" t="s">
        <v>52</v>
      </c>
      <c r="F60" s="72" t="str">
        <f>IF(E59=0,"","A"&amp;E59&amp;"-1")</f>
        <v/>
      </c>
      <c r="G60" s="50"/>
      <c r="H60" s="52"/>
      <c r="I60" s="129"/>
      <c r="J60" s="53"/>
      <c r="K60" s="101"/>
    </row>
    <row r="61" spans="1:11" ht="19.5" customHeight="1">
      <c r="A61" s="79"/>
      <c r="B61" s="10"/>
      <c r="C61" s="11"/>
      <c r="D61" s="15"/>
      <c r="E61" s="49"/>
      <c r="F61" s="72" t="str">
        <f>IF(E59=0,"","B"&amp;E59&amp;"-0")</f>
        <v/>
      </c>
      <c r="G61" s="50"/>
      <c r="H61" s="52"/>
      <c r="I61" s="129"/>
      <c r="J61" s="53"/>
      <c r="K61" s="101"/>
    </row>
    <row r="62" spans="1:11" ht="19.5" customHeight="1">
      <c r="A62" s="79"/>
      <c r="B62" s="10"/>
      <c r="C62" s="11"/>
      <c r="D62" s="15"/>
      <c r="E62" s="49"/>
      <c r="F62" s="72" t="str">
        <f>IF(E59=0,"","B"&amp;E59&amp;"-1")</f>
        <v/>
      </c>
      <c r="G62" s="50"/>
      <c r="H62" s="52"/>
      <c r="I62" s="129"/>
      <c r="J62" s="53"/>
      <c r="K62" s="101"/>
    </row>
    <row r="63" spans="1:11" ht="19.5" customHeight="1">
      <c r="A63" s="79"/>
      <c r="B63" s="10"/>
      <c r="C63" s="11"/>
      <c r="D63" s="15"/>
      <c r="E63" s="49"/>
      <c r="F63" s="72" t="str">
        <f>IF(E59=0,"","C"&amp;E59&amp;"-0")</f>
        <v/>
      </c>
      <c r="G63" s="50"/>
      <c r="H63" s="52"/>
      <c r="I63" s="129"/>
      <c r="J63" s="53"/>
      <c r="K63" s="101"/>
    </row>
    <row r="64" spans="1:11" ht="19.5" customHeight="1">
      <c r="A64" s="79"/>
      <c r="B64" s="10"/>
      <c r="C64" s="11"/>
      <c r="D64" s="15"/>
      <c r="E64" s="51"/>
      <c r="F64" s="72" t="str">
        <f>IF(E59=0,"","C"&amp;E59&amp;"-1")</f>
        <v/>
      </c>
      <c r="G64" s="50"/>
      <c r="H64" s="52"/>
      <c r="I64" s="129"/>
      <c r="J64" s="53"/>
      <c r="K64" s="101"/>
    </row>
    <row r="65" spans="1:11" ht="19.5" customHeight="1">
      <c r="A65" s="79"/>
      <c r="B65" s="10"/>
      <c r="C65" s="11"/>
      <c r="D65" s="15"/>
      <c r="E65" s="48">
        <f>IF(AND(E59&gt;1,$D$3&gt;=E59+1),E59+1,0)</f>
        <v>0</v>
      </c>
      <c r="F65" s="72" t="str">
        <f>IF(E65=0,"","A"&amp;E65&amp;"-0")</f>
        <v/>
      </c>
      <c r="G65" s="50"/>
      <c r="H65" s="52"/>
      <c r="I65" s="129"/>
      <c r="J65" s="53"/>
      <c r="K65" s="101"/>
    </row>
    <row r="66" spans="1:11" ht="19.5" customHeight="1">
      <c r="A66" s="79"/>
      <c r="B66" s="10"/>
      <c r="C66" s="11"/>
      <c r="D66" s="15"/>
      <c r="E66" s="49" t="s">
        <v>53</v>
      </c>
      <c r="F66" s="72" t="str">
        <f>IF(E65=0,"","A"&amp;E65&amp;"-1")</f>
        <v/>
      </c>
      <c r="G66" s="50"/>
      <c r="H66" s="52"/>
      <c r="I66" s="129"/>
      <c r="J66" s="53"/>
      <c r="K66" s="101"/>
    </row>
    <row r="67" spans="1:11" ht="19.5" customHeight="1">
      <c r="A67" s="79"/>
      <c r="B67" s="10"/>
      <c r="C67" s="11"/>
      <c r="D67" s="15"/>
      <c r="E67" s="49"/>
      <c r="F67" s="72" t="str">
        <f>IF(E65=0,"","B"&amp;E65&amp;"-0")</f>
        <v/>
      </c>
      <c r="G67" s="50"/>
      <c r="H67" s="52"/>
      <c r="I67" s="129"/>
      <c r="J67" s="53"/>
      <c r="K67" s="101"/>
    </row>
    <row r="68" spans="1:11" ht="19.5" customHeight="1">
      <c r="A68" s="79"/>
      <c r="B68" s="10"/>
      <c r="C68" s="11"/>
      <c r="D68" s="15"/>
      <c r="E68" s="49"/>
      <c r="F68" s="72" t="str">
        <f>IF(E65=0,"","B"&amp;E65&amp;"-1")</f>
        <v/>
      </c>
      <c r="G68" s="50"/>
      <c r="H68" s="52"/>
      <c r="I68" s="129"/>
      <c r="J68" s="53"/>
      <c r="K68" s="101"/>
    </row>
    <row r="69" spans="1:11" ht="19.5" customHeight="1">
      <c r="A69" s="79"/>
      <c r="B69" s="10"/>
      <c r="C69" s="11"/>
      <c r="D69" s="15"/>
      <c r="E69" s="49"/>
      <c r="F69" s="72" t="str">
        <f>IF(E65=0,"","C"&amp;E65&amp;"-0")</f>
        <v/>
      </c>
      <c r="G69" s="50"/>
      <c r="H69" s="52"/>
      <c r="I69" s="129"/>
      <c r="J69" s="53"/>
      <c r="K69" s="101"/>
    </row>
    <row r="70" spans="1:11" ht="19.5" customHeight="1">
      <c r="A70" s="79"/>
      <c r="B70" s="10"/>
      <c r="C70" s="11"/>
      <c r="D70" s="15"/>
      <c r="E70" s="51"/>
      <c r="F70" s="72" t="str">
        <f>IF(E65=0,"","C"&amp;E65&amp;"-1")</f>
        <v/>
      </c>
      <c r="G70" s="50"/>
      <c r="H70" s="52"/>
      <c r="I70" s="129"/>
      <c r="J70" s="53"/>
      <c r="K70" s="101"/>
    </row>
    <row r="71" spans="1:11" ht="19.5" customHeight="1">
      <c r="A71" s="79"/>
      <c r="B71" s="10"/>
      <c r="C71" s="11"/>
      <c r="D71" s="15"/>
      <c r="E71" s="48">
        <f>IF(AND(E65&gt;1,$D$3&gt;=E65+1),E65+1,0)</f>
        <v>0</v>
      </c>
      <c r="F71" s="72" t="str">
        <f>IF(E71=0,"","A"&amp;E71&amp;"-0")</f>
        <v/>
      </c>
      <c r="G71" s="50"/>
      <c r="H71" s="52"/>
      <c r="I71" s="129"/>
      <c r="J71" s="53"/>
      <c r="K71" s="101"/>
    </row>
    <row r="72" spans="1:11" ht="19.5" customHeight="1">
      <c r="A72" s="79"/>
      <c r="B72" s="10"/>
      <c r="C72" s="11"/>
      <c r="D72" s="15"/>
      <c r="E72" s="49" t="s">
        <v>54</v>
      </c>
      <c r="F72" s="72" t="str">
        <f>IF(E71=0,"","A"&amp;E71&amp;"-1")</f>
        <v/>
      </c>
      <c r="G72" s="50"/>
      <c r="H72" s="52"/>
      <c r="I72" s="129"/>
      <c r="J72" s="53"/>
      <c r="K72" s="101"/>
    </row>
    <row r="73" spans="1:11" ht="19.5" customHeight="1">
      <c r="A73" s="79"/>
      <c r="B73" s="10"/>
      <c r="C73" s="11"/>
      <c r="D73" s="15"/>
      <c r="E73" s="49"/>
      <c r="F73" s="72" t="str">
        <f>IF(E71=0,"","B"&amp;E71&amp;"-0")</f>
        <v/>
      </c>
      <c r="G73" s="50"/>
      <c r="H73" s="52"/>
      <c r="I73" s="129"/>
      <c r="J73" s="53"/>
      <c r="K73" s="101"/>
    </row>
    <row r="74" spans="1:11" ht="19.5" customHeight="1">
      <c r="A74" s="79"/>
      <c r="B74" s="10"/>
      <c r="C74" s="11"/>
      <c r="D74" s="15"/>
      <c r="E74" s="49"/>
      <c r="F74" s="72" t="str">
        <f>IF(E71=0,"","B"&amp;E71&amp;"-1")</f>
        <v/>
      </c>
      <c r="G74" s="50"/>
      <c r="H74" s="52"/>
      <c r="I74" s="129"/>
      <c r="J74" s="53"/>
      <c r="K74" s="101"/>
    </row>
    <row r="75" spans="1:11" ht="19.5" customHeight="1">
      <c r="A75" s="79"/>
      <c r="B75" s="10"/>
      <c r="C75" s="11"/>
      <c r="D75" s="15"/>
      <c r="E75" s="49"/>
      <c r="F75" s="72" t="str">
        <f>IF(E71=0,"","C"&amp;E71&amp;"-0")</f>
        <v/>
      </c>
      <c r="G75" s="50"/>
      <c r="H75" s="52"/>
      <c r="I75" s="129"/>
      <c r="J75" s="53"/>
      <c r="K75" s="101"/>
    </row>
    <row r="76" spans="1:11" ht="19.5" customHeight="1">
      <c r="A76" s="80"/>
      <c r="B76" s="12"/>
      <c r="C76" s="13"/>
      <c r="D76" s="16"/>
      <c r="E76" s="51"/>
      <c r="F76" s="72" t="str">
        <f>IF(E71=0,"","C"&amp;E71&amp;"-1")</f>
        <v/>
      </c>
      <c r="G76" s="50"/>
      <c r="H76" s="52"/>
      <c r="I76" s="129"/>
      <c r="J76" s="53"/>
      <c r="K76" s="101"/>
    </row>
    <row r="77" spans="1:11" ht="19.5" customHeight="1">
      <c r="A77" s="78" t="str">
        <f>IF(ROUNDUP($D$3/3,0)&gt;A59,A59+1,"")</f>
        <v/>
      </c>
      <c r="B77" s="3"/>
      <c r="C77" s="4"/>
      <c r="D77" s="14"/>
      <c r="E77" s="48">
        <f>IF(AND(E71&gt;1,$D$3&gt;=E71+1),E71+1,0)</f>
        <v>0</v>
      </c>
      <c r="F77" s="72" t="str">
        <f>IF(E77=0,"","A"&amp;E77&amp;"-0")</f>
        <v/>
      </c>
      <c r="G77" s="50"/>
      <c r="H77" s="52"/>
      <c r="I77" s="129"/>
      <c r="J77" s="53"/>
      <c r="K77" s="101"/>
    </row>
    <row r="78" spans="1:11" ht="19.5" customHeight="1">
      <c r="A78" s="79"/>
      <c r="B78" s="10"/>
      <c r="C78" s="11"/>
      <c r="D78" s="15"/>
      <c r="E78" s="49" t="s">
        <v>52</v>
      </c>
      <c r="F78" s="72" t="str">
        <f>IF(E77=0,"","A"&amp;E77&amp;"-1")</f>
        <v/>
      </c>
      <c r="G78" s="50"/>
      <c r="H78" s="52"/>
      <c r="I78" s="129"/>
      <c r="J78" s="53"/>
      <c r="K78" s="101"/>
    </row>
    <row r="79" spans="1:11" ht="19.5" customHeight="1">
      <c r="A79" s="79"/>
      <c r="B79" s="10"/>
      <c r="C79" s="11"/>
      <c r="D79" s="15"/>
      <c r="E79" s="49"/>
      <c r="F79" s="72" t="str">
        <f>IF(E77=0,"","B"&amp;E77&amp;"-0")</f>
        <v/>
      </c>
      <c r="G79" s="50"/>
      <c r="H79" s="52"/>
      <c r="I79" s="129"/>
      <c r="J79" s="53"/>
      <c r="K79" s="101"/>
    </row>
    <row r="80" spans="1:11" ht="19.5" customHeight="1">
      <c r="A80" s="79"/>
      <c r="B80" s="10"/>
      <c r="C80" s="11"/>
      <c r="D80" s="15"/>
      <c r="E80" s="49"/>
      <c r="F80" s="72" t="str">
        <f>IF(E77=0,"","B"&amp;E77&amp;"-1")</f>
        <v/>
      </c>
      <c r="G80" s="50"/>
      <c r="H80" s="52"/>
      <c r="I80" s="129"/>
      <c r="J80" s="53"/>
      <c r="K80" s="101"/>
    </row>
    <row r="81" spans="1:11" ht="19.5" customHeight="1">
      <c r="A81" s="79"/>
      <c r="B81" s="10"/>
      <c r="C81" s="11"/>
      <c r="D81" s="15"/>
      <c r="E81" s="49"/>
      <c r="F81" s="72" t="str">
        <f>IF(E77=0,"","C"&amp;E77&amp;"-0")</f>
        <v/>
      </c>
      <c r="G81" s="50"/>
      <c r="H81" s="52"/>
      <c r="I81" s="129"/>
      <c r="J81" s="53"/>
      <c r="K81" s="101"/>
    </row>
    <row r="82" spans="1:11" ht="19.5" customHeight="1">
      <c r="A82" s="79"/>
      <c r="B82" s="10"/>
      <c r="C82" s="11"/>
      <c r="D82" s="15"/>
      <c r="E82" s="51"/>
      <c r="F82" s="72" t="str">
        <f>IF(E77=0,"","C"&amp;E77&amp;"-1")</f>
        <v/>
      </c>
      <c r="G82" s="50"/>
      <c r="H82" s="52"/>
      <c r="I82" s="129"/>
      <c r="J82" s="53"/>
      <c r="K82" s="101"/>
    </row>
    <row r="83" spans="1:11" ht="19.5" customHeight="1">
      <c r="A83" s="79"/>
      <c r="B83" s="10"/>
      <c r="C83" s="11"/>
      <c r="D83" s="15"/>
      <c r="E83" s="48">
        <f>IF(AND(E77&gt;1,$D$3&gt;=E77+1),E77+1,0)</f>
        <v>0</v>
      </c>
      <c r="F83" s="72" t="str">
        <f>IF(E83=0,"","A"&amp;E83&amp;"-0")</f>
        <v/>
      </c>
      <c r="G83" s="50"/>
      <c r="H83" s="52"/>
      <c r="I83" s="129"/>
      <c r="J83" s="53"/>
      <c r="K83" s="101"/>
    </row>
    <row r="84" spans="1:11" ht="19.5" customHeight="1">
      <c r="A84" s="79"/>
      <c r="B84" s="10"/>
      <c r="C84" s="11"/>
      <c r="D84" s="15"/>
      <c r="E84" s="49" t="s">
        <v>53</v>
      </c>
      <c r="F84" s="72" t="str">
        <f>IF(E83=0,"","A"&amp;E83&amp;"-1")</f>
        <v/>
      </c>
      <c r="G84" s="50"/>
      <c r="H84" s="52"/>
      <c r="I84" s="129"/>
      <c r="J84" s="53"/>
      <c r="K84" s="101"/>
    </row>
    <row r="85" spans="1:11" ht="19.5" customHeight="1">
      <c r="A85" s="79"/>
      <c r="B85" s="10"/>
      <c r="C85" s="11"/>
      <c r="D85" s="15"/>
      <c r="E85" s="49"/>
      <c r="F85" s="72" t="str">
        <f>IF(E83=0,"","B"&amp;E83&amp;"-0")</f>
        <v/>
      </c>
      <c r="G85" s="50"/>
      <c r="H85" s="52"/>
      <c r="I85" s="129"/>
      <c r="J85" s="53"/>
      <c r="K85" s="101"/>
    </row>
    <row r="86" spans="1:11" ht="19.5" customHeight="1">
      <c r="A86" s="79"/>
      <c r="B86" s="10"/>
      <c r="C86" s="11"/>
      <c r="D86" s="15"/>
      <c r="E86" s="49"/>
      <c r="F86" s="72" t="str">
        <f>IF(E83=0,"","B"&amp;E83&amp;"-1")</f>
        <v/>
      </c>
      <c r="G86" s="50"/>
      <c r="H86" s="52"/>
      <c r="I86" s="129"/>
      <c r="J86" s="53"/>
      <c r="K86" s="101"/>
    </row>
    <row r="87" spans="1:11" ht="19.5" customHeight="1">
      <c r="A87" s="79"/>
      <c r="B87" s="10"/>
      <c r="C87" s="11"/>
      <c r="D87" s="15"/>
      <c r="E87" s="49"/>
      <c r="F87" s="72" t="str">
        <f>IF(E83=0,"","C"&amp;E83&amp;"-0")</f>
        <v/>
      </c>
      <c r="G87" s="50"/>
      <c r="H87" s="52"/>
      <c r="I87" s="129"/>
      <c r="J87" s="53"/>
      <c r="K87" s="101"/>
    </row>
    <row r="88" spans="1:11" ht="19.5" customHeight="1">
      <c r="A88" s="79"/>
      <c r="B88" s="10"/>
      <c r="C88" s="11"/>
      <c r="D88" s="15"/>
      <c r="E88" s="51"/>
      <c r="F88" s="72" t="str">
        <f>IF(E83=0,"","C"&amp;E83&amp;"-1")</f>
        <v/>
      </c>
      <c r="G88" s="50"/>
      <c r="H88" s="52"/>
      <c r="I88" s="129"/>
      <c r="J88" s="53"/>
      <c r="K88" s="101"/>
    </row>
    <row r="89" spans="1:11" ht="19.5" customHeight="1">
      <c r="A89" s="79"/>
      <c r="B89" s="10"/>
      <c r="C89" s="11"/>
      <c r="D89" s="15"/>
      <c r="E89" s="48">
        <f>IF(AND(E83&gt;1,$D$3&gt;=E83+1),E83+1,0)</f>
        <v>0</v>
      </c>
      <c r="F89" s="72" t="str">
        <f>IF(E89=0,"","A"&amp;E89&amp;"-0")</f>
        <v/>
      </c>
      <c r="G89" s="50"/>
      <c r="H89" s="52"/>
      <c r="I89" s="129"/>
      <c r="J89" s="53"/>
      <c r="K89" s="101"/>
    </row>
    <row r="90" spans="1:11" ht="19.5" customHeight="1">
      <c r="A90" s="79"/>
      <c r="B90" s="10"/>
      <c r="C90" s="11"/>
      <c r="D90" s="15"/>
      <c r="E90" s="49" t="s">
        <v>54</v>
      </c>
      <c r="F90" s="72" t="str">
        <f>IF(E89=0,"","A"&amp;E89&amp;"-1")</f>
        <v/>
      </c>
      <c r="G90" s="50"/>
      <c r="H90" s="52"/>
      <c r="I90" s="129"/>
      <c r="J90" s="53"/>
      <c r="K90" s="101"/>
    </row>
    <row r="91" spans="1:11" ht="19.5" customHeight="1">
      <c r="A91" s="79"/>
      <c r="B91" s="10"/>
      <c r="C91" s="11"/>
      <c r="D91" s="15"/>
      <c r="E91" s="49"/>
      <c r="F91" s="72" t="str">
        <f>IF(E89=0,"","B"&amp;E89&amp;"-0")</f>
        <v/>
      </c>
      <c r="G91" s="50"/>
      <c r="H91" s="52"/>
      <c r="I91" s="129"/>
      <c r="J91" s="53"/>
      <c r="K91" s="101"/>
    </row>
    <row r="92" spans="1:11" ht="19.5" customHeight="1">
      <c r="A92" s="79"/>
      <c r="B92" s="10"/>
      <c r="C92" s="11"/>
      <c r="D92" s="15"/>
      <c r="E92" s="49"/>
      <c r="F92" s="72" t="str">
        <f>IF(E89=0,"","B"&amp;E89&amp;"-1")</f>
        <v/>
      </c>
      <c r="G92" s="50"/>
      <c r="H92" s="52"/>
      <c r="I92" s="129"/>
      <c r="J92" s="53"/>
      <c r="K92" s="101"/>
    </row>
    <row r="93" spans="1:11" ht="19.5" customHeight="1">
      <c r="A93" s="79"/>
      <c r="B93" s="10"/>
      <c r="C93" s="11"/>
      <c r="D93" s="15"/>
      <c r="E93" s="49"/>
      <c r="F93" s="72" t="str">
        <f>IF(E89=0,"","C"&amp;E89&amp;"-0")</f>
        <v/>
      </c>
      <c r="G93" s="50"/>
      <c r="H93" s="52"/>
      <c r="I93" s="129"/>
      <c r="J93" s="53"/>
      <c r="K93" s="101"/>
    </row>
    <row r="94" spans="1:11" ht="19.5" customHeight="1">
      <c r="A94" s="80"/>
      <c r="B94" s="12"/>
      <c r="C94" s="13"/>
      <c r="D94" s="16"/>
      <c r="E94" s="51"/>
      <c r="F94" s="72" t="str">
        <f>IF(E89=0,"","C"&amp;E89&amp;"-1")</f>
        <v/>
      </c>
      <c r="G94" s="50"/>
      <c r="H94" s="52"/>
      <c r="I94" s="129"/>
      <c r="J94" s="53"/>
      <c r="K94" s="101"/>
    </row>
    <row r="95" spans="1:11" ht="19.5" customHeight="1">
      <c r="A95" s="78" t="str">
        <f>IF(ROUNDUP($D$3/3,0)&gt;A77,A77+1,"")</f>
        <v/>
      </c>
      <c r="B95" s="3"/>
      <c r="C95" s="4"/>
      <c r="D95" s="14"/>
      <c r="E95" s="48">
        <f>IF(AND(E89&gt;1,$D$3&gt;=E89+1),E89+1,0)</f>
        <v>0</v>
      </c>
      <c r="F95" s="72" t="str">
        <f>IF(E95=0,"","A"&amp;E95&amp;"-0")</f>
        <v/>
      </c>
      <c r="G95" s="50"/>
      <c r="H95" s="52"/>
      <c r="I95" s="129"/>
      <c r="J95" s="53"/>
      <c r="K95" s="101"/>
    </row>
    <row r="96" spans="1:11" ht="19.5" customHeight="1">
      <c r="A96" s="79"/>
      <c r="B96" s="10"/>
      <c r="C96" s="11"/>
      <c r="D96" s="15"/>
      <c r="E96" s="49" t="s">
        <v>52</v>
      </c>
      <c r="F96" s="72" t="str">
        <f>IF(E95=0,"","A"&amp;E95&amp;"-1")</f>
        <v/>
      </c>
      <c r="G96" s="50"/>
      <c r="H96" s="52"/>
      <c r="I96" s="129"/>
      <c r="J96" s="53"/>
      <c r="K96" s="101"/>
    </row>
    <row r="97" spans="1:11" ht="19.5" customHeight="1">
      <c r="A97" s="79"/>
      <c r="B97" s="10"/>
      <c r="C97" s="11"/>
      <c r="D97" s="15"/>
      <c r="E97" s="49"/>
      <c r="F97" s="72" t="str">
        <f>IF(E95=0,"","B"&amp;E95&amp;"-0")</f>
        <v/>
      </c>
      <c r="G97" s="50"/>
      <c r="H97" s="52"/>
      <c r="I97" s="129"/>
      <c r="J97" s="53"/>
      <c r="K97" s="101"/>
    </row>
    <row r="98" spans="1:11" ht="19.5" customHeight="1">
      <c r="A98" s="79"/>
      <c r="B98" s="10"/>
      <c r="C98" s="11"/>
      <c r="D98" s="15"/>
      <c r="E98" s="49"/>
      <c r="F98" s="72" t="str">
        <f>IF(E95=0,"","B"&amp;E95&amp;"-1")</f>
        <v/>
      </c>
      <c r="G98" s="50"/>
      <c r="H98" s="52"/>
      <c r="I98" s="129"/>
      <c r="J98" s="53"/>
      <c r="K98" s="101"/>
    </row>
    <row r="99" spans="1:11" ht="19.5" customHeight="1">
      <c r="A99" s="79"/>
      <c r="B99" s="10"/>
      <c r="C99" s="11"/>
      <c r="D99" s="15"/>
      <c r="E99" s="49"/>
      <c r="F99" s="72" t="str">
        <f>IF(E95=0,"","C"&amp;E95&amp;"-0")</f>
        <v/>
      </c>
      <c r="G99" s="50"/>
      <c r="H99" s="52"/>
      <c r="I99" s="129"/>
      <c r="J99" s="53"/>
      <c r="K99" s="101"/>
    </row>
    <row r="100" spans="1:11" ht="19.5" customHeight="1">
      <c r="A100" s="79"/>
      <c r="B100" s="10"/>
      <c r="C100" s="11"/>
      <c r="D100" s="15"/>
      <c r="E100" s="51"/>
      <c r="F100" s="72" t="str">
        <f>IF(E95=0,"","C"&amp;E95&amp;"-1")</f>
        <v/>
      </c>
      <c r="G100" s="50"/>
      <c r="H100" s="52"/>
      <c r="I100" s="129"/>
      <c r="J100" s="53"/>
      <c r="K100" s="101"/>
    </row>
    <row r="101" spans="1:11" ht="19.5" customHeight="1">
      <c r="A101" s="79"/>
      <c r="B101" s="10"/>
      <c r="C101" s="11"/>
      <c r="D101" s="15"/>
      <c r="E101" s="48">
        <f>IF(AND(E95&gt;1,$D$3&gt;=E95+1),E95+1,0)</f>
        <v>0</v>
      </c>
      <c r="F101" s="72" t="str">
        <f>IF(E101=0,"","A"&amp;E101&amp;"-0")</f>
        <v/>
      </c>
      <c r="G101" s="50"/>
      <c r="H101" s="52"/>
      <c r="I101" s="129"/>
      <c r="J101" s="53"/>
      <c r="K101" s="101"/>
    </row>
    <row r="102" spans="1:11" ht="19.5" customHeight="1">
      <c r="A102" s="79"/>
      <c r="B102" s="10"/>
      <c r="C102" s="11"/>
      <c r="D102" s="15"/>
      <c r="E102" s="49" t="s">
        <v>53</v>
      </c>
      <c r="F102" s="72" t="str">
        <f>IF(E101=0,"","A"&amp;E101&amp;"-1")</f>
        <v/>
      </c>
      <c r="G102" s="50"/>
      <c r="H102" s="52"/>
      <c r="I102" s="129"/>
      <c r="J102" s="53"/>
      <c r="K102" s="101"/>
    </row>
    <row r="103" spans="1:11" ht="19.5" customHeight="1">
      <c r="A103" s="79"/>
      <c r="B103" s="10"/>
      <c r="C103" s="11"/>
      <c r="D103" s="15"/>
      <c r="E103" s="49"/>
      <c r="F103" s="72" t="str">
        <f>IF(E101=0,"","B"&amp;E101&amp;"-0")</f>
        <v/>
      </c>
      <c r="G103" s="50"/>
      <c r="H103" s="52"/>
      <c r="I103" s="129"/>
      <c r="J103" s="53"/>
      <c r="K103" s="101"/>
    </row>
    <row r="104" spans="1:11" ht="19.5" customHeight="1">
      <c r="A104" s="79"/>
      <c r="B104" s="10"/>
      <c r="C104" s="11"/>
      <c r="D104" s="15"/>
      <c r="E104" s="49"/>
      <c r="F104" s="72" t="str">
        <f>IF(E101=0,"","B"&amp;E101&amp;"-1")</f>
        <v/>
      </c>
      <c r="G104" s="50"/>
      <c r="H104" s="52"/>
      <c r="I104" s="129"/>
      <c r="J104" s="53"/>
      <c r="K104" s="101"/>
    </row>
    <row r="105" spans="1:11" ht="19.5" customHeight="1">
      <c r="A105" s="79"/>
      <c r="B105" s="10"/>
      <c r="C105" s="11"/>
      <c r="D105" s="15"/>
      <c r="E105" s="49"/>
      <c r="F105" s="72" t="str">
        <f>IF(E101=0,"","C"&amp;E101&amp;"-0")</f>
        <v/>
      </c>
      <c r="G105" s="50"/>
      <c r="H105" s="52"/>
      <c r="I105" s="129"/>
      <c r="J105" s="53"/>
      <c r="K105" s="101"/>
    </row>
    <row r="106" spans="1:11" ht="19.5" customHeight="1">
      <c r="A106" s="79"/>
      <c r="B106" s="10"/>
      <c r="C106" s="11"/>
      <c r="D106" s="15"/>
      <c r="E106" s="51"/>
      <c r="F106" s="72" t="str">
        <f>IF(E101=0,"","C"&amp;E101&amp;"-1")</f>
        <v/>
      </c>
      <c r="G106" s="50"/>
      <c r="H106" s="52"/>
      <c r="I106" s="129"/>
      <c r="J106" s="53"/>
      <c r="K106" s="101"/>
    </row>
    <row r="107" spans="1:11" ht="19.5" customHeight="1">
      <c r="A107" s="79"/>
      <c r="B107" s="10"/>
      <c r="C107" s="11"/>
      <c r="D107" s="15"/>
      <c r="E107" s="48">
        <f>IF(AND(E101&gt;1,$D$3&gt;=E101+1),E101+1,0)</f>
        <v>0</v>
      </c>
      <c r="F107" s="72" t="str">
        <f>IF(E107=0,"","A"&amp;E107&amp;"-0")</f>
        <v/>
      </c>
      <c r="G107" s="50"/>
      <c r="H107" s="52"/>
      <c r="I107" s="129"/>
      <c r="J107" s="53"/>
      <c r="K107" s="101"/>
    </row>
    <row r="108" spans="1:11" ht="19.5" customHeight="1">
      <c r="A108" s="79"/>
      <c r="B108" s="10"/>
      <c r="C108" s="11"/>
      <c r="D108" s="15"/>
      <c r="E108" s="49" t="s">
        <v>54</v>
      </c>
      <c r="F108" s="72" t="str">
        <f>IF(E107=0,"","A"&amp;E107&amp;"-1")</f>
        <v/>
      </c>
      <c r="G108" s="50"/>
      <c r="H108" s="52"/>
      <c r="I108" s="129"/>
      <c r="J108" s="53"/>
      <c r="K108" s="101"/>
    </row>
    <row r="109" spans="1:11" ht="19.5" customHeight="1">
      <c r="A109" s="79"/>
      <c r="B109" s="10"/>
      <c r="C109" s="11"/>
      <c r="D109" s="15"/>
      <c r="E109" s="49"/>
      <c r="F109" s="72" t="str">
        <f>IF(E107=0,"","B"&amp;E107&amp;"-0")</f>
        <v/>
      </c>
      <c r="G109" s="50"/>
      <c r="H109" s="52"/>
      <c r="I109" s="129"/>
      <c r="J109" s="53"/>
      <c r="K109" s="101"/>
    </row>
    <row r="110" spans="1:11" ht="19.5" customHeight="1">
      <c r="A110" s="79"/>
      <c r="B110" s="10"/>
      <c r="C110" s="11"/>
      <c r="D110" s="15"/>
      <c r="E110" s="49"/>
      <c r="F110" s="72" t="str">
        <f>IF(E107=0,"","B"&amp;E107&amp;"-1")</f>
        <v/>
      </c>
      <c r="G110" s="50"/>
      <c r="H110" s="52"/>
      <c r="I110" s="129"/>
      <c r="J110" s="53"/>
      <c r="K110" s="101"/>
    </row>
    <row r="111" spans="1:11" ht="19.5" customHeight="1">
      <c r="A111" s="79"/>
      <c r="B111" s="10"/>
      <c r="C111" s="11"/>
      <c r="D111" s="15"/>
      <c r="E111" s="49"/>
      <c r="F111" s="72" t="str">
        <f>IF(E107=0,"","C"&amp;E107&amp;"-0")</f>
        <v/>
      </c>
      <c r="G111" s="50"/>
      <c r="H111" s="52"/>
      <c r="I111" s="129"/>
      <c r="J111" s="53"/>
      <c r="K111" s="101"/>
    </row>
    <row r="112" spans="1:11" ht="19.5" customHeight="1">
      <c r="A112" s="80"/>
      <c r="B112" s="12"/>
      <c r="C112" s="13"/>
      <c r="D112" s="16"/>
      <c r="E112" s="51"/>
      <c r="F112" s="72" t="str">
        <f>IF(E107=0,"","C"&amp;E107&amp;"-1")</f>
        <v/>
      </c>
      <c r="G112" s="50"/>
      <c r="H112" s="52"/>
      <c r="I112" s="129"/>
      <c r="J112" s="53"/>
      <c r="K112" s="101"/>
    </row>
    <row r="113" spans="1:11" ht="19.5" customHeight="1">
      <c r="A113" s="78" t="str">
        <f>IF(ROUNDUP($D$3/3,0)&gt;A95,A95+1,"")</f>
        <v/>
      </c>
      <c r="B113" s="3"/>
      <c r="C113" s="4"/>
      <c r="D113" s="14"/>
      <c r="E113" s="48">
        <f>IF(AND(E107&gt;1,$D$3&gt;=E107+1),E107+1,0)</f>
        <v>0</v>
      </c>
      <c r="F113" s="72" t="str">
        <f>IF(E113=0,"","A"&amp;E113&amp;"-0")</f>
        <v/>
      </c>
      <c r="G113" s="50"/>
      <c r="H113" s="52"/>
      <c r="I113" s="129"/>
      <c r="J113" s="53"/>
      <c r="K113" s="101"/>
    </row>
    <row r="114" spans="1:11" ht="19.5" customHeight="1">
      <c r="A114" s="79"/>
      <c r="B114" s="10"/>
      <c r="C114" s="11"/>
      <c r="D114" s="15"/>
      <c r="E114" s="49" t="s">
        <v>52</v>
      </c>
      <c r="F114" s="72" t="str">
        <f>IF(E113=0,"","A"&amp;E113&amp;"-1")</f>
        <v/>
      </c>
      <c r="G114" s="50"/>
      <c r="H114" s="52"/>
      <c r="I114" s="129"/>
      <c r="J114" s="53"/>
      <c r="K114" s="101"/>
    </row>
    <row r="115" spans="1:11" ht="19.5" customHeight="1">
      <c r="A115" s="79"/>
      <c r="B115" s="10"/>
      <c r="C115" s="11"/>
      <c r="D115" s="15"/>
      <c r="E115" s="49"/>
      <c r="F115" s="72" t="str">
        <f>IF(E113=0,"","B"&amp;E113&amp;"-0")</f>
        <v/>
      </c>
      <c r="G115" s="50"/>
      <c r="H115" s="52"/>
      <c r="I115" s="129"/>
      <c r="J115" s="53"/>
      <c r="K115" s="101"/>
    </row>
    <row r="116" spans="1:11" ht="19.5" customHeight="1">
      <c r="A116" s="79"/>
      <c r="B116" s="10"/>
      <c r="C116" s="11"/>
      <c r="D116" s="15"/>
      <c r="E116" s="49"/>
      <c r="F116" s="72" t="str">
        <f>IF(E113=0,"","B"&amp;E113&amp;"-1")</f>
        <v/>
      </c>
      <c r="G116" s="50"/>
      <c r="H116" s="52"/>
      <c r="I116" s="129"/>
      <c r="J116" s="53"/>
      <c r="K116" s="101"/>
    </row>
    <row r="117" spans="1:11" ht="19.5" customHeight="1">
      <c r="A117" s="79"/>
      <c r="B117" s="10"/>
      <c r="C117" s="11"/>
      <c r="D117" s="15"/>
      <c r="E117" s="49"/>
      <c r="F117" s="72" t="str">
        <f>IF(E113=0,"","C"&amp;E113&amp;"-0")</f>
        <v/>
      </c>
      <c r="G117" s="50"/>
      <c r="H117" s="52"/>
      <c r="I117" s="129"/>
      <c r="J117" s="53"/>
      <c r="K117" s="101"/>
    </row>
    <row r="118" spans="1:11" ht="19.5" customHeight="1">
      <c r="A118" s="79"/>
      <c r="B118" s="10"/>
      <c r="C118" s="11"/>
      <c r="D118" s="15"/>
      <c r="E118" s="51"/>
      <c r="F118" s="72" t="str">
        <f>IF(E113=0,"","C"&amp;E113&amp;"-1")</f>
        <v/>
      </c>
      <c r="G118" s="50"/>
      <c r="H118" s="52"/>
      <c r="I118" s="129"/>
      <c r="J118" s="53"/>
      <c r="K118" s="101"/>
    </row>
    <row r="119" spans="1:11" ht="19.5" customHeight="1">
      <c r="A119" s="79"/>
      <c r="B119" s="10"/>
      <c r="C119" s="11"/>
      <c r="D119" s="15"/>
      <c r="E119" s="48">
        <f>IF(AND(E113&gt;1,$D$3&gt;=E113+1),E113+1,0)</f>
        <v>0</v>
      </c>
      <c r="F119" s="72" t="str">
        <f>IF(E119=0,"","A"&amp;E119&amp;"-0")</f>
        <v/>
      </c>
      <c r="G119" s="50"/>
      <c r="H119" s="52"/>
      <c r="I119" s="129"/>
      <c r="J119" s="53"/>
      <c r="K119" s="101"/>
    </row>
    <row r="120" spans="1:11" ht="19.5" customHeight="1">
      <c r="A120" s="79"/>
      <c r="B120" s="10"/>
      <c r="C120" s="11"/>
      <c r="D120" s="15"/>
      <c r="E120" s="49" t="s">
        <v>53</v>
      </c>
      <c r="F120" s="72" t="str">
        <f>IF(E119=0,"","A"&amp;E119&amp;"-1")</f>
        <v/>
      </c>
      <c r="G120" s="50"/>
      <c r="H120" s="52"/>
      <c r="I120" s="129"/>
      <c r="J120" s="53"/>
      <c r="K120" s="101"/>
    </row>
    <row r="121" spans="1:11" ht="19.5" customHeight="1">
      <c r="A121" s="79"/>
      <c r="B121" s="10"/>
      <c r="C121" s="11"/>
      <c r="D121" s="15"/>
      <c r="E121" s="49"/>
      <c r="F121" s="72" t="str">
        <f>IF(E119=0,"","B"&amp;E119&amp;"-0")</f>
        <v/>
      </c>
      <c r="G121" s="50"/>
      <c r="H121" s="52"/>
      <c r="I121" s="129"/>
      <c r="J121" s="53"/>
      <c r="K121" s="101"/>
    </row>
    <row r="122" spans="1:11" ht="19.5" customHeight="1">
      <c r="A122" s="79"/>
      <c r="B122" s="10"/>
      <c r="C122" s="11"/>
      <c r="D122" s="15"/>
      <c r="E122" s="49"/>
      <c r="F122" s="72" t="str">
        <f>IF(E119=0,"","B"&amp;E119&amp;"-1")</f>
        <v/>
      </c>
      <c r="G122" s="50"/>
      <c r="H122" s="52"/>
      <c r="I122" s="129"/>
      <c r="J122" s="53"/>
      <c r="K122" s="101"/>
    </row>
    <row r="123" spans="1:11" ht="19.5" customHeight="1">
      <c r="A123" s="79"/>
      <c r="B123" s="10"/>
      <c r="C123" s="11"/>
      <c r="D123" s="15"/>
      <c r="E123" s="49"/>
      <c r="F123" s="72" t="str">
        <f>IF(E119=0,"","C"&amp;E119&amp;"-0")</f>
        <v/>
      </c>
      <c r="G123" s="50"/>
      <c r="H123" s="52"/>
      <c r="I123" s="129"/>
      <c r="J123" s="53"/>
      <c r="K123" s="101"/>
    </row>
    <row r="124" spans="1:11" ht="19.5" customHeight="1">
      <c r="A124" s="79"/>
      <c r="B124" s="10"/>
      <c r="C124" s="11"/>
      <c r="D124" s="15"/>
      <c r="E124" s="51"/>
      <c r="F124" s="72" t="str">
        <f>IF(E119=0,"","C"&amp;E119&amp;"-1")</f>
        <v/>
      </c>
      <c r="G124" s="50"/>
      <c r="H124" s="52"/>
      <c r="I124" s="129"/>
      <c r="J124" s="53"/>
      <c r="K124" s="101"/>
    </row>
    <row r="125" spans="1:11" ht="19.5" customHeight="1">
      <c r="A125" s="79"/>
      <c r="B125" s="10"/>
      <c r="C125" s="11"/>
      <c r="D125" s="15"/>
      <c r="E125" s="48">
        <f>IF(AND(E119&gt;1,$D$3&gt;=E119+1),E119+1,0)</f>
        <v>0</v>
      </c>
      <c r="F125" s="72" t="str">
        <f>IF(E125=0,"","A"&amp;E125&amp;"-0")</f>
        <v/>
      </c>
      <c r="G125" s="50"/>
      <c r="H125" s="52"/>
      <c r="I125" s="129"/>
      <c r="J125" s="53"/>
      <c r="K125" s="101"/>
    </row>
    <row r="126" spans="1:11" ht="19.5" customHeight="1">
      <c r="A126" s="79"/>
      <c r="B126" s="10"/>
      <c r="C126" s="11"/>
      <c r="D126" s="15"/>
      <c r="E126" s="49" t="s">
        <v>54</v>
      </c>
      <c r="F126" s="72" t="str">
        <f>IF(E125=0,"","A"&amp;E125&amp;"-1")</f>
        <v/>
      </c>
      <c r="G126" s="50"/>
      <c r="H126" s="52"/>
      <c r="I126" s="129"/>
      <c r="J126" s="53"/>
      <c r="K126" s="101"/>
    </row>
    <row r="127" spans="1:11" ht="19.5" customHeight="1">
      <c r="A127" s="79"/>
      <c r="B127" s="10"/>
      <c r="C127" s="11"/>
      <c r="D127" s="15"/>
      <c r="E127" s="49"/>
      <c r="F127" s="72" t="str">
        <f>IF(E125=0,"","B"&amp;E125&amp;"-0")</f>
        <v/>
      </c>
      <c r="G127" s="50"/>
      <c r="H127" s="52"/>
      <c r="I127" s="129"/>
      <c r="J127" s="53"/>
      <c r="K127" s="101"/>
    </row>
    <row r="128" spans="1:11" ht="19.5" customHeight="1">
      <c r="A128" s="79"/>
      <c r="B128" s="10"/>
      <c r="C128" s="11"/>
      <c r="D128" s="15"/>
      <c r="E128" s="49"/>
      <c r="F128" s="72" t="str">
        <f>IF(E125=0,"","B"&amp;E125&amp;"-1")</f>
        <v/>
      </c>
      <c r="G128" s="50"/>
      <c r="H128" s="52"/>
      <c r="I128" s="129"/>
      <c r="J128" s="53"/>
      <c r="K128" s="101"/>
    </row>
    <row r="129" spans="1:11" ht="19.5" customHeight="1">
      <c r="A129" s="79"/>
      <c r="B129" s="10"/>
      <c r="C129" s="11"/>
      <c r="D129" s="15"/>
      <c r="E129" s="49"/>
      <c r="F129" s="72" t="str">
        <f>IF(E125=0,"","C"&amp;E125&amp;"-0")</f>
        <v/>
      </c>
      <c r="G129" s="50"/>
      <c r="H129" s="52"/>
      <c r="I129" s="129"/>
      <c r="J129" s="53"/>
      <c r="K129" s="101"/>
    </row>
    <row r="130" spans="1:11" ht="19.5" customHeight="1">
      <c r="A130" s="80"/>
      <c r="B130" s="12"/>
      <c r="C130" s="13"/>
      <c r="D130" s="16"/>
      <c r="E130" s="51"/>
      <c r="F130" s="72" t="str">
        <f>IF(E125=0,"","C"&amp;E125&amp;"-1")</f>
        <v/>
      </c>
      <c r="G130" s="50"/>
      <c r="H130" s="52"/>
      <c r="I130" s="129"/>
      <c r="J130" s="53"/>
      <c r="K130" s="101"/>
    </row>
    <row r="131" spans="1:11" ht="19.5" customHeight="1">
      <c r="A131" s="78" t="str">
        <f>IF(ROUNDUP($D$3/3,0)&gt;A113,A113+1,"")</f>
        <v/>
      </c>
      <c r="B131" s="3"/>
      <c r="C131" s="4"/>
      <c r="D131" s="14"/>
      <c r="E131" s="48">
        <f>IF(AND(E125&gt;1,$D$3&gt;=E125+1),E125+1,0)</f>
        <v>0</v>
      </c>
      <c r="F131" s="72" t="str">
        <f>IF(E131=0,"","A"&amp;E131&amp;"-0")</f>
        <v/>
      </c>
      <c r="G131" s="50"/>
      <c r="H131" s="52"/>
      <c r="I131" s="129"/>
      <c r="J131" s="53"/>
      <c r="K131" s="101"/>
    </row>
    <row r="132" spans="1:11" ht="19.5" customHeight="1">
      <c r="A132" s="79"/>
      <c r="B132" s="10"/>
      <c r="C132" s="11"/>
      <c r="D132" s="15"/>
      <c r="E132" s="49" t="s">
        <v>52</v>
      </c>
      <c r="F132" s="72" t="str">
        <f>IF(E131=0,"","A"&amp;E131&amp;"-1")</f>
        <v/>
      </c>
      <c r="G132" s="50"/>
      <c r="H132" s="52"/>
      <c r="I132" s="129"/>
      <c r="J132" s="53"/>
      <c r="K132" s="101"/>
    </row>
    <row r="133" spans="1:11" ht="19.5" customHeight="1">
      <c r="A133" s="79"/>
      <c r="B133" s="10"/>
      <c r="C133" s="11"/>
      <c r="D133" s="15"/>
      <c r="E133" s="49"/>
      <c r="F133" s="72" t="str">
        <f>IF(E131=0,"","B"&amp;E131&amp;"-0")</f>
        <v/>
      </c>
      <c r="G133" s="50"/>
      <c r="H133" s="52"/>
      <c r="I133" s="129"/>
      <c r="J133" s="53"/>
      <c r="K133" s="101"/>
    </row>
    <row r="134" spans="1:11" ht="19.5" customHeight="1">
      <c r="A134" s="79"/>
      <c r="B134" s="10"/>
      <c r="C134" s="11"/>
      <c r="D134" s="15"/>
      <c r="E134" s="49"/>
      <c r="F134" s="72" t="str">
        <f>IF(E131=0,"","B"&amp;E131&amp;"-1")</f>
        <v/>
      </c>
      <c r="G134" s="50"/>
      <c r="H134" s="52"/>
      <c r="I134" s="129"/>
      <c r="J134" s="53"/>
      <c r="K134" s="101"/>
    </row>
    <row r="135" spans="1:11" ht="19.5" customHeight="1">
      <c r="A135" s="79"/>
      <c r="B135" s="10"/>
      <c r="C135" s="11"/>
      <c r="D135" s="15"/>
      <c r="E135" s="49"/>
      <c r="F135" s="72" t="str">
        <f>IF(E131=0,"","C"&amp;E131&amp;"-0")</f>
        <v/>
      </c>
      <c r="G135" s="50"/>
      <c r="H135" s="52"/>
      <c r="I135" s="129"/>
      <c r="J135" s="53"/>
      <c r="K135" s="101"/>
    </row>
    <row r="136" spans="1:11" ht="19.5" customHeight="1">
      <c r="A136" s="79"/>
      <c r="B136" s="10"/>
      <c r="C136" s="11"/>
      <c r="D136" s="15"/>
      <c r="E136" s="51"/>
      <c r="F136" s="72" t="str">
        <f>IF(E131=0,"","C"&amp;E131&amp;"-1")</f>
        <v/>
      </c>
      <c r="G136" s="50"/>
      <c r="H136" s="52"/>
      <c r="I136" s="129"/>
      <c r="J136" s="53"/>
      <c r="K136" s="101"/>
    </row>
    <row r="137" spans="1:11" ht="19.5" customHeight="1">
      <c r="A137" s="79"/>
      <c r="B137" s="10"/>
      <c r="C137" s="11"/>
      <c r="D137" s="15"/>
      <c r="E137" s="48">
        <f>IF(AND(E131&gt;1,$D$3&gt;=E131+1),E131+1,0)</f>
        <v>0</v>
      </c>
      <c r="F137" s="72" t="str">
        <f>IF(E137=0,"","A"&amp;E137&amp;"-0")</f>
        <v/>
      </c>
      <c r="G137" s="50"/>
      <c r="H137" s="52"/>
      <c r="I137" s="129"/>
      <c r="J137" s="53"/>
      <c r="K137" s="101"/>
    </row>
    <row r="138" spans="1:11" ht="19.5" customHeight="1">
      <c r="A138" s="79"/>
      <c r="B138" s="10"/>
      <c r="C138" s="11"/>
      <c r="D138" s="15"/>
      <c r="E138" s="49" t="s">
        <v>53</v>
      </c>
      <c r="F138" s="72" t="str">
        <f>IF(E137=0,"","A"&amp;E137&amp;"-1")</f>
        <v/>
      </c>
      <c r="G138" s="50"/>
      <c r="H138" s="52"/>
      <c r="I138" s="129"/>
      <c r="J138" s="53"/>
      <c r="K138" s="101"/>
    </row>
    <row r="139" spans="1:11" ht="19.5" customHeight="1">
      <c r="A139" s="79"/>
      <c r="B139" s="10"/>
      <c r="C139" s="11"/>
      <c r="D139" s="15"/>
      <c r="E139" s="49"/>
      <c r="F139" s="72" t="str">
        <f>IF(E137=0,"","B"&amp;E137&amp;"-0")</f>
        <v/>
      </c>
      <c r="G139" s="50"/>
      <c r="H139" s="52"/>
      <c r="I139" s="129"/>
      <c r="J139" s="53"/>
      <c r="K139" s="101"/>
    </row>
    <row r="140" spans="1:11" ht="19.5" customHeight="1">
      <c r="A140" s="79"/>
      <c r="B140" s="10"/>
      <c r="C140" s="11"/>
      <c r="D140" s="15"/>
      <c r="E140" s="49"/>
      <c r="F140" s="72" t="str">
        <f>IF(E137=0,"","B"&amp;E137&amp;"-1")</f>
        <v/>
      </c>
      <c r="G140" s="50"/>
      <c r="H140" s="52"/>
      <c r="I140" s="129"/>
      <c r="J140" s="53"/>
      <c r="K140" s="101"/>
    </row>
    <row r="141" spans="1:11" ht="19.5" customHeight="1">
      <c r="A141" s="79"/>
      <c r="B141" s="10"/>
      <c r="C141" s="11"/>
      <c r="D141" s="15"/>
      <c r="E141" s="49"/>
      <c r="F141" s="72" t="str">
        <f>IF(E137=0,"","C"&amp;E137&amp;"-0")</f>
        <v/>
      </c>
      <c r="G141" s="50"/>
      <c r="H141" s="52"/>
      <c r="I141" s="129"/>
      <c r="J141" s="53"/>
      <c r="K141" s="101"/>
    </row>
    <row r="142" spans="1:11" ht="19.5" customHeight="1">
      <c r="A142" s="79"/>
      <c r="B142" s="10"/>
      <c r="C142" s="11"/>
      <c r="D142" s="15"/>
      <c r="E142" s="51"/>
      <c r="F142" s="72" t="str">
        <f>IF(E137=0,"","C"&amp;E137&amp;"-1")</f>
        <v/>
      </c>
      <c r="G142" s="50"/>
      <c r="H142" s="52"/>
      <c r="I142" s="129"/>
      <c r="J142" s="53"/>
      <c r="K142" s="101"/>
    </row>
    <row r="143" spans="1:11" ht="19.5" customHeight="1">
      <c r="A143" s="79"/>
      <c r="B143" s="10"/>
      <c r="C143" s="11"/>
      <c r="D143" s="15"/>
      <c r="E143" s="48">
        <f>IF(AND(E137&gt;1,$D$3&gt;=E137+1),E137+1,0)</f>
        <v>0</v>
      </c>
      <c r="F143" s="72" t="str">
        <f>IF(E143=0,"","A"&amp;E143&amp;"-0")</f>
        <v/>
      </c>
      <c r="G143" s="50"/>
      <c r="H143" s="52"/>
      <c r="I143" s="129"/>
      <c r="J143" s="53"/>
      <c r="K143" s="101"/>
    </row>
    <row r="144" spans="1:11" ht="19.5" customHeight="1">
      <c r="A144" s="79"/>
      <c r="B144" s="10"/>
      <c r="C144" s="11"/>
      <c r="D144" s="15"/>
      <c r="E144" s="49" t="s">
        <v>54</v>
      </c>
      <c r="F144" s="72" t="str">
        <f>IF(E143=0,"","A"&amp;E143&amp;"-1")</f>
        <v/>
      </c>
      <c r="G144" s="50"/>
      <c r="H144" s="52"/>
      <c r="I144" s="129"/>
      <c r="J144" s="53"/>
      <c r="K144" s="101"/>
    </row>
    <row r="145" spans="1:11" ht="19.5" customHeight="1">
      <c r="A145" s="79"/>
      <c r="B145" s="10"/>
      <c r="C145" s="11"/>
      <c r="D145" s="15"/>
      <c r="E145" s="49"/>
      <c r="F145" s="72" t="str">
        <f>IF(E143=0,"","B"&amp;E143&amp;"-0")</f>
        <v/>
      </c>
      <c r="G145" s="50"/>
      <c r="H145" s="52"/>
      <c r="I145" s="129"/>
      <c r="J145" s="53"/>
      <c r="K145" s="101"/>
    </row>
    <row r="146" spans="1:11" ht="19.5" customHeight="1">
      <c r="A146" s="79"/>
      <c r="B146" s="10"/>
      <c r="C146" s="11"/>
      <c r="D146" s="15"/>
      <c r="E146" s="49"/>
      <c r="F146" s="72" t="str">
        <f>IF(E143=0,"","B"&amp;E143&amp;"-1")</f>
        <v/>
      </c>
      <c r="G146" s="50"/>
      <c r="H146" s="52"/>
      <c r="I146" s="129"/>
      <c r="J146" s="53"/>
      <c r="K146" s="101"/>
    </row>
    <row r="147" spans="1:11" ht="19.5" customHeight="1">
      <c r="A147" s="79"/>
      <c r="B147" s="10"/>
      <c r="C147" s="11"/>
      <c r="D147" s="15"/>
      <c r="E147" s="49"/>
      <c r="F147" s="72" t="str">
        <f>IF(E143=0,"","C"&amp;E143&amp;"-0")</f>
        <v/>
      </c>
      <c r="G147" s="50"/>
      <c r="H147" s="52"/>
      <c r="I147" s="129"/>
      <c r="J147" s="53"/>
      <c r="K147" s="101"/>
    </row>
    <row r="148" spans="1:11" ht="19.5" customHeight="1">
      <c r="A148" s="80"/>
      <c r="B148" s="12"/>
      <c r="C148" s="13"/>
      <c r="D148" s="16"/>
      <c r="E148" s="51"/>
      <c r="F148" s="72" t="str">
        <f>IF(E143=0,"","C"&amp;E143&amp;"-1")</f>
        <v/>
      </c>
      <c r="G148" s="50"/>
      <c r="H148" s="52"/>
      <c r="I148" s="129"/>
      <c r="J148" s="53"/>
      <c r="K148" s="101"/>
    </row>
    <row r="149" spans="1:11" ht="19.5" customHeight="1">
      <c r="A149" s="78" t="str">
        <f>IF(ROUNDUP($D$3/3,0)&gt;A131,A131+1,"")</f>
        <v/>
      </c>
      <c r="B149" s="3"/>
      <c r="C149" s="4"/>
      <c r="D149" s="14"/>
      <c r="E149" s="48">
        <f>IF(AND(E143&gt;1,$D$3&gt;=E143+1),E143+1,0)</f>
        <v>0</v>
      </c>
      <c r="F149" s="72" t="str">
        <f>IF(E149=0,"","A"&amp;E149&amp;"-0")</f>
        <v/>
      </c>
      <c r="G149" s="50"/>
      <c r="H149" s="52"/>
      <c r="I149" s="129"/>
      <c r="J149" s="53"/>
      <c r="K149" s="101"/>
    </row>
    <row r="150" spans="1:11" ht="19.5" customHeight="1">
      <c r="A150" s="79"/>
      <c r="B150" s="10"/>
      <c r="C150" s="11"/>
      <c r="D150" s="15"/>
      <c r="E150" s="49" t="s">
        <v>52</v>
      </c>
      <c r="F150" s="72" t="str">
        <f>IF(E149=0,"","A"&amp;E149&amp;"-1")</f>
        <v/>
      </c>
      <c r="G150" s="50"/>
      <c r="H150" s="52"/>
      <c r="I150" s="129"/>
      <c r="J150" s="53"/>
      <c r="K150" s="101"/>
    </row>
    <row r="151" spans="1:11" ht="19.5" customHeight="1">
      <c r="A151" s="79"/>
      <c r="B151" s="10"/>
      <c r="C151" s="11"/>
      <c r="D151" s="15"/>
      <c r="E151" s="49"/>
      <c r="F151" s="72" t="str">
        <f>IF(E149=0,"","B"&amp;E149&amp;"-0")</f>
        <v/>
      </c>
      <c r="G151" s="50"/>
      <c r="H151" s="52"/>
      <c r="I151" s="129"/>
      <c r="J151" s="53"/>
      <c r="K151" s="101"/>
    </row>
    <row r="152" spans="1:11" ht="19.5" customHeight="1">
      <c r="A152" s="79"/>
      <c r="B152" s="10"/>
      <c r="C152" s="11"/>
      <c r="D152" s="15"/>
      <c r="E152" s="49"/>
      <c r="F152" s="72" t="str">
        <f>IF(E149=0,"","B"&amp;E149&amp;"-1")</f>
        <v/>
      </c>
      <c r="G152" s="50"/>
      <c r="H152" s="52"/>
      <c r="I152" s="129"/>
      <c r="J152" s="53"/>
      <c r="K152" s="101"/>
    </row>
    <row r="153" spans="1:11" ht="19.5" customHeight="1">
      <c r="A153" s="79"/>
      <c r="B153" s="10"/>
      <c r="C153" s="11"/>
      <c r="D153" s="15"/>
      <c r="E153" s="49"/>
      <c r="F153" s="72" t="str">
        <f>IF(E149=0,"","C"&amp;E149&amp;"-0")</f>
        <v/>
      </c>
      <c r="G153" s="50"/>
      <c r="H153" s="52"/>
      <c r="I153" s="129"/>
      <c r="J153" s="53"/>
      <c r="K153" s="101"/>
    </row>
    <row r="154" spans="1:11" ht="19.5" customHeight="1">
      <c r="A154" s="79"/>
      <c r="B154" s="10"/>
      <c r="C154" s="11"/>
      <c r="D154" s="15"/>
      <c r="E154" s="51"/>
      <c r="F154" s="72" t="str">
        <f>IF(E149=0,"","C"&amp;E149&amp;"-1")</f>
        <v/>
      </c>
      <c r="G154" s="50"/>
      <c r="H154" s="52"/>
      <c r="I154" s="129"/>
      <c r="J154" s="53"/>
      <c r="K154" s="101"/>
    </row>
    <row r="155" spans="1:11" ht="19.5" customHeight="1">
      <c r="A155" s="79"/>
      <c r="B155" s="10"/>
      <c r="C155" s="11"/>
      <c r="D155" s="15"/>
      <c r="E155" s="48">
        <f>IF(AND(E149&gt;1,$D$3&gt;=E149+1),E149+1,0)</f>
        <v>0</v>
      </c>
      <c r="F155" s="72" t="str">
        <f>IF(E155=0,"","A"&amp;E155&amp;"-0")</f>
        <v/>
      </c>
      <c r="G155" s="50"/>
      <c r="H155" s="52"/>
      <c r="I155" s="129"/>
      <c r="J155" s="53"/>
      <c r="K155" s="101"/>
    </row>
    <row r="156" spans="1:11" ht="19.5" customHeight="1">
      <c r="A156" s="79"/>
      <c r="B156" s="10"/>
      <c r="C156" s="11"/>
      <c r="D156" s="15"/>
      <c r="E156" s="49" t="s">
        <v>53</v>
      </c>
      <c r="F156" s="72" t="str">
        <f>IF(E155=0,"","A"&amp;E155&amp;"-1")</f>
        <v/>
      </c>
      <c r="G156" s="50"/>
      <c r="H156" s="52"/>
      <c r="I156" s="129"/>
      <c r="J156" s="53"/>
      <c r="K156" s="101"/>
    </row>
    <row r="157" spans="1:11" ht="19.5" customHeight="1">
      <c r="A157" s="79"/>
      <c r="B157" s="10"/>
      <c r="C157" s="11"/>
      <c r="D157" s="15"/>
      <c r="E157" s="49"/>
      <c r="F157" s="72" t="str">
        <f>IF(E155=0,"","B"&amp;E155&amp;"-0")</f>
        <v/>
      </c>
      <c r="G157" s="50"/>
      <c r="H157" s="52"/>
      <c r="I157" s="129"/>
      <c r="J157" s="53"/>
      <c r="K157" s="101"/>
    </row>
    <row r="158" spans="1:11" ht="19.5" customHeight="1">
      <c r="A158" s="79"/>
      <c r="B158" s="10"/>
      <c r="C158" s="11"/>
      <c r="D158" s="15"/>
      <c r="E158" s="49"/>
      <c r="F158" s="72" t="str">
        <f>IF(E155=0,"","B"&amp;E155&amp;"-1")</f>
        <v/>
      </c>
      <c r="G158" s="50"/>
      <c r="H158" s="52"/>
      <c r="I158" s="129"/>
      <c r="J158" s="53"/>
      <c r="K158" s="101"/>
    </row>
    <row r="159" spans="1:11" ht="19.5" customHeight="1">
      <c r="A159" s="79"/>
      <c r="B159" s="10"/>
      <c r="C159" s="11"/>
      <c r="D159" s="15"/>
      <c r="E159" s="49"/>
      <c r="F159" s="72" t="str">
        <f>IF(E155=0,"","C"&amp;E155&amp;"-0")</f>
        <v/>
      </c>
      <c r="G159" s="50"/>
      <c r="H159" s="52"/>
      <c r="I159" s="129"/>
      <c r="J159" s="53"/>
      <c r="K159" s="101"/>
    </row>
    <row r="160" spans="1:11" ht="19.5" customHeight="1">
      <c r="A160" s="79"/>
      <c r="B160" s="10"/>
      <c r="C160" s="11"/>
      <c r="D160" s="15"/>
      <c r="E160" s="51"/>
      <c r="F160" s="72" t="str">
        <f>IF(E155=0,"","C"&amp;E155&amp;"-1")</f>
        <v/>
      </c>
      <c r="G160" s="50"/>
      <c r="H160" s="52"/>
      <c r="I160" s="129"/>
      <c r="J160" s="53"/>
      <c r="K160" s="101"/>
    </row>
    <row r="161" spans="1:11" ht="19.5" customHeight="1">
      <c r="A161" s="79"/>
      <c r="B161" s="10"/>
      <c r="C161" s="11"/>
      <c r="D161" s="15"/>
      <c r="E161" s="48">
        <f>IF(AND(E155&gt;1,$D$3&gt;=E155+1),E155+1,0)</f>
        <v>0</v>
      </c>
      <c r="F161" s="72" t="str">
        <f>IF(E161=0,"","A"&amp;E161&amp;"-0")</f>
        <v/>
      </c>
      <c r="G161" s="50"/>
      <c r="H161" s="52"/>
      <c r="I161" s="129"/>
      <c r="J161" s="53"/>
      <c r="K161" s="101"/>
    </row>
    <row r="162" spans="1:11" ht="19.5" customHeight="1">
      <c r="A162" s="79"/>
      <c r="B162" s="10"/>
      <c r="C162" s="11"/>
      <c r="D162" s="15"/>
      <c r="E162" s="49" t="s">
        <v>54</v>
      </c>
      <c r="F162" s="72" t="str">
        <f>IF(E161=0,"","A"&amp;E161&amp;"-1")</f>
        <v/>
      </c>
      <c r="G162" s="50"/>
      <c r="H162" s="52"/>
      <c r="I162" s="129"/>
      <c r="J162" s="53"/>
      <c r="K162" s="101"/>
    </row>
    <row r="163" spans="1:11" ht="19.5" customHeight="1">
      <c r="A163" s="79"/>
      <c r="B163" s="10"/>
      <c r="C163" s="11"/>
      <c r="D163" s="15"/>
      <c r="E163" s="49"/>
      <c r="F163" s="72" t="str">
        <f>IF(E161=0,"","B"&amp;E161&amp;"-0")</f>
        <v/>
      </c>
      <c r="G163" s="50"/>
      <c r="H163" s="52"/>
      <c r="I163" s="129"/>
      <c r="J163" s="53"/>
      <c r="K163" s="101"/>
    </row>
    <row r="164" spans="1:11" ht="19.5" customHeight="1">
      <c r="A164" s="79"/>
      <c r="B164" s="10"/>
      <c r="C164" s="11"/>
      <c r="D164" s="15"/>
      <c r="E164" s="49"/>
      <c r="F164" s="72" t="str">
        <f>IF(E161=0,"","B"&amp;E161&amp;"-1")</f>
        <v/>
      </c>
      <c r="G164" s="50"/>
      <c r="H164" s="52"/>
      <c r="I164" s="129"/>
      <c r="J164" s="53"/>
      <c r="K164" s="101"/>
    </row>
    <row r="165" spans="1:11" ht="19.5" customHeight="1">
      <c r="A165" s="79"/>
      <c r="B165" s="10"/>
      <c r="C165" s="11"/>
      <c r="D165" s="15"/>
      <c r="E165" s="49"/>
      <c r="F165" s="72" t="str">
        <f>IF(E161=0,"","C"&amp;E161&amp;"-0")</f>
        <v/>
      </c>
      <c r="G165" s="50"/>
      <c r="H165" s="52"/>
      <c r="I165" s="129"/>
      <c r="J165" s="53"/>
      <c r="K165" s="101"/>
    </row>
    <row r="166" spans="1:11" ht="19.5" customHeight="1">
      <c r="A166" s="80"/>
      <c r="B166" s="12"/>
      <c r="C166" s="13"/>
      <c r="D166" s="16"/>
      <c r="E166" s="51"/>
      <c r="F166" s="72" t="str">
        <f>IF(E161=0,"","C"&amp;E161&amp;"-1")</f>
        <v/>
      </c>
      <c r="G166" s="50"/>
      <c r="H166" s="52"/>
      <c r="I166" s="129"/>
      <c r="J166" s="53"/>
      <c r="K166" s="101"/>
    </row>
    <row r="167" spans="1:11" ht="19.5" customHeight="1">
      <c r="A167" s="78" t="str">
        <f>IF(ROUNDUP($D$3/3,0)&gt;A149,A149+1,"")</f>
        <v/>
      </c>
      <c r="B167" s="3"/>
      <c r="C167" s="4"/>
      <c r="D167" s="14"/>
      <c r="E167" s="48">
        <f>IF(AND(E161&gt;1,$D$3&gt;=E161+1),E161+1,0)</f>
        <v>0</v>
      </c>
      <c r="F167" s="72" t="str">
        <f>IF(E167=0,"","A"&amp;E167&amp;"-0")</f>
        <v/>
      </c>
      <c r="G167" s="50"/>
      <c r="H167" s="52"/>
      <c r="I167" s="129"/>
      <c r="J167" s="53"/>
      <c r="K167" s="101"/>
    </row>
    <row r="168" spans="1:11" ht="19.5" customHeight="1">
      <c r="A168" s="79"/>
      <c r="B168" s="10"/>
      <c r="C168" s="11"/>
      <c r="D168" s="15"/>
      <c r="E168" s="49" t="s">
        <v>52</v>
      </c>
      <c r="F168" s="72" t="str">
        <f>IF(E167=0,"","A"&amp;E167&amp;"-1")</f>
        <v/>
      </c>
      <c r="G168" s="50"/>
      <c r="H168" s="52"/>
      <c r="I168" s="129"/>
      <c r="J168" s="53"/>
      <c r="K168" s="101"/>
    </row>
    <row r="169" spans="1:11" ht="19.5" customHeight="1">
      <c r="A169" s="79"/>
      <c r="B169" s="10"/>
      <c r="C169" s="11"/>
      <c r="D169" s="15"/>
      <c r="E169" s="49"/>
      <c r="F169" s="72" t="str">
        <f>IF(E167=0,"","B"&amp;E167&amp;"-0")</f>
        <v/>
      </c>
      <c r="G169" s="50"/>
      <c r="H169" s="52"/>
      <c r="I169" s="129"/>
      <c r="J169" s="53"/>
      <c r="K169" s="101"/>
    </row>
    <row r="170" spans="1:11" ht="19.5" customHeight="1">
      <c r="A170" s="79"/>
      <c r="B170" s="10"/>
      <c r="C170" s="11"/>
      <c r="D170" s="15"/>
      <c r="E170" s="49"/>
      <c r="F170" s="72" t="str">
        <f>IF(E167=0,"","B"&amp;E167&amp;"-1")</f>
        <v/>
      </c>
      <c r="G170" s="50"/>
      <c r="H170" s="52"/>
      <c r="I170" s="129"/>
      <c r="J170" s="53"/>
      <c r="K170" s="101"/>
    </row>
    <row r="171" spans="1:11" ht="19.5" customHeight="1">
      <c r="A171" s="79"/>
      <c r="B171" s="10"/>
      <c r="C171" s="11"/>
      <c r="D171" s="15"/>
      <c r="E171" s="49"/>
      <c r="F171" s="72" t="str">
        <f>IF(E167=0,"","C"&amp;E167&amp;"-0")</f>
        <v/>
      </c>
      <c r="G171" s="50"/>
      <c r="H171" s="52"/>
      <c r="I171" s="129"/>
      <c r="J171" s="53"/>
      <c r="K171" s="101"/>
    </row>
    <row r="172" spans="1:11" ht="19.5" customHeight="1">
      <c r="A172" s="79"/>
      <c r="B172" s="10"/>
      <c r="C172" s="11"/>
      <c r="D172" s="15"/>
      <c r="E172" s="51"/>
      <c r="F172" s="72" t="str">
        <f>IF(E167=0,"","C"&amp;E167&amp;"-1")</f>
        <v/>
      </c>
      <c r="G172" s="50"/>
      <c r="H172" s="52"/>
      <c r="I172" s="129"/>
      <c r="J172" s="53"/>
      <c r="K172" s="101"/>
    </row>
    <row r="173" spans="1:11" ht="19.5" customHeight="1">
      <c r="A173" s="79"/>
      <c r="B173" s="10"/>
      <c r="C173" s="11"/>
      <c r="D173" s="15"/>
      <c r="E173" s="48">
        <f>IF(AND(E167&gt;1,$D$3&gt;=E167+1),E167+1,0)</f>
        <v>0</v>
      </c>
      <c r="F173" s="72" t="str">
        <f>IF(E173=0,"","A"&amp;E173&amp;"-0")</f>
        <v/>
      </c>
      <c r="G173" s="50"/>
      <c r="H173" s="52"/>
      <c r="I173" s="129"/>
      <c r="J173" s="53"/>
      <c r="K173" s="101"/>
    </row>
    <row r="174" spans="1:11" ht="19.5" customHeight="1">
      <c r="A174" s="79"/>
      <c r="B174" s="10"/>
      <c r="C174" s="11"/>
      <c r="D174" s="15"/>
      <c r="E174" s="49" t="s">
        <v>53</v>
      </c>
      <c r="F174" s="72" t="str">
        <f>IF(E173=0,"","A"&amp;E173&amp;"-1")</f>
        <v/>
      </c>
      <c r="G174" s="50"/>
      <c r="H174" s="52"/>
      <c r="I174" s="129"/>
      <c r="J174" s="53"/>
      <c r="K174" s="101"/>
    </row>
    <row r="175" spans="1:11" ht="19.5" customHeight="1">
      <c r="A175" s="79"/>
      <c r="B175" s="10"/>
      <c r="C175" s="11"/>
      <c r="D175" s="15"/>
      <c r="E175" s="49"/>
      <c r="F175" s="72" t="str">
        <f>IF(E173=0,"","B"&amp;E173&amp;"-0")</f>
        <v/>
      </c>
      <c r="G175" s="50"/>
      <c r="H175" s="52"/>
      <c r="I175" s="130"/>
      <c r="J175" s="53"/>
      <c r="K175" s="101"/>
    </row>
    <row r="176" spans="1:11" ht="19.5" customHeight="1">
      <c r="A176" s="79"/>
      <c r="B176" s="10"/>
      <c r="C176" s="11"/>
      <c r="D176" s="15"/>
      <c r="E176" s="49"/>
      <c r="F176" s="72" t="str">
        <f>IF(E173=0,"","B"&amp;E173&amp;"-1")</f>
        <v/>
      </c>
      <c r="G176" s="50"/>
      <c r="H176" s="52"/>
      <c r="I176" s="130"/>
      <c r="J176" s="53"/>
      <c r="K176" s="101"/>
    </row>
    <row r="177" spans="1:11" ht="19.5" customHeight="1">
      <c r="A177" s="79"/>
      <c r="B177" s="10"/>
      <c r="C177" s="11"/>
      <c r="D177" s="15"/>
      <c r="E177" s="49"/>
      <c r="F177" s="72" t="str">
        <f>IF(E173=0,"","C"&amp;E173&amp;"-0")</f>
        <v/>
      </c>
      <c r="G177" s="50"/>
      <c r="H177" s="52"/>
      <c r="I177" s="130"/>
      <c r="J177" s="53"/>
      <c r="K177" s="101"/>
    </row>
    <row r="178" spans="1:11" ht="19.5" customHeight="1">
      <c r="A178" s="79"/>
      <c r="B178" s="10"/>
      <c r="C178" s="11"/>
      <c r="D178" s="15"/>
      <c r="E178" s="51"/>
      <c r="F178" s="72" t="str">
        <f>IF(E173=0,"","C"&amp;E173&amp;"-1")</f>
        <v/>
      </c>
      <c r="G178" s="50"/>
      <c r="H178" s="52"/>
      <c r="I178" s="130"/>
      <c r="J178" s="53"/>
      <c r="K178" s="101"/>
    </row>
    <row r="179" spans="1:11" ht="19.5" customHeight="1">
      <c r="A179" s="79"/>
      <c r="B179" s="10"/>
      <c r="C179" s="11"/>
      <c r="D179" s="15"/>
      <c r="E179" s="48">
        <f>IF(AND(E173&gt;1,$D$3&gt;=E173+1),E173+1,0)</f>
        <v>0</v>
      </c>
      <c r="F179" s="72" t="str">
        <f>IF(E179=0,"","A"&amp;E179&amp;"-0")</f>
        <v/>
      </c>
      <c r="G179" s="50"/>
      <c r="H179" s="52"/>
      <c r="I179" s="130"/>
      <c r="J179" s="53"/>
      <c r="K179" s="101"/>
    </row>
    <row r="180" spans="1:11" ht="19.5" customHeight="1">
      <c r="A180" s="79"/>
      <c r="B180" s="10"/>
      <c r="C180" s="11"/>
      <c r="D180" s="15"/>
      <c r="E180" s="49" t="s">
        <v>54</v>
      </c>
      <c r="F180" s="72" t="str">
        <f>IF(E179=0,"","A"&amp;E179&amp;"-1")</f>
        <v/>
      </c>
      <c r="G180" s="50"/>
      <c r="H180" s="52"/>
      <c r="I180" s="130"/>
      <c r="J180" s="53"/>
      <c r="K180" s="101"/>
    </row>
    <row r="181" spans="1:11" ht="19.5" customHeight="1">
      <c r="A181" s="79"/>
      <c r="B181" s="10"/>
      <c r="C181" s="11"/>
      <c r="D181" s="15"/>
      <c r="E181" s="49"/>
      <c r="F181" s="72" t="str">
        <f>IF(E179=0,"","B"&amp;E179&amp;"-0")</f>
        <v/>
      </c>
      <c r="G181" s="50"/>
      <c r="H181" s="52"/>
      <c r="I181" s="130"/>
      <c r="J181" s="53"/>
      <c r="K181" s="101"/>
    </row>
    <row r="182" spans="1:11" ht="19.5" customHeight="1">
      <c r="A182" s="79"/>
      <c r="B182" s="10"/>
      <c r="C182" s="11"/>
      <c r="D182" s="15"/>
      <c r="E182" s="49"/>
      <c r="F182" s="72" t="str">
        <f>IF(E179=0,"","B"&amp;E179&amp;"-1")</f>
        <v/>
      </c>
      <c r="G182" s="50"/>
      <c r="H182" s="52"/>
      <c r="I182" s="130"/>
      <c r="J182" s="53"/>
      <c r="K182" s="101"/>
    </row>
    <row r="183" spans="1:11" ht="19.5" customHeight="1">
      <c r="A183" s="79"/>
      <c r="B183" s="10"/>
      <c r="C183" s="11"/>
      <c r="D183" s="15"/>
      <c r="E183" s="49"/>
      <c r="F183" s="72" t="str">
        <f>IF(E179=0,"","C"&amp;E179&amp;"-0")</f>
        <v/>
      </c>
      <c r="G183" s="50"/>
      <c r="H183" s="52"/>
      <c r="I183" s="130"/>
      <c r="J183" s="53"/>
      <c r="K183" s="101"/>
    </row>
    <row r="184" spans="1:11" ht="19.5" customHeight="1">
      <c r="A184" s="80"/>
      <c r="B184" s="12"/>
      <c r="C184" s="13"/>
      <c r="D184" s="16"/>
      <c r="E184" s="51"/>
      <c r="F184" s="72" t="str">
        <f>IF(E179=0,"","C"&amp;E179&amp;"-1")</f>
        <v/>
      </c>
      <c r="G184" s="50"/>
      <c r="H184" s="52"/>
      <c r="I184" s="130"/>
      <c r="J184" s="53"/>
      <c r="K184" s="101"/>
    </row>
    <row r="185" spans="1:11" ht="19.5" customHeight="1">
      <c r="A185" s="78" t="str">
        <f>IF(ROUNDUP($D$3/3,0)&gt;A167,A167+1,"")</f>
        <v/>
      </c>
      <c r="B185" s="3"/>
      <c r="C185" s="4"/>
      <c r="D185" s="14"/>
      <c r="E185" s="48">
        <f>IF(AND(E179&gt;1,$D$3&gt;=E179+1),E179+1,0)</f>
        <v>0</v>
      </c>
      <c r="F185" s="72" t="str">
        <f>IF(E185=0,"","A"&amp;E185&amp;"-0")</f>
        <v/>
      </c>
      <c r="G185" s="50"/>
      <c r="H185" s="52"/>
      <c r="I185" s="130"/>
      <c r="J185" s="53"/>
      <c r="K185" s="101"/>
    </row>
    <row r="186" spans="1:11" ht="19.5" customHeight="1">
      <c r="A186" s="79"/>
      <c r="B186" s="10"/>
      <c r="C186" s="11"/>
      <c r="D186" s="15"/>
      <c r="E186" s="49" t="s">
        <v>52</v>
      </c>
      <c r="F186" s="72" t="str">
        <f>IF(E185=0,"","A"&amp;E185&amp;"-1")</f>
        <v/>
      </c>
      <c r="G186" s="50"/>
      <c r="H186" s="52"/>
      <c r="I186" s="130"/>
      <c r="J186" s="53"/>
      <c r="K186" s="101"/>
    </row>
    <row r="187" spans="1:11" ht="19.5" customHeight="1">
      <c r="A187" s="79"/>
      <c r="B187" s="10"/>
      <c r="C187" s="11"/>
      <c r="D187" s="15"/>
      <c r="E187" s="49"/>
      <c r="F187" s="72" t="str">
        <f>IF(E185=0,"","B"&amp;E185&amp;"-0")</f>
        <v/>
      </c>
      <c r="G187" s="50"/>
      <c r="H187" s="52"/>
      <c r="I187" s="130"/>
      <c r="J187" s="53"/>
      <c r="K187" s="101"/>
    </row>
    <row r="188" spans="1:11" ht="19.5" customHeight="1">
      <c r="A188" s="79"/>
      <c r="B188" s="10"/>
      <c r="C188" s="11"/>
      <c r="D188" s="15"/>
      <c r="E188" s="49"/>
      <c r="F188" s="72" t="str">
        <f>IF(E185=0,"","B"&amp;E185&amp;"-1")</f>
        <v/>
      </c>
      <c r="G188" s="50"/>
      <c r="H188" s="52"/>
      <c r="I188" s="130"/>
      <c r="J188" s="53"/>
      <c r="K188" s="101"/>
    </row>
    <row r="189" spans="1:11" ht="19.5" customHeight="1">
      <c r="A189" s="79"/>
      <c r="B189" s="10"/>
      <c r="C189" s="11"/>
      <c r="D189" s="15"/>
      <c r="E189" s="49"/>
      <c r="F189" s="72" t="str">
        <f>IF(E185=0,"","C"&amp;E185&amp;"-0")</f>
        <v/>
      </c>
      <c r="G189" s="50"/>
      <c r="H189" s="52"/>
      <c r="I189" s="130"/>
      <c r="J189" s="53"/>
      <c r="K189" s="101"/>
    </row>
    <row r="190" spans="1:11" ht="19.5" customHeight="1">
      <c r="A190" s="79"/>
      <c r="B190" s="10"/>
      <c r="C190" s="11"/>
      <c r="D190" s="15"/>
      <c r="E190" s="51"/>
      <c r="F190" s="72" t="str">
        <f>IF(E185=0,"","C"&amp;E185&amp;"-1")</f>
        <v/>
      </c>
      <c r="G190" s="50"/>
      <c r="H190" s="52"/>
      <c r="I190" s="130"/>
      <c r="J190" s="53"/>
      <c r="K190" s="101"/>
    </row>
    <row r="191" spans="1:11" ht="19.5" customHeight="1">
      <c r="A191" s="79"/>
      <c r="B191" s="10"/>
      <c r="C191" s="11"/>
      <c r="D191" s="15"/>
      <c r="E191" s="48">
        <f>IF(AND(E185&gt;1,$D$3&gt;=E185+1),E185+1,0)</f>
        <v>0</v>
      </c>
      <c r="F191" s="72" t="str">
        <f>IF(E191=0,"","A"&amp;E191&amp;"-0")</f>
        <v/>
      </c>
      <c r="G191" s="50"/>
      <c r="H191" s="52"/>
      <c r="I191" s="130"/>
      <c r="J191" s="53"/>
      <c r="K191" s="101"/>
    </row>
    <row r="192" spans="1:11" ht="19.5" customHeight="1">
      <c r="A192" s="79"/>
      <c r="B192" s="10"/>
      <c r="C192" s="11"/>
      <c r="D192" s="15"/>
      <c r="E192" s="49" t="s">
        <v>53</v>
      </c>
      <c r="F192" s="72" t="str">
        <f>IF(E191=0,"","A"&amp;E191&amp;"-1")</f>
        <v/>
      </c>
      <c r="G192" s="50"/>
      <c r="H192" s="52"/>
      <c r="I192" s="130"/>
      <c r="J192" s="53"/>
      <c r="K192" s="101"/>
    </row>
    <row r="193" spans="1:11" ht="19.5" customHeight="1">
      <c r="A193" s="79"/>
      <c r="B193" s="10"/>
      <c r="C193" s="11"/>
      <c r="D193" s="15"/>
      <c r="E193" s="49"/>
      <c r="F193" s="72" t="str">
        <f>IF(E191=0,"","B"&amp;E191&amp;"-0")</f>
        <v/>
      </c>
      <c r="G193" s="50"/>
      <c r="H193" s="52"/>
      <c r="I193" s="130"/>
      <c r="J193" s="53"/>
      <c r="K193" s="101"/>
    </row>
    <row r="194" spans="1:11" ht="19.5" customHeight="1">
      <c r="A194" s="79"/>
      <c r="B194" s="10"/>
      <c r="C194" s="11"/>
      <c r="D194" s="15"/>
      <c r="E194" s="49"/>
      <c r="F194" s="72" t="str">
        <f>IF(E191=0,"","B"&amp;E191&amp;"-1")</f>
        <v/>
      </c>
      <c r="G194" s="50"/>
      <c r="H194" s="52"/>
      <c r="I194" s="130"/>
      <c r="J194" s="53"/>
      <c r="K194" s="101"/>
    </row>
    <row r="195" spans="1:11" ht="19.5" customHeight="1">
      <c r="A195" s="79"/>
      <c r="B195" s="10"/>
      <c r="C195" s="11"/>
      <c r="D195" s="15"/>
      <c r="E195" s="49"/>
      <c r="F195" s="72" t="str">
        <f>IF(E191=0,"","C"&amp;E191&amp;"-0")</f>
        <v/>
      </c>
      <c r="G195" s="50"/>
      <c r="H195" s="52"/>
      <c r="I195" s="130"/>
      <c r="J195" s="53"/>
      <c r="K195" s="101"/>
    </row>
    <row r="196" spans="1:11" ht="19.5" customHeight="1">
      <c r="A196" s="79"/>
      <c r="B196" s="10"/>
      <c r="C196" s="11"/>
      <c r="D196" s="15"/>
      <c r="E196" s="51"/>
      <c r="F196" s="72" t="str">
        <f>IF(E191=0,"","C"&amp;E191&amp;"-1")</f>
        <v/>
      </c>
      <c r="G196" s="50"/>
      <c r="H196" s="52"/>
      <c r="I196" s="130"/>
      <c r="J196" s="53"/>
      <c r="K196" s="101"/>
    </row>
    <row r="197" spans="1:11" ht="19.5" customHeight="1">
      <c r="A197" s="79"/>
      <c r="B197" s="10"/>
      <c r="C197" s="11"/>
      <c r="D197" s="15"/>
      <c r="E197" s="48">
        <f>IF(AND(E191&gt;1,$D$3&gt;=E191+1),E191+1,0)</f>
        <v>0</v>
      </c>
      <c r="F197" s="72" t="str">
        <f>IF(E197=0,"","A"&amp;E197&amp;"-0")</f>
        <v/>
      </c>
      <c r="G197" s="50"/>
      <c r="H197" s="52"/>
      <c r="I197" s="130"/>
      <c r="J197" s="53"/>
      <c r="K197" s="101"/>
    </row>
    <row r="198" spans="1:11" ht="19.5" customHeight="1">
      <c r="A198" s="79"/>
      <c r="B198" s="10"/>
      <c r="C198" s="11"/>
      <c r="D198" s="15"/>
      <c r="E198" s="49" t="s">
        <v>54</v>
      </c>
      <c r="F198" s="72" t="str">
        <f>IF(E197=0,"","A"&amp;E197&amp;"-1")</f>
        <v/>
      </c>
      <c r="G198" s="50"/>
      <c r="H198" s="52"/>
      <c r="I198" s="130"/>
      <c r="J198" s="53"/>
      <c r="K198" s="101"/>
    </row>
    <row r="199" spans="1:11" ht="19.5" customHeight="1">
      <c r="A199" s="79"/>
      <c r="B199" s="10"/>
      <c r="C199" s="11"/>
      <c r="D199" s="15"/>
      <c r="E199" s="49"/>
      <c r="F199" s="72" t="str">
        <f>IF(E197=0,"","B"&amp;E197&amp;"-0")</f>
        <v/>
      </c>
      <c r="G199" s="50"/>
      <c r="H199" s="52"/>
      <c r="I199" s="130"/>
      <c r="J199" s="53"/>
      <c r="K199" s="101"/>
    </row>
    <row r="200" spans="1:11" ht="19.5" customHeight="1">
      <c r="A200" s="79"/>
      <c r="B200" s="10"/>
      <c r="C200" s="11"/>
      <c r="D200" s="15"/>
      <c r="E200" s="49"/>
      <c r="F200" s="72" t="str">
        <f>IF(E197=0,"","B"&amp;E197&amp;"-1")</f>
        <v/>
      </c>
      <c r="G200" s="50"/>
      <c r="H200" s="52"/>
      <c r="I200" s="130"/>
      <c r="J200" s="53"/>
      <c r="K200" s="101"/>
    </row>
    <row r="201" spans="1:11" ht="19.5" customHeight="1">
      <c r="A201" s="79"/>
      <c r="B201" s="10"/>
      <c r="C201" s="11"/>
      <c r="D201" s="15"/>
      <c r="E201" s="49"/>
      <c r="F201" s="72" t="str">
        <f>IF(E197=0,"","C"&amp;E197&amp;"-0")</f>
        <v/>
      </c>
      <c r="G201" s="50"/>
      <c r="H201" s="52"/>
      <c r="I201" s="130"/>
      <c r="J201" s="53"/>
      <c r="K201" s="101"/>
    </row>
    <row r="202" spans="1:11" ht="19.5" customHeight="1">
      <c r="A202" s="80"/>
      <c r="B202" s="12"/>
      <c r="C202" s="13"/>
      <c r="D202" s="16"/>
      <c r="E202" s="51"/>
      <c r="F202" s="72" t="str">
        <f>IF(E197=0,"","C"&amp;E197&amp;"-1")</f>
        <v/>
      </c>
      <c r="G202" s="50"/>
      <c r="H202" s="52"/>
      <c r="I202" s="130"/>
      <c r="J202" s="53"/>
      <c r="K202" s="101"/>
    </row>
    <row r="203" spans="1:11" ht="19.5" customHeight="1">
      <c r="A203" s="78" t="str">
        <f>IF(ROUNDUP($D$3/3,0)&gt;A185,A185+1,"")</f>
        <v/>
      </c>
      <c r="B203" s="3"/>
      <c r="C203" s="4"/>
      <c r="D203" s="14"/>
      <c r="E203" s="48">
        <f>IF(AND(E197&gt;1,$D$3&gt;=E197+1),E197+1,0)</f>
        <v>0</v>
      </c>
      <c r="F203" s="72" t="str">
        <f>IF(E203=0,"","A"&amp;E203&amp;"-0")</f>
        <v/>
      </c>
      <c r="G203" s="50"/>
      <c r="H203" s="52"/>
      <c r="I203" s="130"/>
      <c r="J203" s="53"/>
      <c r="K203" s="101"/>
    </row>
    <row r="204" spans="1:11" ht="19.5" customHeight="1">
      <c r="A204" s="79"/>
      <c r="B204" s="10"/>
      <c r="C204" s="11"/>
      <c r="D204" s="15"/>
      <c r="E204" s="49" t="s">
        <v>52</v>
      </c>
      <c r="F204" s="72" t="str">
        <f>IF(E203=0,"","A"&amp;E203&amp;"-1")</f>
        <v/>
      </c>
      <c r="G204" s="50"/>
      <c r="H204" s="52"/>
      <c r="I204" s="130"/>
      <c r="J204" s="53"/>
      <c r="K204" s="101"/>
    </row>
    <row r="205" spans="1:11" ht="19.5" customHeight="1">
      <c r="A205" s="79"/>
      <c r="B205" s="10"/>
      <c r="C205" s="11"/>
      <c r="D205" s="15"/>
      <c r="E205" s="49"/>
      <c r="F205" s="72" t="str">
        <f>IF(E203=0,"","B"&amp;E203&amp;"-0")</f>
        <v/>
      </c>
      <c r="G205" s="50"/>
      <c r="H205" s="52"/>
      <c r="I205" s="130"/>
      <c r="J205" s="53"/>
      <c r="K205" s="101"/>
    </row>
    <row r="206" spans="1:11" ht="19.5" customHeight="1">
      <c r="A206" s="79"/>
      <c r="B206" s="10"/>
      <c r="C206" s="11"/>
      <c r="D206" s="15"/>
      <c r="E206" s="49"/>
      <c r="F206" s="72" t="str">
        <f>IF(E203=0,"","B"&amp;E203&amp;"-1")</f>
        <v/>
      </c>
      <c r="G206" s="50"/>
      <c r="H206" s="52"/>
      <c r="I206" s="130"/>
      <c r="J206" s="53"/>
      <c r="K206" s="101"/>
    </row>
    <row r="207" spans="1:11" ht="19.5" customHeight="1">
      <c r="A207" s="79"/>
      <c r="B207" s="10"/>
      <c r="C207" s="11"/>
      <c r="D207" s="15"/>
      <c r="E207" s="49"/>
      <c r="F207" s="72" t="str">
        <f>IF(E203=0,"","C"&amp;E203&amp;"-0")</f>
        <v/>
      </c>
      <c r="G207" s="50"/>
      <c r="H207" s="52"/>
      <c r="I207" s="130"/>
      <c r="J207" s="53"/>
      <c r="K207" s="101"/>
    </row>
    <row r="208" spans="1:11" ht="19.5" customHeight="1">
      <c r="A208" s="79"/>
      <c r="B208" s="10"/>
      <c r="C208" s="11"/>
      <c r="D208" s="15"/>
      <c r="E208" s="51"/>
      <c r="F208" s="72" t="str">
        <f>IF(E203=0,"","C"&amp;E203&amp;"-1")</f>
        <v/>
      </c>
      <c r="G208" s="50"/>
      <c r="H208" s="52"/>
      <c r="I208" s="130"/>
      <c r="J208" s="53"/>
      <c r="K208" s="101"/>
    </row>
    <row r="209" spans="1:11" ht="19.5" customHeight="1">
      <c r="A209" s="79"/>
      <c r="B209" s="10"/>
      <c r="C209" s="11"/>
      <c r="D209" s="15"/>
      <c r="E209" s="48">
        <f>IF(AND(E203&gt;1,$D$3&gt;=E203+1),E203+1,0)</f>
        <v>0</v>
      </c>
      <c r="F209" s="72" t="str">
        <f>IF(E209=0,"","A"&amp;E209&amp;"-0")</f>
        <v/>
      </c>
      <c r="G209" s="50"/>
      <c r="H209" s="52"/>
      <c r="I209" s="130"/>
      <c r="J209" s="53"/>
      <c r="K209" s="101"/>
    </row>
    <row r="210" spans="1:11" ht="19.5" customHeight="1">
      <c r="A210" s="79"/>
      <c r="B210" s="10"/>
      <c r="C210" s="11"/>
      <c r="D210" s="15"/>
      <c r="E210" s="49" t="s">
        <v>53</v>
      </c>
      <c r="F210" s="72" t="str">
        <f>IF(E209=0,"","A"&amp;E209&amp;"-1")</f>
        <v/>
      </c>
      <c r="G210" s="50"/>
      <c r="H210" s="52"/>
      <c r="I210" s="130"/>
      <c r="J210" s="53"/>
      <c r="K210" s="101"/>
    </row>
    <row r="211" spans="1:11" ht="19.5" customHeight="1">
      <c r="A211" s="79"/>
      <c r="B211" s="10"/>
      <c r="C211" s="11"/>
      <c r="D211" s="15"/>
      <c r="E211" s="49"/>
      <c r="F211" s="72" t="str">
        <f>IF(E209=0,"","B"&amp;E209&amp;"-0")</f>
        <v/>
      </c>
      <c r="G211" s="50"/>
      <c r="H211" s="52"/>
      <c r="I211" s="130"/>
      <c r="J211" s="53"/>
      <c r="K211" s="101"/>
    </row>
    <row r="212" spans="1:11" ht="19.5" customHeight="1">
      <c r="A212" s="79"/>
      <c r="B212" s="10"/>
      <c r="C212" s="11"/>
      <c r="D212" s="15"/>
      <c r="E212" s="49"/>
      <c r="F212" s="72" t="str">
        <f>IF(E209=0,"","B"&amp;E209&amp;"-1")</f>
        <v/>
      </c>
      <c r="G212" s="50"/>
      <c r="H212" s="52"/>
      <c r="I212" s="130"/>
      <c r="J212" s="53"/>
      <c r="K212" s="101"/>
    </row>
    <row r="213" spans="1:11" ht="19.5" customHeight="1">
      <c r="A213" s="79"/>
      <c r="B213" s="10"/>
      <c r="C213" s="11"/>
      <c r="D213" s="15"/>
      <c r="E213" s="49"/>
      <c r="F213" s="72" t="str">
        <f>IF(E209=0,"","C"&amp;E209&amp;"-0")</f>
        <v/>
      </c>
      <c r="G213" s="50"/>
      <c r="H213" s="52"/>
      <c r="I213" s="130"/>
      <c r="J213" s="53"/>
      <c r="K213" s="101"/>
    </row>
    <row r="214" spans="1:11" ht="19.5" customHeight="1">
      <c r="A214" s="79"/>
      <c r="B214" s="10"/>
      <c r="C214" s="11"/>
      <c r="D214" s="15"/>
      <c r="E214" s="51"/>
      <c r="F214" s="72" t="str">
        <f>IF(E209=0,"","C"&amp;E209&amp;"-1")</f>
        <v/>
      </c>
      <c r="G214" s="50"/>
      <c r="H214" s="52"/>
      <c r="I214" s="130"/>
      <c r="J214" s="53"/>
      <c r="K214" s="101"/>
    </row>
    <row r="215" spans="1:11" ht="19.5" customHeight="1">
      <c r="A215" s="79"/>
      <c r="B215" s="10"/>
      <c r="C215" s="11"/>
      <c r="D215" s="15"/>
      <c r="E215" s="48">
        <f>IF(AND(E209&gt;1,$D$3&gt;=E209+1),E209+1,0)</f>
        <v>0</v>
      </c>
      <c r="F215" s="72" t="str">
        <f>IF(E215=0,"","A"&amp;E215&amp;"-0")</f>
        <v/>
      </c>
      <c r="G215" s="50"/>
      <c r="H215" s="52"/>
      <c r="I215" s="130"/>
      <c r="J215" s="53"/>
      <c r="K215" s="101"/>
    </row>
    <row r="216" spans="1:11" ht="19.5" customHeight="1">
      <c r="A216" s="79"/>
      <c r="B216" s="10"/>
      <c r="C216" s="11"/>
      <c r="D216" s="15"/>
      <c r="E216" s="49" t="s">
        <v>54</v>
      </c>
      <c r="F216" s="72" t="str">
        <f>IF(E215=0,"","A"&amp;E215&amp;"-1")</f>
        <v/>
      </c>
      <c r="G216" s="50"/>
      <c r="H216" s="52"/>
      <c r="I216" s="130"/>
      <c r="J216" s="53"/>
      <c r="K216" s="101"/>
    </row>
    <row r="217" spans="1:11" ht="19.5" customHeight="1">
      <c r="A217" s="79"/>
      <c r="B217" s="10"/>
      <c r="C217" s="11"/>
      <c r="D217" s="15"/>
      <c r="E217" s="49"/>
      <c r="F217" s="72" t="str">
        <f>IF(E215=0,"","B"&amp;E215&amp;"-0")</f>
        <v/>
      </c>
      <c r="G217" s="50"/>
      <c r="H217" s="52"/>
      <c r="I217" s="130"/>
      <c r="J217" s="53"/>
      <c r="K217" s="101"/>
    </row>
    <row r="218" spans="1:11" ht="19.5" customHeight="1">
      <c r="A218" s="79"/>
      <c r="B218" s="10"/>
      <c r="C218" s="11"/>
      <c r="D218" s="15"/>
      <c r="E218" s="49"/>
      <c r="F218" s="72" t="str">
        <f>IF(E215=0,"","B"&amp;E215&amp;"-1")</f>
        <v/>
      </c>
      <c r="G218" s="50"/>
      <c r="H218" s="52"/>
      <c r="I218" s="130"/>
      <c r="J218" s="53"/>
      <c r="K218" s="101"/>
    </row>
    <row r="219" spans="1:11" ht="19.5" customHeight="1">
      <c r="A219" s="79"/>
      <c r="B219" s="10"/>
      <c r="C219" s="11"/>
      <c r="D219" s="15"/>
      <c r="E219" s="49"/>
      <c r="F219" s="72" t="str">
        <f>IF(E215=0,"","C"&amp;E215&amp;"-0")</f>
        <v/>
      </c>
      <c r="G219" s="50"/>
      <c r="H219" s="52"/>
      <c r="I219" s="130"/>
      <c r="J219" s="53"/>
      <c r="K219" s="101"/>
    </row>
    <row r="220" spans="1:11" ht="19.5" customHeight="1">
      <c r="A220" s="80"/>
      <c r="B220" s="12"/>
      <c r="C220" s="13"/>
      <c r="D220" s="16"/>
      <c r="E220" s="51"/>
      <c r="F220" s="72" t="str">
        <f>IF(E215=0,"","C"&amp;E215&amp;"-1")</f>
        <v/>
      </c>
      <c r="G220" s="50"/>
      <c r="H220" s="52"/>
      <c r="I220" s="130"/>
      <c r="J220" s="53"/>
      <c r="K220" s="101"/>
    </row>
    <row r="221" spans="1:11" ht="19.5" customHeight="1">
      <c r="A221" s="78" t="str">
        <f>IF(ROUNDUP($D$3/3,0)&gt;A203,A203+1,"")</f>
        <v/>
      </c>
      <c r="B221" s="3"/>
      <c r="C221" s="4"/>
      <c r="D221" s="14"/>
      <c r="E221" s="48">
        <f>IF(AND(E215&gt;1,$D$3&gt;=E215+1),E215+1,0)</f>
        <v>0</v>
      </c>
      <c r="F221" s="72" t="str">
        <f>IF(E221=0,"","A"&amp;E221&amp;"-0")</f>
        <v/>
      </c>
      <c r="G221" s="50"/>
      <c r="H221" s="52"/>
      <c r="I221" s="130"/>
      <c r="J221" s="53"/>
      <c r="K221" s="101"/>
    </row>
    <row r="222" spans="1:11" ht="19.5" customHeight="1">
      <c r="A222" s="79"/>
      <c r="B222" s="10"/>
      <c r="C222" s="11"/>
      <c r="D222" s="15"/>
      <c r="E222" s="49" t="s">
        <v>52</v>
      </c>
      <c r="F222" s="72" t="str">
        <f>IF(E221=0,"","A"&amp;E221&amp;"-1")</f>
        <v/>
      </c>
      <c r="G222" s="50"/>
      <c r="H222" s="52"/>
      <c r="I222" s="130"/>
      <c r="J222" s="53"/>
      <c r="K222" s="101"/>
    </row>
    <row r="223" spans="1:11" ht="19.5" customHeight="1">
      <c r="A223" s="79"/>
      <c r="B223" s="10"/>
      <c r="C223" s="11"/>
      <c r="D223" s="15"/>
      <c r="E223" s="49"/>
      <c r="F223" s="72" t="str">
        <f>IF(E221=0,"","B"&amp;E221&amp;"-0")</f>
        <v/>
      </c>
      <c r="G223" s="50"/>
      <c r="H223" s="52"/>
      <c r="I223" s="130"/>
      <c r="J223" s="53"/>
      <c r="K223" s="101"/>
    </row>
    <row r="224" spans="1:11" ht="19.5" customHeight="1">
      <c r="A224" s="79"/>
      <c r="B224" s="10"/>
      <c r="C224" s="11"/>
      <c r="D224" s="15"/>
      <c r="E224" s="49"/>
      <c r="F224" s="72" t="str">
        <f>IF(E221=0,"","B"&amp;E221&amp;"-1")</f>
        <v/>
      </c>
      <c r="G224" s="50"/>
      <c r="H224" s="52"/>
      <c r="I224" s="130"/>
      <c r="J224" s="53"/>
      <c r="K224" s="101"/>
    </row>
    <row r="225" spans="1:11" ht="19.5" customHeight="1">
      <c r="A225" s="79"/>
      <c r="B225" s="10"/>
      <c r="C225" s="11"/>
      <c r="D225" s="15"/>
      <c r="E225" s="49"/>
      <c r="F225" s="72" t="str">
        <f>IF(E221=0,"","C"&amp;E221&amp;"-0")</f>
        <v/>
      </c>
      <c r="G225" s="50"/>
      <c r="H225" s="52"/>
      <c r="I225" s="130"/>
      <c r="J225" s="53"/>
      <c r="K225" s="101"/>
    </row>
    <row r="226" spans="1:11" ht="19.5" customHeight="1">
      <c r="A226" s="79"/>
      <c r="B226" s="10"/>
      <c r="C226" s="11"/>
      <c r="D226" s="15"/>
      <c r="E226" s="51"/>
      <c r="F226" s="72" t="str">
        <f>IF(E221=0,"","C"&amp;E221&amp;"-1")</f>
        <v/>
      </c>
      <c r="G226" s="50"/>
      <c r="H226" s="52"/>
      <c r="I226" s="130"/>
      <c r="J226" s="53"/>
      <c r="K226" s="101"/>
    </row>
    <row r="227" spans="1:11" ht="19.5" customHeight="1">
      <c r="A227" s="79"/>
      <c r="B227" s="10"/>
      <c r="C227" s="11"/>
      <c r="D227" s="15"/>
      <c r="E227" s="48">
        <f>IF(AND(E221&gt;1,$D$3&gt;=E221+1),E221+1,0)</f>
        <v>0</v>
      </c>
      <c r="F227" s="72" t="str">
        <f>IF(E227=0,"","A"&amp;E227&amp;"-0")</f>
        <v/>
      </c>
      <c r="G227" s="50"/>
      <c r="H227" s="52"/>
      <c r="I227" s="130"/>
      <c r="J227" s="53"/>
      <c r="K227" s="101"/>
    </row>
    <row r="228" spans="1:11" ht="19.5" customHeight="1">
      <c r="A228" s="79"/>
      <c r="B228" s="10"/>
      <c r="C228" s="11"/>
      <c r="D228" s="15"/>
      <c r="E228" s="49" t="s">
        <v>53</v>
      </c>
      <c r="F228" s="72" t="str">
        <f>IF(E227=0,"","A"&amp;E227&amp;"-1")</f>
        <v/>
      </c>
      <c r="G228" s="50"/>
      <c r="H228" s="52"/>
      <c r="I228" s="130"/>
      <c r="J228" s="53"/>
      <c r="K228" s="101"/>
    </row>
    <row r="229" spans="1:11" ht="19.5" customHeight="1">
      <c r="A229" s="79"/>
      <c r="B229" s="10"/>
      <c r="C229" s="11"/>
      <c r="D229" s="15"/>
      <c r="E229" s="49"/>
      <c r="F229" s="72" t="str">
        <f>IF(E227=0,"","B"&amp;E227&amp;"-0")</f>
        <v/>
      </c>
      <c r="G229" s="50"/>
      <c r="H229" s="52"/>
      <c r="I229" s="130"/>
      <c r="J229" s="53"/>
      <c r="K229" s="101"/>
    </row>
    <row r="230" spans="1:11" ht="19.5" customHeight="1">
      <c r="A230" s="79"/>
      <c r="B230" s="10"/>
      <c r="C230" s="11"/>
      <c r="D230" s="15"/>
      <c r="E230" s="49"/>
      <c r="F230" s="72" t="str">
        <f>IF(E227=0,"","B"&amp;E227&amp;"-1")</f>
        <v/>
      </c>
      <c r="G230" s="50"/>
      <c r="H230" s="52"/>
      <c r="I230" s="130"/>
      <c r="J230" s="53"/>
      <c r="K230" s="101"/>
    </row>
    <row r="231" spans="1:11" ht="19.5" customHeight="1">
      <c r="A231" s="79"/>
      <c r="B231" s="10"/>
      <c r="C231" s="11"/>
      <c r="D231" s="15"/>
      <c r="E231" s="49"/>
      <c r="F231" s="72" t="str">
        <f>IF(E227=0,"","C"&amp;E227&amp;"-0")</f>
        <v/>
      </c>
      <c r="G231" s="50"/>
      <c r="H231" s="52"/>
      <c r="I231" s="130"/>
      <c r="J231" s="53"/>
      <c r="K231" s="101"/>
    </row>
    <row r="232" spans="1:11" ht="19.5" customHeight="1">
      <c r="A232" s="79"/>
      <c r="B232" s="10"/>
      <c r="C232" s="11"/>
      <c r="D232" s="15"/>
      <c r="E232" s="51"/>
      <c r="F232" s="72" t="str">
        <f>IF(E227=0,"","C"&amp;E227&amp;"-1")</f>
        <v/>
      </c>
      <c r="G232" s="50"/>
      <c r="H232" s="52"/>
      <c r="I232" s="130"/>
      <c r="J232" s="53"/>
      <c r="K232" s="101"/>
    </row>
    <row r="233" spans="1:11" ht="19.5" customHeight="1">
      <c r="A233" s="79"/>
      <c r="B233" s="10"/>
      <c r="C233" s="11"/>
      <c r="D233" s="15"/>
      <c r="E233" s="48">
        <f>IF(AND(E227&gt;1,$D$3&gt;=E227+1),E227+1,0)</f>
        <v>0</v>
      </c>
      <c r="F233" s="72" t="str">
        <f>IF(E233=0,"","A"&amp;E233&amp;"-0")</f>
        <v/>
      </c>
      <c r="G233" s="50"/>
      <c r="H233" s="52"/>
      <c r="I233" s="130"/>
      <c r="J233" s="53"/>
      <c r="K233" s="101"/>
    </row>
    <row r="234" spans="1:11" ht="19.5" customHeight="1">
      <c r="A234" s="79"/>
      <c r="B234" s="10"/>
      <c r="C234" s="11"/>
      <c r="D234" s="15"/>
      <c r="E234" s="49" t="s">
        <v>54</v>
      </c>
      <c r="F234" s="72" t="str">
        <f>IF(E233=0,"","A"&amp;E233&amp;"-1")</f>
        <v/>
      </c>
      <c r="G234" s="50"/>
      <c r="H234" s="52"/>
      <c r="I234" s="130"/>
      <c r="J234" s="53"/>
      <c r="K234" s="101"/>
    </row>
    <row r="235" spans="1:11" ht="19.5" customHeight="1">
      <c r="A235" s="79"/>
      <c r="B235" s="10"/>
      <c r="C235" s="11"/>
      <c r="D235" s="15"/>
      <c r="E235" s="49"/>
      <c r="F235" s="72" t="str">
        <f>IF(E233=0,"","B"&amp;E233&amp;"-0")</f>
        <v/>
      </c>
      <c r="G235" s="50"/>
      <c r="H235" s="52"/>
      <c r="I235" s="130"/>
      <c r="J235" s="53"/>
      <c r="K235" s="101"/>
    </row>
    <row r="236" spans="1:11" ht="19.5" customHeight="1">
      <c r="A236" s="79"/>
      <c r="B236" s="10"/>
      <c r="C236" s="11"/>
      <c r="D236" s="15"/>
      <c r="E236" s="49"/>
      <c r="F236" s="72" t="str">
        <f>IF(E233=0,"","B"&amp;E233&amp;"-1")</f>
        <v/>
      </c>
      <c r="G236" s="50"/>
      <c r="H236" s="52"/>
      <c r="I236" s="130"/>
      <c r="J236" s="53"/>
      <c r="K236" s="101"/>
    </row>
    <row r="237" spans="1:11" ht="19.5" customHeight="1">
      <c r="A237" s="79"/>
      <c r="B237" s="10"/>
      <c r="C237" s="11"/>
      <c r="D237" s="15"/>
      <c r="E237" s="49"/>
      <c r="F237" s="72" t="str">
        <f>IF(E233=0,"","C"&amp;E233&amp;"-0")</f>
        <v/>
      </c>
      <c r="G237" s="50"/>
      <c r="H237" s="52"/>
      <c r="I237" s="130"/>
      <c r="J237" s="53"/>
      <c r="K237" s="101"/>
    </row>
    <row r="238" spans="1:11" ht="19.5" customHeight="1">
      <c r="A238" s="80"/>
      <c r="B238" s="12"/>
      <c r="C238" s="13"/>
      <c r="D238" s="16"/>
      <c r="E238" s="51"/>
      <c r="F238" s="72" t="str">
        <f>IF(E233=0,"","C"&amp;E233&amp;"-1")</f>
        <v/>
      </c>
      <c r="G238" s="50"/>
      <c r="H238" s="52"/>
      <c r="I238" s="130"/>
      <c r="J238" s="53"/>
      <c r="K238" s="101"/>
    </row>
    <row r="239" spans="1:11" ht="19.5" customHeight="1">
      <c r="A239" s="78" t="str">
        <f>IF(ROUNDUP($D$3/3,0)&gt;A221,A221+1,"")</f>
        <v/>
      </c>
      <c r="B239" s="3"/>
      <c r="C239" s="4"/>
      <c r="D239" s="14"/>
      <c r="E239" s="48">
        <f>IF(AND(E233&gt;1,$D$3&gt;=E233+1),E233+1,0)</f>
        <v>0</v>
      </c>
      <c r="F239" s="72" t="str">
        <f>IF(E239=0,"","A"&amp;E239&amp;"-0")</f>
        <v/>
      </c>
      <c r="G239" s="50"/>
      <c r="H239" s="52"/>
      <c r="I239" s="130"/>
      <c r="J239" s="53"/>
      <c r="K239" s="101"/>
    </row>
    <row r="240" spans="1:11" ht="19.5" customHeight="1">
      <c r="A240" s="79"/>
      <c r="B240" s="10"/>
      <c r="C240" s="11"/>
      <c r="D240" s="15"/>
      <c r="E240" s="49" t="s">
        <v>52</v>
      </c>
      <c r="F240" s="72" t="str">
        <f>IF(E239=0,"","A"&amp;E239&amp;"-1")</f>
        <v/>
      </c>
      <c r="G240" s="50"/>
      <c r="H240" s="52"/>
      <c r="I240" s="130"/>
      <c r="J240" s="53"/>
      <c r="K240" s="101"/>
    </row>
    <row r="241" spans="1:11" ht="19.5" customHeight="1">
      <c r="A241" s="79"/>
      <c r="B241" s="10"/>
      <c r="C241" s="11"/>
      <c r="D241" s="15"/>
      <c r="E241" s="49"/>
      <c r="F241" s="72" t="str">
        <f>IF(E239=0,"","B"&amp;E239&amp;"-0")</f>
        <v/>
      </c>
      <c r="G241" s="50"/>
      <c r="H241" s="52"/>
      <c r="I241" s="130"/>
      <c r="J241" s="53"/>
      <c r="K241" s="101"/>
    </row>
    <row r="242" spans="1:11" ht="19.5" customHeight="1">
      <c r="A242" s="79"/>
      <c r="B242" s="10"/>
      <c r="C242" s="11"/>
      <c r="D242" s="15"/>
      <c r="E242" s="49"/>
      <c r="F242" s="72" t="str">
        <f>IF(E239=0,"","B"&amp;E239&amp;"-1")</f>
        <v/>
      </c>
      <c r="G242" s="50"/>
      <c r="H242" s="52"/>
      <c r="I242" s="130"/>
      <c r="J242" s="53"/>
      <c r="K242" s="101"/>
    </row>
    <row r="243" spans="1:11" ht="19.5" customHeight="1">
      <c r="A243" s="79"/>
      <c r="B243" s="10"/>
      <c r="C243" s="11"/>
      <c r="D243" s="15"/>
      <c r="E243" s="49"/>
      <c r="F243" s="72" t="str">
        <f>IF(E239=0,"","C"&amp;E239&amp;"-0")</f>
        <v/>
      </c>
      <c r="G243" s="50"/>
      <c r="H243" s="52"/>
      <c r="I243" s="130"/>
      <c r="J243" s="53"/>
      <c r="K243" s="101"/>
    </row>
    <row r="244" spans="1:11" ht="19.5" customHeight="1">
      <c r="A244" s="79"/>
      <c r="B244" s="10"/>
      <c r="C244" s="11"/>
      <c r="D244" s="15"/>
      <c r="E244" s="51"/>
      <c r="F244" s="72" t="str">
        <f>IF(E239=0,"","C"&amp;E239&amp;"-1")</f>
        <v/>
      </c>
      <c r="G244" s="50"/>
      <c r="H244" s="52"/>
      <c r="I244" s="130"/>
      <c r="J244" s="53"/>
      <c r="K244" s="101"/>
    </row>
    <row r="245" spans="1:11" ht="19.5" customHeight="1">
      <c r="A245" s="79"/>
      <c r="B245" s="10"/>
      <c r="C245" s="11"/>
      <c r="D245" s="15"/>
      <c r="E245" s="48">
        <f>IF(AND(E239&gt;1,$D$3&gt;=E239+1),E239+1,0)</f>
        <v>0</v>
      </c>
      <c r="F245" s="72" t="str">
        <f>IF(E245=0,"","A"&amp;E245&amp;"-0")</f>
        <v/>
      </c>
      <c r="G245" s="50"/>
      <c r="H245" s="52"/>
      <c r="I245" s="130"/>
      <c r="J245" s="53"/>
      <c r="K245" s="101"/>
    </row>
    <row r="246" spans="1:11" ht="19.5" customHeight="1">
      <c r="A246" s="79"/>
      <c r="B246" s="10"/>
      <c r="C246" s="11"/>
      <c r="D246" s="15"/>
      <c r="E246" s="49" t="s">
        <v>53</v>
      </c>
      <c r="F246" s="72" t="str">
        <f>IF(E245=0,"","A"&amp;E245&amp;"-1")</f>
        <v/>
      </c>
      <c r="G246" s="50"/>
      <c r="H246" s="52"/>
      <c r="I246" s="130"/>
      <c r="J246" s="53"/>
      <c r="K246" s="101"/>
    </row>
    <row r="247" spans="1:11" ht="19.5" customHeight="1">
      <c r="A247" s="79"/>
      <c r="B247" s="10"/>
      <c r="C247" s="11"/>
      <c r="D247" s="15"/>
      <c r="E247" s="49"/>
      <c r="F247" s="72" t="str">
        <f>IF(E245=0,"","B"&amp;E245&amp;"-0")</f>
        <v/>
      </c>
      <c r="G247" s="50"/>
      <c r="H247" s="52"/>
      <c r="I247" s="130"/>
      <c r="J247" s="53"/>
      <c r="K247" s="101"/>
    </row>
    <row r="248" spans="1:11" ht="19.5" customHeight="1">
      <c r="A248" s="79"/>
      <c r="B248" s="10"/>
      <c r="C248" s="11"/>
      <c r="D248" s="15"/>
      <c r="E248" s="49"/>
      <c r="F248" s="72" t="str">
        <f>IF(E245=0,"","B"&amp;E245&amp;"-1")</f>
        <v/>
      </c>
      <c r="G248" s="50"/>
      <c r="H248" s="52"/>
      <c r="I248" s="130"/>
      <c r="J248" s="53"/>
      <c r="K248" s="101"/>
    </row>
    <row r="249" spans="1:11" ht="19.5" customHeight="1">
      <c r="A249" s="79"/>
      <c r="B249" s="10"/>
      <c r="C249" s="11"/>
      <c r="D249" s="15"/>
      <c r="E249" s="49"/>
      <c r="F249" s="72" t="str">
        <f>IF(E245=0,"","C"&amp;E245&amp;"-0")</f>
        <v/>
      </c>
      <c r="G249" s="50"/>
      <c r="H249" s="52"/>
      <c r="I249" s="130"/>
      <c r="J249" s="53"/>
      <c r="K249" s="101"/>
    </row>
    <row r="250" spans="1:11" ht="19.5" customHeight="1">
      <c r="A250" s="79"/>
      <c r="B250" s="10"/>
      <c r="C250" s="11"/>
      <c r="D250" s="15"/>
      <c r="E250" s="51"/>
      <c r="F250" s="72" t="str">
        <f>IF(E245=0,"","C"&amp;E245&amp;"-1")</f>
        <v/>
      </c>
      <c r="G250" s="50"/>
      <c r="H250" s="52"/>
      <c r="I250" s="130"/>
      <c r="J250" s="53"/>
      <c r="K250" s="101"/>
    </row>
    <row r="251" spans="1:11" ht="19.5" customHeight="1">
      <c r="A251" s="79"/>
      <c r="B251" s="10"/>
      <c r="C251" s="11"/>
      <c r="D251" s="15"/>
      <c r="E251" s="48">
        <f>IF(AND(E245&gt;1,$D$3&gt;=E245+1),E245+1,0)</f>
        <v>0</v>
      </c>
      <c r="F251" s="72" t="str">
        <f>IF(E251=0,"","A"&amp;E251&amp;"-0")</f>
        <v/>
      </c>
      <c r="G251" s="50"/>
      <c r="H251" s="52"/>
      <c r="I251" s="130"/>
      <c r="J251" s="53"/>
      <c r="K251" s="101"/>
    </row>
    <row r="252" spans="1:11" ht="19.5" customHeight="1">
      <c r="A252" s="79"/>
      <c r="B252" s="10"/>
      <c r="C252" s="11"/>
      <c r="D252" s="15"/>
      <c r="E252" s="49" t="s">
        <v>54</v>
      </c>
      <c r="F252" s="72" t="str">
        <f>IF(E251=0,"","A"&amp;E251&amp;"-1")</f>
        <v/>
      </c>
      <c r="G252" s="50"/>
      <c r="H252" s="52"/>
      <c r="I252" s="130"/>
      <c r="J252" s="53"/>
      <c r="K252" s="101"/>
    </row>
    <row r="253" spans="1:11" ht="19.5" customHeight="1">
      <c r="A253" s="79"/>
      <c r="B253" s="10"/>
      <c r="C253" s="11"/>
      <c r="D253" s="15"/>
      <c r="E253" s="49"/>
      <c r="F253" s="72" t="str">
        <f>IF(E251=0,"","B"&amp;E251&amp;"-0")</f>
        <v/>
      </c>
      <c r="G253" s="50"/>
      <c r="H253" s="52"/>
      <c r="I253" s="130"/>
      <c r="J253" s="53"/>
      <c r="K253" s="101"/>
    </row>
    <row r="254" spans="1:11" ht="19.5" customHeight="1">
      <c r="A254" s="79"/>
      <c r="B254" s="10"/>
      <c r="C254" s="11"/>
      <c r="D254" s="15"/>
      <c r="E254" s="49"/>
      <c r="F254" s="72" t="str">
        <f>IF(E251=0,"","B"&amp;E251&amp;"-1")</f>
        <v/>
      </c>
      <c r="G254" s="50"/>
      <c r="H254" s="52"/>
      <c r="I254" s="130"/>
      <c r="J254" s="53"/>
      <c r="K254" s="101"/>
    </row>
    <row r="255" spans="1:11" ht="19.5" customHeight="1">
      <c r="A255" s="79"/>
      <c r="B255" s="10"/>
      <c r="C255" s="11"/>
      <c r="D255" s="15"/>
      <c r="E255" s="49"/>
      <c r="F255" s="72" t="str">
        <f>IF(E251=0,"","C"&amp;E251&amp;"-0")</f>
        <v/>
      </c>
      <c r="G255" s="50"/>
      <c r="H255" s="52"/>
      <c r="I255" s="130"/>
      <c r="J255" s="53"/>
      <c r="K255" s="101"/>
    </row>
    <row r="256" spans="1:11" ht="19.5" customHeight="1">
      <c r="A256" s="80"/>
      <c r="B256" s="12"/>
      <c r="C256" s="13"/>
      <c r="D256" s="16"/>
      <c r="E256" s="51"/>
      <c r="F256" s="72" t="str">
        <f>IF(E251=0,"","C"&amp;E251&amp;"-1")</f>
        <v/>
      </c>
      <c r="G256" s="50"/>
      <c r="H256" s="52"/>
      <c r="I256" s="130"/>
      <c r="J256" s="53"/>
      <c r="K256" s="101"/>
    </row>
    <row r="257" spans="1:11" ht="19.5" customHeight="1">
      <c r="A257" s="78" t="str">
        <f>IF(ROUNDUP($D$3/3,0)&gt;A239,A239+1,"")</f>
        <v/>
      </c>
      <c r="B257" s="3"/>
      <c r="C257" s="4"/>
      <c r="D257" s="14"/>
      <c r="E257" s="48">
        <f>IF(AND(E251&gt;1,$D$3&gt;=E251+1),E251+1,0)</f>
        <v>0</v>
      </c>
      <c r="F257" s="72" t="str">
        <f>IF(E257=0,"","A"&amp;E257&amp;"-0")</f>
        <v/>
      </c>
      <c r="G257" s="50"/>
      <c r="H257" s="52"/>
      <c r="I257" s="130"/>
      <c r="J257" s="53"/>
      <c r="K257" s="101"/>
    </row>
    <row r="258" spans="1:11" ht="19.5" customHeight="1">
      <c r="A258" s="79"/>
      <c r="B258" s="10"/>
      <c r="C258" s="11"/>
      <c r="D258" s="15"/>
      <c r="E258" s="49" t="s">
        <v>52</v>
      </c>
      <c r="F258" s="72" t="str">
        <f>IF(E257=0,"","A"&amp;E257&amp;"-1")</f>
        <v/>
      </c>
      <c r="G258" s="50"/>
      <c r="H258" s="52"/>
      <c r="I258" s="130"/>
      <c r="J258" s="53"/>
      <c r="K258" s="101"/>
    </row>
    <row r="259" spans="1:11" ht="19.5" customHeight="1">
      <c r="A259" s="79"/>
      <c r="B259" s="10"/>
      <c r="C259" s="11"/>
      <c r="D259" s="15"/>
      <c r="E259" s="49"/>
      <c r="F259" s="72" t="str">
        <f>IF(E257=0,"","B"&amp;E257&amp;"-0")</f>
        <v/>
      </c>
      <c r="G259" s="50"/>
      <c r="H259" s="52"/>
      <c r="I259" s="130"/>
      <c r="J259" s="53"/>
      <c r="K259" s="101"/>
    </row>
    <row r="260" spans="1:11" ht="19.5" customHeight="1">
      <c r="A260" s="79"/>
      <c r="B260" s="10"/>
      <c r="C260" s="11"/>
      <c r="D260" s="15"/>
      <c r="E260" s="49"/>
      <c r="F260" s="72" t="str">
        <f>IF(E257=0,"","B"&amp;E257&amp;"-1")</f>
        <v/>
      </c>
      <c r="G260" s="50"/>
      <c r="H260" s="52"/>
      <c r="I260" s="130"/>
      <c r="J260" s="53"/>
      <c r="K260" s="101"/>
    </row>
    <row r="261" spans="1:11" ht="19.5" customHeight="1">
      <c r="A261" s="79"/>
      <c r="B261" s="10"/>
      <c r="C261" s="11"/>
      <c r="D261" s="15"/>
      <c r="E261" s="49"/>
      <c r="F261" s="72" t="str">
        <f>IF(E257=0,"","C"&amp;E257&amp;"-0")</f>
        <v/>
      </c>
      <c r="G261" s="50"/>
      <c r="H261" s="52"/>
      <c r="I261" s="130"/>
      <c r="J261" s="53"/>
      <c r="K261" s="101"/>
    </row>
    <row r="262" spans="1:11" ht="19.5" customHeight="1">
      <c r="A262" s="79"/>
      <c r="B262" s="10"/>
      <c r="C262" s="11"/>
      <c r="D262" s="15"/>
      <c r="E262" s="51"/>
      <c r="F262" s="72" t="str">
        <f>IF(E257=0,"","C"&amp;E257&amp;"-1")</f>
        <v/>
      </c>
      <c r="G262" s="50"/>
      <c r="H262" s="52"/>
      <c r="I262" s="130"/>
      <c r="J262" s="53"/>
      <c r="K262" s="101"/>
    </row>
    <row r="263" spans="1:11" ht="19.5" customHeight="1">
      <c r="A263" s="79"/>
      <c r="B263" s="10"/>
      <c r="C263" s="11"/>
      <c r="D263" s="15"/>
      <c r="E263" s="48">
        <f>IF(AND(E257&gt;1,$D$3&gt;=E257+1),E257+1,0)</f>
        <v>0</v>
      </c>
      <c r="F263" s="72" t="str">
        <f>IF(E263=0,"","A"&amp;E263&amp;"-0")</f>
        <v/>
      </c>
      <c r="G263" s="50"/>
      <c r="H263" s="52"/>
      <c r="I263" s="130"/>
      <c r="J263" s="53"/>
      <c r="K263" s="101"/>
    </row>
    <row r="264" spans="1:11" ht="19.5" customHeight="1">
      <c r="A264" s="79"/>
      <c r="B264" s="10"/>
      <c r="C264" s="11"/>
      <c r="D264" s="15"/>
      <c r="E264" s="49" t="s">
        <v>53</v>
      </c>
      <c r="F264" s="72" t="str">
        <f>IF(E263=0,"","A"&amp;E263&amp;"-1")</f>
        <v/>
      </c>
      <c r="G264" s="50"/>
      <c r="H264" s="52"/>
      <c r="I264" s="130"/>
      <c r="J264" s="53"/>
      <c r="K264" s="101"/>
    </row>
    <row r="265" spans="1:11" ht="19.5" customHeight="1">
      <c r="A265" s="79"/>
      <c r="B265" s="10"/>
      <c r="C265" s="11"/>
      <c r="D265" s="15"/>
      <c r="E265" s="49"/>
      <c r="F265" s="72" t="str">
        <f>IF(E263=0,"","B"&amp;E263&amp;"-0")</f>
        <v/>
      </c>
      <c r="G265" s="50"/>
      <c r="H265" s="52"/>
      <c r="I265" s="130"/>
      <c r="J265" s="53"/>
      <c r="K265" s="101"/>
    </row>
    <row r="266" spans="1:11" ht="19.5" customHeight="1">
      <c r="A266" s="79"/>
      <c r="B266" s="10"/>
      <c r="C266" s="11"/>
      <c r="D266" s="15"/>
      <c r="E266" s="49"/>
      <c r="F266" s="72" t="str">
        <f>IF(E263=0,"","B"&amp;E263&amp;"-1")</f>
        <v/>
      </c>
      <c r="G266" s="50"/>
      <c r="H266" s="52"/>
      <c r="I266" s="130"/>
      <c r="J266" s="53"/>
      <c r="K266" s="101"/>
    </row>
    <row r="267" spans="1:11" ht="19.5" customHeight="1">
      <c r="A267" s="79"/>
      <c r="B267" s="10"/>
      <c r="C267" s="11"/>
      <c r="D267" s="15"/>
      <c r="E267" s="49"/>
      <c r="F267" s="72" t="str">
        <f>IF(E263=0,"","C"&amp;E263&amp;"-0")</f>
        <v/>
      </c>
      <c r="G267" s="50"/>
      <c r="H267" s="52"/>
      <c r="I267" s="130"/>
      <c r="J267" s="53"/>
      <c r="K267" s="101"/>
    </row>
    <row r="268" spans="1:11" ht="19.5" customHeight="1">
      <c r="A268" s="79"/>
      <c r="B268" s="10"/>
      <c r="C268" s="11"/>
      <c r="D268" s="15"/>
      <c r="E268" s="51"/>
      <c r="F268" s="72" t="str">
        <f>IF(E263=0,"","C"&amp;E263&amp;"-1")</f>
        <v/>
      </c>
      <c r="G268" s="50"/>
      <c r="H268" s="52"/>
      <c r="I268" s="130"/>
      <c r="J268" s="53"/>
      <c r="K268" s="101"/>
    </row>
    <row r="269" spans="1:11" ht="19.5" customHeight="1">
      <c r="A269" s="79"/>
      <c r="B269" s="10"/>
      <c r="C269" s="11"/>
      <c r="D269" s="15"/>
      <c r="E269" s="48">
        <f>IF(AND(E263&gt;1,$D$3&gt;=E263+1),E263+1,0)</f>
        <v>0</v>
      </c>
      <c r="F269" s="72" t="str">
        <f>IF(E269=0,"","A"&amp;E269&amp;"-0")</f>
        <v/>
      </c>
      <c r="G269" s="50"/>
      <c r="H269" s="52"/>
      <c r="I269" s="130"/>
      <c r="J269" s="53"/>
      <c r="K269" s="101"/>
    </row>
    <row r="270" spans="1:11" ht="19.5" customHeight="1">
      <c r="A270" s="79"/>
      <c r="B270" s="10"/>
      <c r="C270" s="11"/>
      <c r="D270" s="15"/>
      <c r="E270" s="49" t="s">
        <v>54</v>
      </c>
      <c r="F270" s="72" t="str">
        <f>IF(E269=0,"","A"&amp;E269&amp;"-1")</f>
        <v/>
      </c>
      <c r="G270" s="50"/>
      <c r="H270" s="52"/>
      <c r="I270" s="130"/>
      <c r="J270" s="53"/>
      <c r="K270" s="101"/>
    </row>
    <row r="271" spans="1:11" ht="19.5" customHeight="1">
      <c r="A271" s="79"/>
      <c r="B271" s="10"/>
      <c r="C271" s="11"/>
      <c r="D271" s="15"/>
      <c r="E271" s="49"/>
      <c r="F271" s="72" t="str">
        <f>IF(E269=0,"","B"&amp;E269&amp;"-0")</f>
        <v/>
      </c>
      <c r="G271" s="50"/>
      <c r="H271" s="52"/>
      <c r="I271" s="130"/>
      <c r="J271" s="53"/>
      <c r="K271" s="101"/>
    </row>
    <row r="272" spans="1:11" ht="19.5" customHeight="1">
      <c r="A272" s="79"/>
      <c r="B272" s="10"/>
      <c r="C272" s="11"/>
      <c r="D272" s="15"/>
      <c r="E272" s="49"/>
      <c r="F272" s="72" t="str">
        <f>IF(E269=0,"","B"&amp;E269&amp;"-1")</f>
        <v/>
      </c>
      <c r="G272" s="50"/>
      <c r="H272" s="52"/>
      <c r="I272" s="130"/>
      <c r="J272" s="53"/>
      <c r="K272" s="101"/>
    </row>
    <row r="273" spans="1:11" ht="19.5" customHeight="1">
      <c r="A273" s="79"/>
      <c r="B273" s="10"/>
      <c r="C273" s="11"/>
      <c r="D273" s="15"/>
      <c r="E273" s="49"/>
      <c r="F273" s="72" t="str">
        <f>IF(E269=0,"","C"&amp;E269&amp;"-0")</f>
        <v/>
      </c>
      <c r="G273" s="50"/>
      <c r="H273" s="52"/>
      <c r="I273" s="130"/>
      <c r="J273" s="53"/>
      <c r="K273" s="101"/>
    </row>
    <row r="274" spans="1:11" ht="19.5" customHeight="1">
      <c r="A274" s="80"/>
      <c r="B274" s="12"/>
      <c r="C274" s="13"/>
      <c r="D274" s="16"/>
      <c r="E274" s="51"/>
      <c r="F274" s="72" t="str">
        <f>IF(E269=0,"","C"&amp;E269&amp;"-1")</f>
        <v/>
      </c>
      <c r="G274" s="50"/>
      <c r="H274" s="52"/>
      <c r="I274" s="130"/>
      <c r="J274" s="53"/>
      <c r="K274" s="101"/>
    </row>
    <row r="275" spans="1:11" ht="19.5" customHeight="1">
      <c r="A275" s="78" t="str">
        <f>IF(ROUNDUP($D$3/3,0)&gt;A257,A257+1,"")</f>
        <v/>
      </c>
      <c r="B275" s="3"/>
      <c r="C275" s="4"/>
      <c r="D275" s="14"/>
      <c r="E275" s="48">
        <f>IF(AND(E269&gt;1,$D$3&gt;=E269+1),E269+1,0)</f>
        <v>0</v>
      </c>
      <c r="F275" s="72" t="str">
        <f>IF(E275=0,"","A"&amp;E275&amp;"-0")</f>
        <v/>
      </c>
      <c r="G275" s="50"/>
      <c r="H275" s="52"/>
      <c r="I275" s="130"/>
      <c r="J275" s="53"/>
      <c r="K275" s="101"/>
    </row>
    <row r="276" spans="1:11" ht="19.5" customHeight="1">
      <c r="A276" s="79"/>
      <c r="B276" s="10"/>
      <c r="C276" s="11"/>
      <c r="D276" s="15"/>
      <c r="E276" s="49" t="s">
        <v>52</v>
      </c>
      <c r="F276" s="72" t="str">
        <f>IF(E275=0,"","A"&amp;E275&amp;"-1")</f>
        <v/>
      </c>
      <c r="G276" s="50"/>
      <c r="H276" s="52"/>
      <c r="I276" s="130"/>
      <c r="J276" s="53"/>
      <c r="K276" s="101"/>
    </row>
    <row r="277" spans="1:11" ht="19.5" customHeight="1">
      <c r="A277" s="79"/>
      <c r="B277" s="10"/>
      <c r="C277" s="11"/>
      <c r="D277" s="15"/>
      <c r="E277" s="49"/>
      <c r="F277" s="72" t="str">
        <f>IF(E275=0,"","B"&amp;E275&amp;"-0")</f>
        <v/>
      </c>
      <c r="G277" s="50"/>
      <c r="H277" s="52"/>
      <c r="I277" s="130"/>
      <c r="J277" s="53"/>
      <c r="K277" s="101"/>
    </row>
    <row r="278" spans="1:11" ht="19.5" customHeight="1">
      <c r="A278" s="79"/>
      <c r="B278" s="10"/>
      <c r="C278" s="11"/>
      <c r="D278" s="15"/>
      <c r="E278" s="49"/>
      <c r="F278" s="72" t="str">
        <f>IF(E275=0,"","B"&amp;E275&amp;"-1")</f>
        <v/>
      </c>
      <c r="G278" s="50"/>
      <c r="H278" s="52"/>
      <c r="I278" s="130"/>
      <c r="J278" s="53"/>
      <c r="K278" s="101"/>
    </row>
    <row r="279" spans="1:11" ht="19.5" customHeight="1">
      <c r="A279" s="79"/>
      <c r="B279" s="10"/>
      <c r="C279" s="11"/>
      <c r="D279" s="15"/>
      <c r="E279" s="49"/>
      <c r="F279" s="72" t="str">
        <f>IF(E275=0,"","C"&amp;E275&amp;"-0")</f>
        <v/>
      </c>
      <c r="G279" s="50"/>
      <c r="H279" s="52"/>
      <c r="I279" s="130"/>
      <c r="J279" s="53"/>
      <c r="K279" s="101"/>
    </row>
    <row r="280" spans="1:11" ht="19.5" customHeight="1">
      <c r="A280" s="79"/>
      <c r="B280" s="10"/>
      <c r="C280" s="11"/>
      <c r="D280" s="15"/>
      <c r="E280" s="51"/>
      <c r="F280" s="72" t="str">
        <f>IF(E275=0,"","C"&amp;E275&amp;"-1")</f>
        <v/>
      </c>
      <c r="G280" s="50"/>
      <c r="H280" s="52"/>
      <c r="I280" s="130"/>
      <c r="J280" s="53"/>
      <c r="K280" s="101"/>
    </row>
    <row r="281" spans="1:11" ht="19.5" customHeight="1">
      <c r="A281" s="79"/>
      <c r="B281" s="10"/>
      <c r="C281" s="11"/>
      <c r="D281" s="15"/>
      <c r="E281" s="48">
        <f>IF(AND(E275&gt;1,$D$3&gt;=E275+1),E275+1,0)</f>
        <v>0</v>
      </c>
      <c r="F281" s="72" t="str">
        <f>IF(E281=0,"","A"&amp;E281&amp;"-0")</f>
        <v/>
      </c>
      <c r="G281" s="50"/>
      <c r="H281" s="52"/>
      <c r="I281" s="130"/>
      <c r="J281" s="53"/>
      <c r="K281" s="101"/>
    </row>
    <row r="282" spans="1:11" ht="19.5" customHeight="1">
      <c r="A282" s="79"/>
      <c r="B282" s="10"/>
      <c r="C282" s="11"/>
      <c r="D282" s="15"/>
      <c r="E282" s="49" t="s">
        <v>53</v>
      </c>
      <c r="F282" s="72" t="str">
        <f>IF(E281=0,"","A"&amp;E281&amp;"-1")</f>
        <v/>
      </c>
      <c r="G282" s="50"/>
      <c r="H282" s="52"/>
      <c r="I282" s="130"/>
      <c r="J282" s="53"/>
      <c r="K282" s="101"/>
    </row>
    <row r="283" spans="1:11" ht="19.5" customHeight="1">
      <c r="A283" s="79"/>
      <c r="B283" s="10"/>
      <c r="C283" s="11"/>
      <c r="D283" s="15"/>
      <c r="E283" s="49"/>
      <c r="F283" s="72" t="str">
        <f>IF(E281=0,"","B"&amp;E281&amp;"-0")</f>
        <v/>
      </c>
      <c r="G283" s="50"/>
      <c r="H283" s="52"/>
      <c r="I283" s="130"/>
      <c r="J283" s="53"/>
      <c r="K283" s="101"/>
    </row>
    <row r="284" spans="1:11" ht="19.5" customHeight="1">
      <c r="A284" s="79"/>
      <c r="B284" s="10"/>
      <c r="C284" s="11"/>
      <c r="D284" s="15"/>
      <c r="E284" s="49"/>
      <c r="F284" s="72" t="str">
        <f>IF(E281=0,"","B"&amp;E281&amp;"-1")</f>
        <v/>
      </c>
      <c r="G284" s="50"/>
      <c r="H284" s="52"/>
      <c r="I284" s="130"/>
      <c r="J284" s="53"/>
      <c r="K284" s="101"/>
    </row>
    <row r="285" spans="1:11" ht="19.5" customHeight="1">
      <c r="A285" s="79"/>
      <c r="B285" s="10"/>
      <c r="C285" s="11"/>
      <c r="D285" s="15"/>
      <c r="E285" s="49"/>
      <c r="F285" s="72" t="str">
        <f>IF(E281=0,"","C"&amp;E281&amp;"-0")</f>
        <v/>
      </c>
      <c r="G285" s="50"/>
      <c r="H285" s="52"/>
      <c r="I285" s="130"/>
      <c r="J285" s="53"/>
      <c r="K285" s="101"/>
    </row>
    <row r="286" spans="1:11" ht="19.5" customHeight="1">
      <c r="A286" s="79"/>
      <c r="B286" s="10"/>
      <c r="C286" s="11"/>
      <c r="D286" s="15"/>
      <c r="E286" s="51"/>
      <c r="F286" s="72" t="str">
        <f>IF(E281=0,"","C"&amp;E281&amp;"-1")</f>
        <v/>
      </c>
      <c r="G286" s="50"/>
      <c r="H286" s="52"/>
      <c r="I286" s="130"/>
      <c r="J286" s="53"/>
      <c r="K286" s="101"/>
    </row>
    <row r="287" spans="1:11" ht="19.5" customHeight="1">
      <c r="A287" s="79"/>
      <c r="B287" s="10"/>
      <c r="C287" s="11"/>
      <c r="D287" s="15"/>
      <c r="E287" s="48">
        <f>IF(AND(E281&gt;1,$D$3&gt;=E281+1),E281+1,0)</f>
        <v>0</v>
      </c>
      <c r="F287" s="72" t="str">
        <f>IF(E287=0,"","A"&amp;E287&amp;"-0")</f>
        <v/>
      </c>
      <c r="G287" s="50"/>
      <c r="H287" s="52"/>
      <c r="I287" s="130"/>
      <c r="J287" s="53"/>
      <c r="K287" s="101"/>
    </row>
    <row r="288" spans="1:11" ht="19.5" customHeight="1">
      <c r="A288" s="79"/>
      <c r="B288" s="10"/>
      <c r="C288" s="11"/>
      <c r="D288" s="15"/>
      <c r="E288" s="49" t="s">
        <v>54</v>
      </c>
      <c r="F288" s="72" t="str">
        <f>IF(E287=0,"","A"&amp;E287&amp;"-1")</f>
        <v/>
      </c>
      <c r="G288" s="50"/>
      <c r="H288" s="52"/>
      <c r="I288" s="130"/>
      <c r="J288" s="53"/>
      <c r="K288" s="101"/>
    </row>
    <row r="289" spans="1:11" ht="19.5" customHeight="1">
      <c r="A289" s="79"/>
      <c r="B289" s="10"/>
      <c r="C289" s="11"/>
      <c r="D289" s="15"/>
      <c r="E289" s="49"/>
      <c r="F289" s="72" t="str">
        <f>IF(E287=0,"","B"&amp;E287&amp;"-0")</f>
        <v/>
      </c>
      <c r="G289" s="50"/>
      <c r="H289" s="52"/>
      <c r="I289" s="130"/>
      <c r="J289" s="53"/>
      <c r="K289" s="101"/>
    </row>
    <row r="290" spans="1:11" ht="19.5" customHeight="1">
      <c r="A290" s="79"/>
      <c r="B290" s="10"/>
      <c r="C290" s="11"/>
      <c r="D290" s="15"/>
      <c r="E290" s="49"/>
      <c r="F290" s="72" t="str">
        <f>IF(E287=0,"","B"&amp;E287&amp;"-1")</f>
        <v/>
      </c>
      <c r="G290" s="50"/>
      <c r="H290" s="52"/>
      <c r="I290" s="130"/>
      <c r="J290" s="53"/>
      <c r="K290" s="101"/>
    </row>
    <row r="291" spans="1:11" ht="19.5" customHeight="1">
      <c r="A291" s="79"/>
      <c r="B291" s="10"/>
      <c r="C291" s="11"/>
      <c r="D291" s="15"/>
      <c r="E291" s="49"/>
      <c r="F291" s="72" t="str">
        <f>IF(E287=0,"","C"&amp;E287&amp;"-0")</f>
        <v/>
      </c>
      <c r="G291" s="50"/>
      <c r="H291" s="52"/>
      <c r="I291" s="130"/>
      <c r="J291" s="53"/>
      <c r="K291" s="101"/>
    </row>
    <row r="292" spans="1:11" ht="19.5" customHeight="1">
      <c r="A292" s="80"/>
      <c r="B292" s="12"/>
      <c r="C292" s="13"/>
      <c r="D292" s="16"/>
      <c r="E292" s="51"/>
      <c r="F292" s="72" t="str">
        <f>IF(E287=0,"","C"&amp;E287&amp;"-1")</f>
        <v/>
      </c>
      <c r="G292" s="50"/>
      <c r="H292" s="52"/>
      <c r="I292" s="130"/>
      <c r="J292" s="53"/>
      <c r="K292" s="101"/>
    </row>
    <row r="293" spans="1:11" ht="19.5" customHeight="1">
      <c r="A293" s="78" t="str">
        <f>IF(ROUNDUP($D$3/3,0)&gt;A275,A275+1,"")</f>
        <v/>
      </c>
      <c r="B293" s="3"/>
      <c r="C293" s="4"/>
      <c r="D293" s="14"/>
      <c r="E293" s="48">
        <f>IF(AND(E287&gt;1,$D$3&gt;=E287+1),E287+1,0)</f>
        <v>0</v>
      </c>
      <c r="F293" s="72" t="str">
        <f>IF(E293=0,"","A"&amp;E293&amp;"-0")</f>
        <v/>
      </c>
      <c r="G293" s="50"/>
      <c r="H293" s="52"/>
      <c r="I293" s="130"/>
      <c r="J293" s="53"/>
      <c r="K293" s="101"/>
    </row>
    <row r="294" spans="1:11" ht="19.5" customHeight="1">
      <c r="A294" s="79"/>
      <c r="B294" s="10"/>
      <c r="C294" s="11"/>
      <c r="D294" s="15"/>
      <c r="E294" s="49" t="s">
        <v>52</v>
      </c>
      <c r="F294" s="72" t="str">
        <f>IF(E293=0,"","A"&amp;E293&amp;"-1")</f>
        <v/>
      </c>
      <c r="G294" s="50"/>
      <c r="H294" s="52"/>
      <c r="I294" s="130"/>
      <c r="J294" s="53"/>
      <c r="K294" s="101"/>
    </row>
    <row r="295" spans="1:11" ht="19.5" customHeight="1">
      <c r="A295" s="79"/>
      <c r="B295" s="10"/>
      <c r="C295" s="11"/>
      <c r="D295" s="15"/>
      <c r="E295" s="49"/>
      <c r="F295" s="72" t="str">
        <f>IF(E293=0,"","B"&amp;E293&amp;"-0")</f>
        <v/>
      </c>
      <c r="G295" s="50"/>
      <c r="H295" s="52"/>
      <c r="I295" s="130"/>
      <c r="J295" s="53"/>
      <c r="K295" s="101"/>
    </row>
    <row r="296" spans="1:11" ht="19.5" customHeight="1">
      <c r="A296" s="79"/>
      <c r="B296" s="10"/>
      <c r="C296" s="11"/>
      <c r="D296" s="15"/>
      <c r="E296" s="49"/>
      <c r="F296" s="72" t="str">
        <f>IF(E293=0,"","B"&amp;E293&amp;"-1")</f>
        <v/>
      </c>
      <c r="G296" s="50"/>
      <c r="H296" s="52"/>
      <c r="I296" s="130"/>
      <c r="J296" s="53"/>
      <c r="K296" s="101"/>
    </row>
    <row r="297" spans="1:11" ht="19.5" customHeight="1">
      <c r="A297" s="79"/>
      <c r="B297" s="10"/>
      <c r="C297" s="11"/>
      <c r="D297" s="15"/>
      <c r="E297" s="49"/>
      <c r="F297" s="72" t="str">
        <f>IF(E293=0,"","C"&amp;E293&amp;"-0")</f>
        <v/>
      </c>
      <c r="G297" s="50"/>
      <c r="H297" s="52"/>
      <c r="I297" s="130"/>
      <c r="J297" s="53"/>
      <c r="K297" s="101"/>
    </row>
    <row r="298" spans="1:11" ht="19.5" customHeight="1">
      <c r="A298" s="79"/>
      <c r="B298" s="10"/>
      <c r="C298" s="11"/>
      <c r="D298" s="15"/>
      <c r="E298" s="51"/>
      <c r="F298" s="72" t="str">
        <f>IF(E293=0,"","C"&amp;E293&amp;"-1")</f>
        <v/>
      </c>
      <c r="G298" s="50"/>
      <c r="H298" s="52"/>
      <c r="I298" s="130"/>
      <c r="J298" s="53"/>
      <c r="K298" s="101"/>
    </row>
    <row r="299" spans="1:11" ht="19.5" customHeight="1">
      <c r="A299" s="79"/>
      <c r="B299" s="10"/>
      <c r="C299" s="11"/>
      <c r="D299" s="15"/>
      <c r="E299" s="48">
        <f>IF(AND(E293&gt;1,$D$3&gt;=E293+1),E293+1,0)</f>
        <v>0</v>
      </c>
      <c r="F299" s="72" t="str">
        <f>IF(E299=0,"","A"&amp;E299&amp;"-0")</f>
        <v/>
      </c>
      <c r="G299" s="50"/>
      <c r="H299" s="52"/>
      <c r="I299" s="130"/>
      <c r="J299" s="53"/>
      <c r="K299" s="101"/>
    </row>
    <row r="300" spans="1:11" ht="19.5" customHeight="1">
      <c r="A300" s="79"/>
      <c r="B300" s="10"/>
      <c r="C300" s="11"/>
      <c r="D300" s="15"/>
      <c r="E300" s="49" t="s">
        <v>53</v>
      </c>
      <c r="F300" s="72" t="str">
        <f>IF(E299=0,"","A"&amp;E299&amp;"-1")</f>
        <v/>
      </c>
      <c r="G300" s="50"/>
      <c r="H300" s="52"/>
      <c r="I300" s="130"/>
      <c r="J300" s="53"/>
      <c r="K300" s="101"/>
    </row>
    <row r="301" spans="1:11" ht="19.5" customHeight="1">
      <c r="A301" s="79"/>
      <c r="B301" s="10"/>
      <c r="C301" s="11"/>
      <c r="D301" s="15"/>
      <c r="E301" s="49"/>
      <c r="F301" s="72" t="str">
        <f>IF(E299=0,"","B"&amp;E299&amp;"-0")</f>
        <v/>
      </c>
      <c r="G301" s="50"/>
      <c r="H301" s="52"/>
      <c r="I301" s="130"/>
      <c r="J301" s="53"/>
      <c r="K301" s="101"/>
    </row>
    <row r="302" spans="1:11" ht="19.5" customHeight="1">
      <c r="A302" s="79"/>
      <c r="B302" s="10"/>
      <c r="C302" s="11"/>
      <c r="D302" s="15"/>
      <c r="E302" s="49"/>
      <c r="F302" s="72" t="str">
        <f>IF(E299=0,"","B"&amp;E299&amp;"-1")</f>
        <v/>
      </c>
      <c r="G302" s="50"/>
      <c r="H302" s="52"/>
      <c r="I302" s="130"/>
      <c r="J302" s="53"/>
      <c r="K302" s="101"/>
    </row>
    <row r="303" spans="1:11" ht="19.5" customHeight="1">
      <c r="A303" s="79"/>
      <c r="B303" s="10"/>
      <c r="C303" s="11"/>
      <c r="D303" s="15"/>
      <c r="E303" s="49"/>
      <c r="F303" s="72" t="str">
        <f>IF(E299=0,"","C"&amp;E299&amp;"-0")</f>
        <v/>
      </c>
      <c r="G303" s="50"/>
      <c r="H303" s="52"/>
      <c r="I303" s="130"/>
      <c r="J303" s="53"/>
      <c r="K303" s="101"/>
    </row>
    <row r="304" spans="1:11" ht="19.5" customHeight="1">
      <c r="A304" s="79"/>
      <c r="B304" s="10"/>
      <c r="C304" s="11"/>
      <c r="D304" s="15"/>
      <c r="E304" s="51"/>
      <c r="F304" s="72" t="str">
        <f>IF(E299=0,"","C"&amp;E299&amp;"-1")</f>
        <v/>
      </c>
      <c r="G304" s="50"/>
      <c r="H304" s="52"/>
      <c r="I304" s="130"/>
      <c r="J304" s="53"/>
      <c r="K304" s="101"/>
    </row>
    <row r="305" spans="1:11" ht="19.5" customHeight="1">
      <c r="A305" s="79"/>
      <c r="B305" s="10"/>
      <c r="C305" s="11"/>
      <c r="D305" s="15"/>
      <c r="E305" s="48">
        <f>IF(AND(E299&gt;1,$D$3&gt;=E299+1),E299+1,0)</f>
        <v>0</v>
      </c>
      <c r="F305" s="72" t="str">
        <f>IF(E305=0,"","A"&amp;E305&amp;"-0")</f>
        <v/>
      </c>
      <c r="G305" s="50"/>
      <c r="H305" s="52"/>
      <c r="I305" s="130"/>
      <c r="J305" s="53"/>
      <c r="K305" s="101"/>
    </row>
    <row r="306" spans="1:11" ht="19.5" customHeight="1">
      <c r="A306" s="79"/>
      <c r="B306" s="10"/>
      <c r="C306" s="11"/>
      <c r="D306" s="15"/>
      <c r="E306" s="49" t="s">
        <v>54</v>
      </c>
      <c r="F306" s="72" t="str">
        <f>IF(E305=0,"","A"&amp;E305&amp;"-1")</f>
        <v/>
      </c>
      <c r="G306" s="50"/>
      <c r="H306" s="52"/>
      <c r="I306" s="130"/>
      <c r="J306" s="53"/>
      <c r="K306" s="101"/>
    </row>
    <row r="307" spans="1:11" ht="19.5" customHeight="1">
      <c r="A307" s="79"/>
      <c r="B307" s="10"/>
      <c r="C307" s="11"/>
      <c r="D307" s="15"/>
      <c r="E307" s="49"/>
      <c r="F307" s="72" t="str">
        <f>IF(E305=0,"","B"&amp;E305&amp;"-0")</f>
        <v/>
      </c>
      <c r="G307" s="50"/>
      <c r="H307" s="52"/>
      <c r="I307" s="130"/>
      <c r="J307" s="53"/>
      <c r="K307" s="101"/>
    </row>
    <row r="308" spans="1:11" ht="19.5" customHeight="1">
      <c r="A308" s="79"/>
      <c r="B308" s="10"/>
      <c r="C308" s="11"/>
      <c r="D308" s="15"/>
      <c r="E308" s="49"/>
      <c r="F308" s="72" t="str">
        <f>IF(E305=0,"","B"&amp;E305&amp;"-1")</f>
        <v/>
      </c>
      <c r="G308" s="50"/>
      <c r="H308" s="52"/>
      <c r="I308" s="130"/>
      <c r="J308" s="53"/>
      <c r="K308" s="101"/>
    </row>
    <row r="309" spans="1:11" ht="19.5" customHeight="1">
      <c r="A309" s="79"/>
      <c r="B309" s="10"/>
      <c r="C309" s="11"/>
      <c r="D309" s="15"/>
      <c r="E309" s="49"/>
      <c r="F309" s="72" t="str">
        <f>IF(E305=0,"","C"&amp;E305&amp;"-0")</f>
        <v/>
      </c>
      <c r="G309" s="50"/>
      <c r="H309" s="52"/>
      <c r="I309" s="130"/>
      <c r="J309" s="53"/>
      <c r="K309" s="101"/>
    </row>
    <row r="310" spans="1:11" ht="19.5" customHeight="1">
      <c r="A310" s="80"/>
      <c r="B310" s="12"/>
      <c r="C310" s="13"/>
      <c r="D310" s="16"/>
      <c r="E310" s="51"/>
      <c r="F310" s="72" t="str">
        <f>IF(E305=0,"","C"&amp;E305&amp;"-1")</f>
        <v/>
      </c>
      <c r="G310" s="50"/>
      <c r="H310" s="52"/>
      <c r="I310" s="130"/>
      <c r="J310" s="53"/>
      <c r="K310" s="101"/>
    </row>
    <row r="311" spans="1:11" ht="19.5" customHeight="1">
      <c r="A311" s="78" t="str">
        <f>IF(ROUNDUP($D$3/3,0)&gt;A293,A293+1,"")</f>
        <v/>
      </c>
      <c r="B311" s="3"/>
      <c r="C311" s="4"/>
      <c r="D311" s="14"/>
      <c r="E311" s="48">
        <f>IF(AND(E305&gt;1,$D$3&gt;=E305+1),E305+1,0)</f>
        <v>0</v>
      </c>
      <c r="F311" s="72" t="str">
        <f>IF(E311=0,"","A"&amp;E311&amp;"-0")</f>
        <v/>
      </c>
      <c r="G311" s="50"/>
      <c r="H311" s="52"/>
      <c r="I311" s="130"/>
      <c r="J311" s="53"/>
      <c r="K311" s="101"/>
    </row>
    <row r="312" spans="1:11" ht="19.5" customHeight="1">
      <c r="A312" s="79"/>
      <c r="B312" s="10"/>
      <c r="C312" s="11"/>
      <c r="D312" s="15"/>
      <c r="E312" s="49" t="s">
        <v>52</v>
      </c>
      <c r="F312" s="72" t="str">
        <f>IF(E311=0,"","A"&amp;E311&amp;"-1")</f>
        <v/>
      </c>
      <c r="G312" s="50"/>
      <c r="H312" s="52"/>
      <c r="I312" s="130"/>
      <c r="J312" s="53"/>
      <c r="K312" s="101"/>
    </row>
    <row r="313" spans="1:11" ht="19.5" customHeight="1">
      <c r="A313" s="79"/>
      <c r="B313" s="10"/>
      <c r="C313" s="11"/>
      <c r="D313" s="15"/>
      <c r="E313" s="49"/>
      <c r="F313" s="72" t="str">
        <f>IF(E311=0,"","B"&amp;E311&amp;"-0")</f>
        <v/>
      </c>
      <c r="G313" s="50"/>
      <c r="H313" s="52"/>
      <c r="I313" s="130"/>
      <c r="J313" s="53"/>
      <c r="K313" s="101"/>
    </row>
    <row r="314" spans="1:11" ht="19.5" customHeight="1">
      <c r="A314" s="79"/>
      <c r="B314" s="10"/>
      <c r="C314" s="11"/>
      <c r="D314" s="15"/>
      <c r="E314" s="49"/>
      <c r="F314" s="72" t="str">
        <f>IF(E311=0,"","B"&amp;E311&amp;"-1")</f>
        <v/>
      </c>
      <c r="G314" s="50"/>
      <c r="H314" s="52"/>
      <c r="I314" s="130"/>
      <c r="J314" s="53"/>
      <c r="K314" s="101"/>
    </row>
    <row r="315" spans="1:11" ht="19.5" customHeight="1">
      <c r="A315" s="79"/>
      <c r="B315" s="10"/>
      <c r="C315" s="11"/>
      <c r="D315" s="15"/>
      <c r="E315" s="49"/>
      <c r="F315" s="72" t="str">
        <f>IF(E311=0,"","C"&amp;E311&amp;"-0")</f>
        <v/>
      </c>
      <c r="G315" s="50"/>
      <c r="H315" s="52"/>
      <c r="I315" s="130"/>
      <c r="J315" s="53"/>
      <c r="K315" s="101"/>
    </row>
    <row r="316" spans="1:11" ht="19.5" customHeight="1">
      <c r="A316" s="79"/>
      <c r="B316" s="10"/>
      <c r="C316" s="11"/>
      <c r="D316" s="15"/>
      <c r="E316" s="51"/>
      <c r="F316" s="72" t="str">
        <f>IF(E311=0,"","C"&amp;E311&amp;"-1")</f>
        <v/>
      </c>
      <c r="G316" s="50"/>
      <c r="H316" s="52"/>
      <c r="I316" s="130"/>
      <c r="J316" s="53"/>
      <c r="K316" s="101"/>
    </row>
    <row r="317" spans="1:11" ht="19.5" customHeight="1">
      <c r="A317" s="79"/>
      <c r="B317" s="10"/>
      <c r="C317" s="11"/>
      <c r="D317" s="15"/>
      <c r="E317" s="48">
        <f>IF(AND(E311&gt;1,$D$3&gt;=E311+1),E311+1,0)</f>
        <v>0</v>
      </c>
      <c r="F317" s="72" t="str">
        <f>IF(E317=0,"","A"&amp;E317&amp;"-0")</f>
        <v/>
      </c>
      <c r="G317" s="50"/>
      <c r="H317" s="52"/>
      <c r="I317" s="130"/>
      <c r="J317" s="53"/>
      <c r="K317" s="101"/>
    </row>
    <row r="318" spans="1:11" ht="19.5" customHeight="1">
      <c r="A318" s="79"/>
      <c r="B318" s="10"/>
      <c r="C318" s="11"/>
      <c r="D318" s="15"/>
      <c r="E318" s="49" t="s">
        <v>53</v>
      </c>
      <c r="F318" s="72" t="str">
        <f>IF(E317=0,"","A"&amp;E317&amp;"-1")</f>
        <v/>
      </c>
      <c r="G318" s="50"/>
      <c r="H318" s="52"/>
      <c r="I318" s="130"/>
      <c r="J318" s="53"/>
      <c r="K318" s="101"/>
    </row>
    <row r="319" spans="1:11" ht="19.5" customHeight="1">
      <c r="A319" s="79"/>
      <c r="B319" s="10"/>
      <c r="C319" s="11"/>
      <c r="D319" s="15"/>
      <c r="E319" s="49"/>
      <c r="F319" s="72" t="str">
        <f>IF(E317=0,"","B"&amp;E317&amp;"-0")</f>
        <v/>
      </c>
      <c r="G319" s="50"/>
      <c r="H319" s="52"/>
      <c r="I319" s="130"/>
      <c r="J319" s="53"/>
      <c r="K319" s="101"/>
    </row>
    <row r="320" spans="1:11" ht="19.5" customHeight="1">
      <c r="A320" s="79"/>
      <c r="B320" s="10"/>
      <c r="C320" s="11"/>
      <c r="D320" s="15"/>
      <c r="E320" s="49"/>
      <c r="F320" s="72" t="str">
        <f>IF(E317=0,"","B"&amp;E317&amp;"-1")</f>
        <v/>
      </c>
      <c r="G320" s="50"/>
      <c r="H320" s="52"/>
      <c r="I320" s="130"/>
      <c r="J320" s="53"/>
      <c r="K320" s="101"/>
    </row>
    <row r="321" spans="1:11" ht="19.5" customHeight="1">
      <c r="A321" s="79"/>
      <c r="B321" s="10"/>
      <c r="C321" s="11"/>
      <c r="D321" s="15"/>
      <c r="E321" s="49"/>
      <c r="F321" s="72" t="str">
        <f>IF(E317=0,"","C"&amp;E317&amp;"-0")</f>
        <v/>
      </c>
      <c r="G321" s="50"/>
      <c r="H321" s="52"/>
      <c r="I321" s="130"/>
      <c r="J321" s="53"/>
      <c r="K321" s="101"/>
    </row>
    <row r="322" spans="1:11" ht="19.5" customHeight="1">
      <c r="A322" s="79"/>
      <c r="B322" s="10"/>
      <c r="C322" s="11"/>
      <c r="D322" s="15"/>
      <c r="E322" s="51"/>
      <c r="F322" s="72" t="str">
        <f>IF(E317=0,"","C"&amp;E317&amp;"-1")</f>
        <v/>
      </c>
      <c r="G322" s="50"/>
      <c r="H322" s="52"/>
      <c r="I322" s="130"/>
      <c r="J322" s="53"/>
      <c r="K322" s="101"/>
    </row>
    <row r="323" spans="1:11" ht="19.5" customHeight="1">
      <c r="A323" s="79"/>
      <c r="B323" s="10"/>
      <c r="C323" s="11"/>
      <c r="D323" s="15"/>
      <c r="E323" s="48">
        <f>IF(AND(E317&gt;1,$D$3&gt;=E317+1),E317+1,0)</f>
        <v>0</v>
      </c>
      <c r="F323" s="72" t="str">
        <f>IF(E323=0,"","A"&amp;E323&amp;"-0")</f>
        <v/>
      </c>
      <c r="G323" s="50"/>
      <c r="H323" s="52"/>
      <c r="I323" s="130"/>
      <c r="J323" s="53"/>
      <c r="K323" s="101"/>
    </row>
    <row r="324" spans="1:11" ht="19.5" customHeight="1">
      <c r="A324" s="79"/>
      <c r="B324" s="10"/>
      <c r="C324" s="11"/>
      <c r="D324" s="15"/>
      <c r="E324" s="49" t="s">
        <v>54</v>
      </c>
      <c r="F324" s="72" t="str">
        <f>IF(E323=0,"","A"&amp;E323&amp;"-1")</f>
        <v/>
      </c>
      <c r="G324" s="50"/>
      <c r="H324" s="52"/>
      <c r="I324" s="130"/>
      <c r="J324" s="53"/>
      <c r="K324" s="101"/>
    </row>
    <row r="325" spans="1:11" ht="19.5" customHeight="1">
      <c r="A325" s="79"/>
      <c r="B325" s="10"/>
      <c r="C325" s="11"/>
      <c r="D325" s="15"/>
      <c r="E325" s="49"/>
      <c r="F325" s="72" t="str">
        <f>IF(E323=0,"","B"&amp;E323&amp;"-0")</f>
        <v/>
      </c>
      <c r="G325" s="50"/>
      <c r="H325" s="52"/>
      <c r="I325" s="130"/>
      <c r="J325" s="53"/>
      <c r="K325" s="101"/>
    </row>
    <row r="326" spans="1:11" ht="19.5" customHeight="1">
      <c r="A326" s="79"/>
      <c r="B326" s="10"/>
      <c r="C326" s="11"/>
      <c r="D326" s="15"/>
      <c r="E326" s="49"/>
      <c r="F326" s="72" t="str">
        <f>IF(E323=0,"","B"&amp;E323&amp;"-1")</f>
        <v/>
      </c>
      <c r="G326" s="50"/>
      <c r="H326" s="52"/>
      <c r="I326" s="130"/>
      <c r="J326" s="53"/>
      <c r="K326" s="101"/>
    </row>
    <row r="327" spans="1:11" ht="19.5" customHeight="1">
      <c r="A327" s="79"/>
      <c r="B327" s="10"/>
      <c r="C327" s="11"/>
      <c r="D327" s="15"/>
      <c r="E327" s="49"/>
      <c r="F327" s="72" t="str">
        <f>IF(E323=0,"","C"&amp;E323&amp;"-0")</f>
        <v/>
      </c>
      <c r="G327" s="50"/>
      <c r="H327" s="52"/>
      <c r="I327" s="130"/>
      <c r="J327" s="53"/>
      <c r="K327" s="101"/>
    </row>
    <row r="328" spans="1:11" ht="19.5" customHeight="1">
      <c r="A328" s="80"/>
      <c r="B328" s="12"/>
      <c r="C328" s="13"/>
      <c r="D328" s="16"/>
      <c r="E328" s="51"/>
      <c r="F328" s="72" t="str">
        <f>IF(E323=0,"","C"&amp;E323&amp;"-1")</f>
        <v/>
      </c>
      <c r="G328" s="50"/>
      <c r="H328" s="52"/>
      <c r="I328" s="130"/>
      <c r="J328" s="53"/>
      <c r="K328" s="101"/>
    </row>
    <row r="329" spans="1:11" ht="19.5" customHeight="1">
      <c r="A329" s="78" t="str">
        <f>IF(ROUNDUP($D$3/3,0)&gt;A311,A311+1,"")</f>
        <v/>
      </c>
      <c r="B329" s="3"/>
      <c r="C329" s="4"/>
      <c r="D329" s="14"/>
      <c r="E329" s="48">
        <f>IF(AND(E323&gt;1,$D$3&gt;=E323+1),E323+1,0)</f>
        <v>0</v>
      </c>
      <c r="F329" s="72" t="str">
        <f>IF(E329=0,"","A"&amp;E329&amp;"-0")</f>
        <v/>
      </c>
      <c r="G329" s="50"/>
      <c r="H329" s="52"/>
      <c r="I329" s="130"/>
      <c r="J329" s="53"/>
      <c r="K329" s="101"/>
    </row>
    <row r="330" spans="1:11" ht="19.5" customHeight="1">
      <c r="A330" s="79"/>
      <c r="B330" s="10"/>
      <c r="C330" s="11"/>
      <c r="D330" s="15"/>
      <c r="E330" s="49" t="s">
        <v>52</v>
      </c>
      <c r="F330" s="72" t="str">
        <f>IF(E329=0,"","A"&amp;E329&amp;"-1")</f>
        <v/>
      </c>
      <c r="G330" s="50"/>
      <c r="H330" s="52"/>
      <c r="I330" s="130"/>
      <c r="J330" s="53"/>
      <c r="K330" s="101"/>
    </row>
    <row r="331" spans="1:11" ht="19.5" customHeight="1">
      <c r="A331" s="79"/>
      <c r="B331" s="10"/>
      <c r="C331" s="11"/>
      <c r="D331" s="15"/>
      <c r="E331" s="49"/>
      <c r="F331" s="72" t="str">
        <f>IF(E329=0,"","B"&amp;E329&amp;"-0")</f>
        <v/>
      </c>
      <c r="G331" s="50"/>
      <c r="H331" s="52"/>
      <c r="I331" s="130"/>
      <c r="J331" s="53"/>
      <c r="K331" s="101"/>
    </row>
    <row r="332" spans="1:11" ht="19.5" customHeight="1">
      <c r="A332" s="79"/>
      <c r="B332" s="10"/>
      <c r="C332" s="11"/>
      <c r="D332" s="15"/>
      <c r="E332" s="49"/>
      <c r="F332" s="72" t="str">
        <f>IF(E329=0,"","B"&amp;E329&amp;"-1")</f>
        <v/>
      </c>
      <c r="G332" s="50"/>
      <c r="H332" s="52"/>
      <c r="I332" s="130"/>
      <c r="J332" s="53"/>
      <c r="K332" s="101"/>
    </row>
    <row r="333" spans="1:11" ht="19.5" customHeight="1">
      <c r="A333" s="79"/>
      <c r="B333" s="10"/>
      <c r="C333" s="11"/>
      <c r="D333" s="15"/>
      <c r="E333" s="49"/>
      <c r="F333" s="72" t="str">
        <f>IF(E329=0,"","C"&amp;E329&amp;"-0")</f>
        <v/>
      </c>
      <c r="G333" s="50"/>
      <c r="H333" s="52"/>
      <c r="I333" s="130"/>
      <c r="J333" s="53"/>
      <c r="K333" s="101"/>
    </row>
    <row r="334" spans="1:11" ht="19.5" customHeight="1">
      <c r="A334" s="79"/>
      <c r="B334" s="10"/>
      <c r="C334" s="11"/>
      <c r="D334" s="15"/>
      <c r="E334" s="51"/>
      <c r="F334" s="72" t="str">
        <f>IF(E329=0,"","C"&amp;E329&amp;"-1")</f>
        <v/>
      </c>
      <c r="G334" s="50"/>
      <c r="H334" s="52"/>
      <c r="I334" s="130"/>
      <c r="J334" s="53"/>
      <c r="K334" s="101"/>
    </row>
    <row r="335" spans="1:11" ht="19.5" customHeight="1">
      <c r="A335" s="79"/>
      <c r="B335" s="10"/>
      <c r="C335" s="11"/>
      <c r="D335" s="15"/>
      <c r="E335" s="48">
        <f>IF(AND(E329&gt;1,$D$3&gt;=E329+1),E329+1,0)</f>
        <v>0</v>
      </c>
      <c r="F335" s="72" t="str">
        <f>IF(E335=0,"","A"&amp;E335&amp;"-0")</f>
        <v/>
      </c>
      <c r="G335" s="50"/>
      <c r="H335" s="52"/>
      <c r="I335" s="130"/>
      <c r="J335" s="53"/>
      <c r="K335" s="101"/>
    </row>
    <row r="336" spans="1:11" ht="19.5" customHeight="1">
      <c r="A336" s="79"/>
      <c r="B336" s="10"/>
      <c r="C336" s="11"/>
      <c r="D336" s="15"/>
      <c r="E336" s="49" t="s">
        <v>53</v>
      </c>
      <c r="F336" s="72" t="str">
        <f>IF(E335=0,"","A"&amp;E335&amp;"-1")</f>
        <v/>
      </c>
      <c r="G336" s="50"/>
      <c r="H336" s="52"/>
      <c r="I336" s="130"/>
      <c r="J336" s="53"/>
      <c r="K336" s="101"/>
    </row>
    <row r="337" spans="1:11" ht="19.5" customHeight="1">
      <c r="A337" s="79"/>
      <c r="B337" s="10"/>
      <c r="C337" s="11"/>
      <c r="D337" s="15"/>
      <c r="E337" s="49"/>
      <c r="F337" s="72" t="str">
        <f>IF(E335=0,"","B"&amp;E335&amp;"-0")</f>
        <v/>
      </c>
      <c r="G337" s="50"/>
      <c r="H337" s="52"/>
      <c r="I337" s="130"/>
      <c r="J337" s="53"/>
      <c r="K337" s="101"/>
    </row>
    <row r="338" spans="1:11" ht="19.5" customHeight="1">
      <c r="A338" s="79"/>
      <c r="B338" s="10"/>
      <c r="C338" s="11"/>
      <c r="D338" s="15"/>
      <c r="E338" s="49"/>
      <c r="F338" s="72" t="str">
        <f>IF(E335=0,"","B"&amp;E335&amp;"-1")</f>
        <v/>
      </c>
      <c r="G338" s="50"/>
      <c r="H338" s="52"/>
      <c r="I338" s="130"/>
      <c r="J338" s="53"/>
      <c r="K338" s="101"/>
    </row>
    <row r="339" spans="1:11" ht="19.5" customHeight="1">
      <c r="A339" s="79"/>
      <c r="B339" s="10"/>
      <c r="C339" s="11"/>
      <c r="D339" s="15"/>
      <c r="E339" s="49"/>
      <c r="F339" s="72" t="str">
        <f>IF(E335=0,"","C"&amp;E335&amp;"-0")</f>
        <v/>
      </c>
      <c r="G339" s="50"/>
      <c r="H339" s="52"/>
      <c r="I339" s="130"/>
      <c r="J339" s="53"/>
      <c r="K339" s="101"/>
    </row>
    <row r="340" spans="1:11" ht="19.5" customHeight="1">
      <c r="A340" s="79"/>
      <c r="B340" s="10"/>
      <c r="C340" s="11"/>
      <c r="D340" s="15"/>
      <c r="E340" s="51"/>
      <c r="F340" s="72" t="str">
        <f>IF(E335=0,"","C"&amp;E335&amp;"-1")</f>
        <v/>
      </c>
      <c r="G340" s="50"/>
      <c r="H340" s="52"/>
      <c r="I340" s="130"/>
      <c r="J340" s="53"/>
      <c r="K340" s="101"/>
    </row>
    <row r="341" spans="1:11" ht="19.5" customHeight="1">
      <c r="A341" s="79"/>
      <c r="B341" s="10"/>
      <c r="C341" s="11"/>
      <c r="D341" s="15"/>
      <c r="E341" s="48">
        <f>IF(AND(E335&gt;1,$D$3&gt;=E335+1),E335+1,0)</f>
        <v>0</v>
      </c>
      <c r="F341" s="72" t="str">
        <f>IF(E341=0,"","A"&amp;E341&amp;"-0")</f>
        <v/>
      </c>
      <c r="G341" s="50"/>
      <c r="H341" s="52"/>
      <c r="I341" s="130"/>
      <c r="J341" s="53"/>
      <c r="K341" s="101"/>
    </row>
    <row r="342" spans="1:11" ht="19.5" customHeight="1">
      <c r="A342" s="79"/>
      <c r="B342" s="10"/>
      <c r="C342" s="11"/>
      <c r="D342" s="15"/>
      <c r="E342" s="49" t="s">
        <v>54</v>
      </c>
      <c r="F342" s="72" t="str">
        <f>IF(E341=0,"","A"&amp;E341&amp;"-1")</f>
        <v/>
      </c>
      <c r="G342" s="50"/>
      <c r="H342" s="52"/>
      <c r="I342" s="130"/>
      <c r="J342" s="53"/>
      <c r="K342" s="101"/>
    </row>
    <row r="343" spans="1:11" ht="19.5" customHeight="1">
      <c r="A343" s="79"/>
      <c r="B343" s="10"/>
      <c r="C343" s="11"/>
      <c r="D343" s="15"/>
      <c r="E343" s="49"/>
      <c r="F343" s="72" t="str">
        <f>IF(E341=0,"","B"&amp;E341&amp;"-0")</f>
        <v/>
      </c>
      <c r="G343" s="50"/>
      <c r="H343" s="52"/>
      <c r="I343" s="130"/>
      <c r="J343" s="53"/>
      <c r="K343" s="101"/>
    </row>
    <row r="344" spans="1:11" ht="19.5" customHeight="1">
      <c r="A344" s="79"/>
      <c r="B344" s="10"/>
      <c r="C344" s="11"/>
      <c r="D344" s="15"/>
      <c r="E344" s="49"/>
      <c r="F344" s="72" t="str">
        <f>IF(E341=0,"","B"&amp;E341&amp;"-1")</f>
        <v/>
      </c>
      <c r="G344" s="50"/>
      <c r="H344" s="52"/>
      <c r="I344" s="130"/>
      <c r="J344" s="53"/>
      <c r="K344" s="101"/>
    </row>
    <row r="345" spans="1:11" ht="19.5" customHeight="1">
      <c r="A345" s="79"/>
      <c r="B345" s="10"/>
      <c r="C345" s="11"/>
      <c r="D345" s="15"/>
      <c r="E345" s="49"/>
      <c r="F345" s="72" t="str">
        <f>IF(E341=0,"","C"&amp;E341&amp;"-0")</f>
        <v/>
      </c>
      <c r="G345" s="50"/>
      <c r="H345" s="52"/>
      <c r="I345" s="130"/>
      <c r="J345" s="53"/>
      <c r="K345" s="101"/>
    </row>
    <row r="346" spans="1:11" ht="19.5" customHeight="1">
      <c r="A346" s="80"/>
      <c r="B346" s="12"/>
      <c r="C346" s="13"/>
      <c r="D346" s="16"/>
      <c r="E346" s="51"/>
      <c r="F346" s="72" t="str">
        <f>IF(E341=0,"","C"&amp;E341&amp;"-1")</f>
        <v/>
      </c>
      <c r="G346" s="50"/>
      <c r="H346" s="52"/>
      <c r="I346" s="130"/>
      <c r="J346" s="53"/>
      <c r="K346" s="101"/>
    </row>
    <row r="347" spans="1:11" ht="19.5" customHeight="1">
      <c r="A347" s="78" t="str">
        <f>IF(ROUNDUP($D$3/3,0)&gt;A329,A329+1,"")</f>
        <v/>
      </c>
      <c r="B347" s="3"/>
      <c r="C347" s="4"/>
      <c r="D347" s="14"/>
      <c r="E347" s="48">
        <f>IF(AND(E341&gt;1,$D$3&gt;=E341+1),E341+1,0)</f>
        <v>0</v>
      </c>
      <c r="F347" s="72" t="str">
        <f>IF(E347=0,"","A"&amp;E347&amp;"-0")</f>
        <v/>
      </c>
      <c r="G347" s="50"/>
      <c r="H347" s="52"/>
      <c r="I347" s="130"/>
      <c r="J347" s="53"/>
      <c r="K347" s="101"/>
    </row>
    <row r="348" spans="1:11" ht="19.5" customHeight="1">
      <c r="A348" s="79"/>
      <c r="B348" s="10"/>
      <c r="C348" s="11"/>
      <c r="D348" s="15"/>
      <c r="E348" s="49" t="s">
        <v>52</v>
      </c>
      <c r="F348" s="72" t="str">
        <f>IF(E347=0,"","A"&amp;E347&amp;"-1")</f>
        <v/>
      </c>
      <c r="G348" s="50"/>
      <c r="H348" s="52"/>
      <c r="I348" s="130"/>
      <c r="J348" s="53"/>
      <c r="K348" s="101"/>
    </row>
    <row r="349" spans="1:11" ht="19.5" customHeight="1">
      <c r="A349" s="79"/>
      <c r="B349" s="10"/>
      <c r="C349" s="11"/>
      <c r="D349" s="15"/>
      <c r="E349" s="49"/>
      <c r="F349" s="72" t="str">
        <f>IF(E347=0,"","B"&amp;E347&amp;"-0")</f>
        <v/>
      </c>
      <c r="G349" s="50"/>
      <c r="H349" s="52"/>
      <c r="I349" s="130"/>
      <c r="J349" s="53"/>
      <c r="K349" s="101"/>
    </row>
    <row r="350" spans="1:11" ht="19.5" customHeight="1">
      <c r="A350" s="79"/>
      <c r="B350" s="10"/>
      <c r="C350" s="11"/>
      <c r="D350" s="15"/>
      <c r="E350" s="49"/>
      <c r="F350" s="72" t="str">
        <f>IF(E347=0,"","B"&amp;E347&amp;"-1")</f>
        <v/>
      </c>
      <c r="G350" s="50"/>
      <c r="H350" s="52"/>
      <c r="I350" s="130"/>
      <c r="J350" s="53"/>
      <c r="K350" s="101"/>
    </row>
    <row r="351" spans="1:11" ht="19.5" customHeight="1">
      <c r="A351" s="79"/>
      <c r="B351" s="10"/>
      <c r="C351" s="11"/>
      <c r="D351" s="15"/>
      <c r="E351" s="49"/>
      <c r="F351" s="72" t="str">
        <f>IF(E347=0,"","C"&amp;E347&amp;"-0")</f>
        <v/>
      </c>
      <c r="G351" s="50"/>
      <c r="H351" s="52"/>
      <c r="I351" s="130"/>
      <c r="J351" s="53"/>
      <c r="K351" s="101"/>
    </row>
    <row r="352" spans="1:11" ht="19.5" customHeight="1">
      <c r="A352" s="79"/>
      <c r="B352" s="10"/>
      <c r="C352" s="11"/>
      <c r="D352" s="15"/>
      <c r="E352" s="51"/>
      <c r="F352" s="72" t="str">
        <f>IF(E347=0,"","C"&amp;E347&amp;"-1")</f>
        <v/>
      </c>
      <c r="G352" s="50"/>
      <c r="H352" s="52"/>
      <c r="I352" s="130"/>
      <c r="J352" s="53"/>
      <c r="K352" s="101"/>
    </row>
    <row r="353" spans="1:11" ht="19.5" customHeight="1">
      <c r="A353" s="79"/>
      <c r="B353" s="10"/>
      <c r="C353" s="11"/>
      <c r="D353" s="15"/>
      <c r="E353" s="48">
        <f>IF(AND(E347&gt;1,$D$3&gt;=E347+1),E347+1,0)</f>
        <v>0</v>
      </c>
      <c r="F353" s="72" t="str">
        <f>IF(E353=0,"","A"&amp;E353&amp;"-0")</f>
        <v/>
      </c>
      <c r="G353" s="50"/>
      <c r="H353" s="52"/>
      <c r="I353" s="130"/>
      <c r="J353" s="53"/>
      <c r="K353" s="101"/>
    </row>
    <row r="354" spans="1:11" ht="19.5" customHeight="1">
      <c r="A354" s="79"/>
      <c r="B354" s="10"/>
      <c r="C354" s="11"/>
      <c r="D354" s="15"/>
      <c r="E354" s="49" t="s">
        <v>53</v>
      </c>
      <c r="F354" s="72" t="str">
        <f>IF(E353=0,"","A"&amp;E353&amp;"-1")</f>
        <v/>
      </c>
      <c r="G354" s="50"/>
      <c r="H354" s="52"/>
      <c r="I354" s="130"/>
      <c r="J354" s="53"/>
      <c r="K354" s="101"/>
    </row>
    <row r="355" spans="1:11" ht="19.5" customHeight="1">
      <c r="A355" s="79"/>
      <c r="B355" s="10"/>
      <c r="C355" s="11"/>
      <c r="D355" s="15"/>
      <c r="E355" s="49"/>
      <c r="F355" s="72" t="str">
        <f>IF(E353=0,"","B"&amp;E353&amp;"-0")</f>
        <v/>
      </c>
      <c r="G355" s="50"/>
      <c r="H355" s="52"/>
      <c r="I355" s="130"/>
      <c r="J355" s="53"/>
      <c r="K355" s="101"/>
    </row>
    <row r="356" spans="1:11" ht="19.5" customHeight="1">
      <c r="A356" s="79"/>
      <c r="B356" s="10"/>
      <c r="C356" s="11"/>
      <c r="D356" s="15"/>
      <c r="E356" s="49"/>
      <c r="F356" s="72" t="str">
        <f>IF(E353=0,"","B"&amp;E353&amp;"-1")</f>
        <v/>
      </c>
      <c r="G356" s="50"/>
      <c r="H356" s="52"/>
      <c r="I356" s="130"/>
      <c r="J356" s="53"/>
      <c r="K356" s="101"/>
    </row>
    <row r="357" spans="1:11" ht="19.5" customHeight="1">
      <c r="A357" s="79"/>
      <c r="B357" s="10"/>
      <c r="C357" s="11"/>
      <c r="D357" s="15"/>
      <c r="E357" s="49"/>
      <c r="F357" s="72" t="str">
        <f>IF(E353=0,"","C"&amp;E353&amp;"-0")</f>
        <v/>
      </c>
      <c r="G357" s="50"/>
      <c r="H357" s="52"/>
      <c r="I357" s="130"/>
      <c r="J357" s="53"/>
      <c r="K357" s="101"/>
    </row>
    <row r="358" spans="1:11" ht="19.5" customHeight="1">
      <c r="A358" s="79"/>
      <c r="B358" s="10"/>
      <c r="C358" s="11"/>
      <c r="D358" s="15"/>
      <c r="E358" s="51"/>
      <c r="F358" s="72" t="str">
        <f>IF(E353=0,"","C"&amp;E353&amp;"-1")</f>
        <v/>
      </c>
      <c r="G358" s="50"/>
      <c r="H358" s="52"/>
      <c r="I358" s="130"/>
      <c r="J358" s="53"/>
      <c r="K358" s="101"/>
    </row>
    <row r="359" spans="1:11" ht="19.5" customHeight="1">
      <c r="A359" s="79"/>
      <c r="B359" s="10"/>
      <c r="C359" s="11"/>
      <c r="D359" s="15"/>
      <c r="E359" s="48">
        <f>IF(AND(E353&gt;1,$D$3&gt;=E353+1),E353+1,0)</f>
        <v>0</v>
      </c>
      <c r="F359" s="72" t="str">
        <f>IF(E359=0,"","A"&amp;E359&amp;"-0")</f>
        <v/>
      </c>
      <c r="G359" s="50"/>
      <c r="H359" s="52"/>
      <c r="I359" s="130"/>
      <c r="J359" s="53"/>
      <c r="K359" s="101"/>
    </row>
    <row r="360" spans="1:11" ht="19.5" customHeight="1">
      <c r="A360" s="79"/>
      <c r="B360" s="10"/>
      <c r="C360" s="11"/>
      <c r="D360" s="15"/>
      <c r="E360" s="49" t="s">
        <v>54</v>
      </c>
      <c r="F360" s="72" t="str">
        <f>IF(E359=0,"","A"&amp;E359&amp;"-1")</f>
        <v/>
      </c>
      <c r="G360" s="50"/>
      <c r="H360" s="52"/>
      <c r="I360" s="130"/>
      <c r="J360" s="53"/>
      <c r="K360" s="101"/>
    </row>
    <row r="361" spans="1:11" ht="19.5" customHeight="1">
      <c r="A361" s="79"/>
      <c r="B361" s="10"/>
      <c r="C361" s="11"/>
      <c r="D361" s="15"/>
      <c r="E361" s="49"/>
      <c r="F361" s="72" t="str">
        <f>IF(E359=0,"","B"&amp;E359&amp;"-0")</f>
        <v/>
      </c>
      <c r="G361" s="50"/>
      <c r="H361" s="52"/>
      <c r="I361" s="130"/>
      <c r="J361" s="53"/>
      <c r="K361" s="101"/>
    </row>
    <row r="362" spans="1:11" ht="19.5" customHeight="1">
      <c r="A362" s="79"/>
      <c r="B362" s="10"/>
      <c r="C362" s="11"/>
      <c r="D362" s="15"/>
      <c r="E362" s="49"/>
      <c r="F362" s="72" t="str">
        <f>IF(E359=0,"","B"&amp;E359&amp;"-1")</f>
        <v/>
      </c>
      <c r="G362" s="50"/>
      <c r="H362" s="52"/>
      <c r="I362" s="130"/>
      <c r="J362" s="53"/>
      <c r="K362" s="101"/>
    </row>
    <row r="363" spans="1:11" ht="19.5" customHeight="1">
      <c r="A363" s="79"/>
      <c r="B363" s="10"/>
      <c r="C363" s="11"/>
      <c r="D363" s="15"/>
      <c r="E363" s="49"/>
      <c r="F363" s="72" t="str">
        <f>IF(E359=0,"","C"&amp;E359&amp;"-0")</f>
        <v/>
      </c>
      <c r="G363" s="50"/>
      <c r="H363" s="52"/>
      <c r="I363" s="130"/>
      <c r="J363" s="53"/>
      <c r="K363" s="101"/>
    </row>
    <row r="364" spans="1:11" ht="19.5" customHeight="1">
      <c r="A364" s="80"/>
      <c r="B364" s="12"/>
      <c r="C364" s="13"/>
      <c r="D364" s="16"/>
      <c r="E364" s="51"/>
      <c r="F364" s="72" t="str">
        <f>IF(E359=0,"","C"&amp;E359&amp;"-1")</f>
        <v/>
      </c>
      <c r="G364" s="50"/>
      <c r="H364" s="52"/>
      <c r="I364" s="130"/>
      <c r="J364" s="53"/>
      <c r="K364" s="101"/>
    </row>
    <row r="365" spans="1:11" ht="19.5" customHeight="1">
      <c r="A365" s="78" t="str">
        <f>IF(ROUNDUP($D$3/3,0)&gt;A347,A347+1,"")</f>
        <v/>
      </c>
      <c r="B365" s="3"/>
      <c r="C365" s="4"/>
      <c r="D365" s="14"/>
      <c r="E365" s="48">
        <f>IF(AND(E359&gt;1,$D$3&gt;=E359+1),E359+1,0)</f>
        <v>0</v>
      </c>
      <c r="F365" s="72" t="str">
        <f>IF(E365=0,"","A"&amp;E365&amp;"-0")</f>
        <v/>
      </c>
      <c r="G365" s="50"/>
      <c r="H365" s="52"/>
      <c r="I365" s="130"/>
      <c r="J365" s="53"/>
      <c r="K365" s="101"/>
    </row>
    <row r="366" spans="1:11" ht="19.5" customHeight="1">
      <c r="A366" s="79"/>
      <c r="B366" s="10"/>
      <c r="C366" s="11"/>
      <c r="D366" s="15"/>
      <c r="E366" s="49" t="s">
        <v>52</v>
      </c>
      <c r="F366" s="72" t="str">
        <f>IF(E365=0,"","A"&amp;E365&amp;"-1")</f>
        <v/>
      </c>
      <c r="G366" s="50"/>
      <c r="H366" s="52"/>
      <c r="I366" s="130"/>
      <c r="J366" s="53"/>
      <c r="K366" s="101"/>
    </row>
    <row r="367" spans="1:11" ht="19.5" customHeight="1">
      <c r="A367" s="79"/>
      <c r="B367" s="10"/>
      <c r="C367" s="11"/>
      <c r="D367" s="15"/>
      <c r="E367" s="49"/>
      <c r="F367" s="72" t="str">
        <f>IF(E365=0,"","B"&amp;E365&amp;"-0")</f>
        <v/>
      </c>
      <c r="G367" s="50"/>
      <c r="H367" s="52"/>
      <c r="I367" s="130"/>
      <c r="J367" s="53"/>
      <c r="K367" s="101"/>
    </row>
    <row r="368" spans="1:11" ht="19.5" customHeight="1">
      <c r="A368" s="79"/>
      <c r="B368" s="10"/>
      <c r="C368" s="11"/>
      <c r="D368" s="15"/>
      <c r="E368" s="49"/>
      <c r="F368" s="72" t="str">
        <f>IF(E365=0,"","B"&amp;E365&amp;"-1")</f>
        <v/>
      </c>
      <c r="G368" s="50"/>
      <c r="H368" s="52"/>
      <c r="I368" s="130"/>
      <c r="J368" s="53"/>
      <c r="K368" s="101"/>
    </row>
    <row r="369" spans="1:11" ht="19.5" customHeight="1">
      <c r="A369" s="79"/>
      <c r="B369" s="10"/>
      <c r="C369" s="11"/>
      <c r="D369" s="15"/>
      <c r="E369" s="49"/>
      <c r="F369" s="72" t="str">
        <f>IF(E365=0,"","C"&amp;E365&amp;"-0")</f>
        <v/>
      </c>
      <c r="G369" s="50"/>
      <c r="H369" s="52"/>
      <c r="I369" s="130"/>
      <c r="J369" s="53"/>
      <c r="K369" s="101"/>
    </row>
    <row r="370" spans="1:11" ht="19.5" customHeight="1">
      <c r="A370" s="79"/>
      <c r="B370" s="10"/>
      <c r="C370" s="11"/>
      <c r="D370" s="15"/>
      <c r="E370" s="51"/>
      <c r="F370" s="72" t="str">
        <f>IF(E365=0,"","C"&amp;E365&amp;"-1")</f>
        <v/>
      </c>
      <c r="G370" s="50"/>
      <c r="H370" s="52"/>
      <c r="I370" s="130"/>
      <c r="J370" s="53"/>
      <c r="K370" s="101"/>
    </row>
    <row r="371" spans="1:11" ht="19.5" customHeight="1">
      <c r="A371" s="79"/>
      <c r="B371" s="10"/>
      <c r="C371" s="11"/>
      <c r="D371" s="15"/>
      <c r="E371" s="48">
        <f>IF(AND(E365&gt;1,$D$3&gt;=E365+1),E365+1,0)</f>
        <v>0</v>
      </c>
      <c r="F371" s="72" t="str">
        <f>IF(E371=0,"","A"&amp;E371&amp;"-0")</f>
        <v/>
      </c>
      <c r="G371" s="50"/>
      <c r="H371" s="52"/>
      <c r="I371" s="130"/>
      <c r="J371" s="53"/>
      <c r="K371" s="101"/>
    </row>
    <row r="372" spans="1:11" ht="19.5" customHeight="1">
      <c r="A372" s="79"/>
      <c r="B372" s="10"/>
      <c r="C372" s="11"/>
      <c r="D372" s="15"/>
      <c r="E372" s="49" t="s">
        <v>53</v>
      </c>
      <c r="F372" s="72" t="str">
        <f>IF(E371=0,"","A"&amp;E371&amp;"-1")</f>
        <v/>
      </c>
      <c r="G372" s="50"/>
      <c r="H372" s="52"/>
      <c r="I372" s="130"/>
      <c r="J372" s="53"/>
      <c r="K372" s="101"/>
    </row>
    <row r="373" spans="1:11" ht="19.5" customHeight="1">
      <c r="A373" s="79"/>
      <c r="B373" s="10"/>
      <c r="C373" s="11"/>
      <c r="D373" s="15"/>
      <c r="E373" s="49"/>
      <c r="F373" s="72" t="str">
        <f>IF(E371=0,"","B"&amp;E371&amp;"-0")</f>
        <v/>
      </c>
      <c r="G373" s="50"/>
      <c r="H373" s="52"/>
      <c r="I373" s="130"/>
      <c r="J373" s="53"/>
      <c r="K373" s="101"/>
    </row>
    <row r="374" spans="1:11" ht="19.5" customHeight="1">
      <c r="A374" s="79"/>
      <c r="B374" s="10"/>
      <c r="C374" s="11"/>
      <c r="D374" s="15"/>
      <c r="E374" s="49"/>
      <c r="F374" s="72" t="str">
        <f>IF(E371=0,"","B"&amp;E371&amp;"-1")</f>
        <v/>
      </c>
      <c r="G374" s="50"/>
      <c r="H374" s="52"/>
      <c r="I374" s="130"/>
      <c r="J374" s="53"/>
      <c r="K374" s="101"/>
    </row>
    <row r="375" spans="1:11" ht="19.5" customHeight="1">
      <c r="A375" s="79"/>
      <c r="B375" s="10"/>
      <c r="C375" s="11"/>
      <c r="D375" s="15"/>
      <c r="E375" s="49"/>
      <c r="F375" s="72" t="str">
        <f>IF(E371=0,"","C"&amp;E371&amp;"-0")</f>
        <v/>
      </c>
      <c r="G375" s="50"/>
      <c r="H375" s="52"/>
      <c r="I375" s="130"/>
      <c r="J375" s="53"/>
      <c r="K375" s="101"/>
    </row>
    <row r="376" spans="1:11" ht="19.5" customHeight="1">
      <c r="A376" s="79"/>
      <c r="B376" s="10"/>
      <c r="C376" s="11"/>
      <c r="D376" s="15"/>
      <c r="E376" s="51"/>
      <c r="F376" s="72" t="str">
        <f>IF(E371=0,"","C"&amp;E371&amp;"-1")</f>
        <v/>
      </c>
      <c r="G376" s="50"/>
      <c r="H376" s="52"/>
      <c r="I376" s="130"/>
      <c r="J376" s="53"/>
      <c r="K376" s="101"/>
    </row>
    <row r="377" spans="1:11" ht="19.5" customHeight="1">
      <c r="A377" s="79"/>
      <c r="B377" s="10"/>
      <c r="C377" s="11"/>
      <c r="D377" s="15"/>
      <c r="E377" s="48">
        <f>IF(AND(E371&gt;1,$D$3&gt;=E371+1),E371+1,0)</f>
        <v>0</v>
      </c>
      <c r="F377" s="72" t="str">
        <f>IF(E377=0,"","A"&amp;E377&amp;"-0")</f>
        <v/>
      </c>
      <c r="G377" s="50"/>
      <c r="H377" s="52"/>
      <c r="I377" s="130"/>
      <c r="J377" s="53"/>
      <c r="K377" s="101"/>
    </row>
    <row r="378" spans="1:11" ht="19.5" customHeight="1">
      <c r="A378" s="79"/>
      <c r="B378" s="10"/>
      <c r="C378" s="11"/>
      <c r="D378" s="15"/>
      <c r="E378" s="49" t="s">
        <v>54</v>
      </c>
      <c r="F378" s="72" t="str">
        <f>IF(E377=0,"","A"&amp;E377&amp;"-1")</f>
        <v/>
      </c>
      <c r="G378" s="50"/>
      <c r="H378" s="52"/>
      <c r="I378" s="130"/>
      <c r="J378" s="53"/>
      <c r="K378" s="101"/>
    </row>
    <row r="379" spans="1:11" ht="19.5" customHeight="1">
      <c r="A379" s="79"/>
      <c r="B379" s="10"/>
      <c r="C379" s="11"/>
      <c r="D379" s="15"/>
      <c r="E379" s="49"/>
      <c r="F379" s="72" t="str">
        <f>IF(E377=0,"","B"&amp;E377&amp;"-0")</f>
        <v/>
      </c>
      <c r="G379" s="50"/>
      <c r="H379" s="52"/>
      <c r="I379" s="130"/>
      <c r="J379" s="53"/>
      <c r="K379" s="101"/>
    </row>
    <row r="380" spans="1:11" ht="19.5" customHeight="1">
      <c r="A380" s="79"/>
      <c r="B380" s="10"/>
      <c r="C380" s="11"/>
      <c r="D380" s="15"/>
      <c r="E380" s="49"/>
      <c r="F380" s="72" t="str">
        <f>IF(E377=0,"","B"&amp;E377&amp;"-1")</f>
        <v/>
      </c>
      <c r="G380" s="50"/>
      <c r="H380" s="52"/>
      <c r="I380" s="130"/>
      <c r="J380" s="53"/>
      <c r="K380" s="101"/>
    </row>
    <row r="381" spans="1:11" ht="19.5" customHeight="1">
      <c r="A381" s="79"/>
      <c r="B381" s="10"/>
      <c r="C381" s="11"/>
      <c r="D381" s="15"/>
      <c r="E381" s="49"/>
      <c r="F381" s="72" t="str">
        <f>IF(E377=0,"","C"&amp;E377&amp;"-0")</f>
        <v/>
      </c>
      <c r="G381" s="50"/>
      <c r="H381" s="52"/>
      <c r="I381" s="130"/>
      <c r="J381" s="53"/>
      <c r="K381" s="101"/>
    </row>
    <row r="382" spans="1:11" ht="19.5" customHeight="1">
      <c r="A382" s="80"/>
      <c r="B382" s="12"/>
      <c r="C382" s="13"/>
      <c r="D382" s="16"/>
      <c r="E382" s="51"/>
      <c r="F382" s="72" t="str">
        <f>IF(E377=0,"","C"&amp;E377&amp;"-1")</f>
        <v/>
      </c>
      <c r="G382" s="50"/>
      <c r="H382" s="52"/>
      <c r="I382" s="130"/>
      <c r="J382" s="53"/>
      <c r="K382" s="101"/>
    </row>
    <row r="383" spans="1:11" ht="19.5" customHeight="1">
      <c r="A383" s="78" t="str">
        <f>IF(ROUNDUP($D$3/3,0)&gt;A365,A365+1,"")</f>
        <v/>
      </c>
      <c r="B383" s="3"/>
      <c r="C383" s="4"/>
      <c r="D383" s="14"/>
      <c r="E383" s="48">
        <f>IF(AND(E377&gt;1,$D$3&gt;=E377+1),E377+1,0)</f>
        <v>0</v>
      </c>
      <c r="F383" s="72" t="str">
        <f>IF(E383=0,"","A"&amp;E383&amp;"-0")</f>
        <v/>
      </c>
      <c r="G383" s="50"/>
      <c r="H383" s="52"/>
      <c r="I383" s="130"/>
      <c r="J383" s="53"/>
      <c r="K383" s="101"/>
    </row>
    <row r="384" spans="1:11" ht="19.5" customHeight="1">
      <c r="A384" s="79"/>
      <c r="B384" s="10"/>
      <c r="C384" s="11"/>
      <c r="D384" s="15"/>
      <c r="E384" s="49" t="s">
        <v>52</v>
      </c>
      <c r="F384" s="72" t="str">
        <f>IF(E383=0,"","A"&amp;E383&amp;"-1")</f>
        <v/>
      </c>
      <c r="G384" s="50"/>
      <c r="H384" s="52"/>
      <c r="I384" s="130"/>
      <c r="J384" s="53"/>
      <c r="K384" s="101"/>
    </row>
    <row r="385" spans="1:11" ht="19.5" customHeight="1">
      <c r="A385" s="79"/>
      <c r="B385" s="10"/>
      <c r="C385" s="11"/>
      <c r="D385" s="15"/>
      <c r="E385" s="49"/>
      <c r="F385" s="72" t="str">
        <f>IF(E383=0,"","B"&amp;E383&amp;"-0")</f>
        <v/>
      </c>
      <c r="G385" s="50"/>
      <c r="H385" s="52"/>
      <c r="I385" s="130"/>
      <c r="J385" s="53"/>
      <c r="K385" s="101"/>
    </row>
    <row r="386" spans="1:11" ht="19.5" customHeight="1">
      <c r="A386" s="79"/>
      <c r="B386" s="10"/>
      <c r="C386" s="11"/>
      <c r="D386" s="15"/>
      <c r="E386" s="49"/>
      <c r="F386" s="72" t="str">
        <f>IF(E383=0,"","B"&amp;E383&amp;"-1")</f>
        <v/>
      </c>
      <c r="G386" s="50"/>
      <c r="H386" s="52"/>
      <c r="I386" s="130"/>
      <c r="J386" s="53"/>
      <c r="K386" s="101"/>
    </row>
    <row r="387" spans="1:11" ht="19.5" customHeight="1">
      <c r="A387" s="79"/>
      <c r="B387" s="10"/>
      <c r="C387" s="11"/>
      <c r="D387" s="15"/>
      <c r="E387" s="49"/>
      <c r="F387" s="72" t="str">
        <f>IF(E383=0,"","C"&amp;E383&amp;"-0")</f>
        <v/>
      </c>
      <c r="G387" s="50"/>
      <c r="H387" s="52"/>
      <c r="I387" s="130"/>
      <c r="J387" s="53"/>
      <c r="K387" s="101"/>
    </row>
    <row r="388" spans="1:11" ht="19.5" customHeight="1">
      <c r="A388" s="79"/>
      <c r="B388" s="10"/>
      <c r="C388" s="11"/>
      <c r="D388" s="15"/>
      <c r="E388" s="51"/>
      <c r="F388" s="72" t="str">
        <f>IF(E383=0,"","C"&amp;E383&amp;"-1")</f>
        <v/>
      </c>
      <c r="G388" s="50"/>
      <c r="H388" s="52"/>
      <c r="I388" s="130"/>
      <c r="J388" s="53"/>
      <c r="K388" s="101"/>
    </row>
    <row r="389" spans="1:11" ht="19.5" customHeight="1">
      <c r="A389" s="79"/>
      <c r="B389" s="10"/>
      <c r="C389" s="11"/>
      <c r="D389" s="15"/>
      <c r="E389" s="48">
        <f>IF(AND(E383&gt;1,$D$3&gt;=E383+1),E383+1,0)</f>
        <v>0</v>
      </c>
      <c r="F389" s="72" t="str">
        <f>IF(E389=0,"","A"&amp;E389&amp;"-0")</f>
        <v/>
      </c>
      <c r="G389" s="50"/>
      <c r="H389" s="52"/>
      <c r="I389" s="130"/>
      <c r="J389" s="53"/>
      <c r="K389" s="101"/>
    </row>
    <row r="390" spans="1:11" ht="19.5" customHeight="1">
      <c r="A390" s="79"/>
      <c r="B390" s="10"/>
      <c r="C390" s="11"/>
      <c r="D390" s="15"/>
      <c r="E390" s="49" t="s">
        <v>53</v>
      </c>
      <c r="F390" s="72" t="str">
        <f>IF(E389=0,"","A"&amp;E389&amp;"-1")</f>
        <v/>
      </c>
      <c r="G390" s="50"/>
      <c r="H390" s="52"/>
      <c r="I390" s="130"/>
      <c r="J390" s="53"/>
      <c r="K390" s="101"/>
    </row>
    <row r="391" spans="1:11" ht="19.5" customHeight="1">
      <c r="A391" s="79"/>
      <c r="B391" s="10"/>
      <c r="C391" s="11"/>
      <c r="D391" s="15"/>
      <c r="E391" s="49"/>
      <c r="F391" s="72" t="str">
        <f>IF(E389=0,"","B"&amp;E389&amp;"-0")</f>
        <v/>
      </c>
      <c r="G391" s="50"/>
      <c r="H391" s="52"/>
      <c r="I391" s="130"/>
      <c r="J391" s="53"/>
      <c r="K391" s="101"/>
    </row>
    <row r="392" spans="1:11" ht="19.5" customHeight="1">
      <c r="A392" s="79"/>
      <c r="B392" s="10"/>
      <c r="C392" s="11"/>
      <c r="D392" s="15"/>
      <c r="E392" s="49"/>
      <c r="F392" s="72" t="str">
        <f>IF(E389=0,"","B"&amp;E389&amp;"-1")</f>
        <v/>
      </c>
      <c r="G392" s="50"/>
      <c r="H392" s="52"/>
      <c r="I392" s="130"/>
      <c r="J392" s="53"/>
      <c r="K392" s="101"/>
    </row>
    <row r="393" spans="1:11" ht="19.5" customHeight="1">
      <c r="A393" s="79"/>
      <c r="B393" s="10"/>
      <c r="C393" s="11"/>
      <c r="D393" s="15"/>
      <c r="E393" s="49"/>
      <c r="F393" s="72" t="str">
        <f>IF(E389=0,"","C"&amp;E389&amp;"-0")</f>
        <v/>
      </c>
      <c r="G393" s="50"/>
      <c r="H393" s="52"/>
      <c r="I393" s="130"/>
      <c r="J393" s="53"/>
      <c r="K393" s="101"/>
    </row>
    <row r="394" spans="1:11" ht="19.5" customHeight="1">
      <c r="A394" s="79"/>
      <c r="B394" s="10"/>
      <c r="C394" s="11"/>
      <c r="D394" s="15"/>
      <c r="E394" s="51"/>
      <c r="F394" s="72" t="str">
        <f>IF(E389=0,"","C"&amp;E389&amp;"-1")</f>
        <v/>
      </c>
      <c r="G394" s="50"/>
      <c r="H394" s="52"/>
      <c r="I394" s="130"/>
      <c r="J394" s="53"/>
      <c r="K394" s="101"/>
    </row>
    <row r="395" spans="1:11" ht="19.5" customHeight="1">
      <c r="A395" s="79"/>
      <c r="B395" s="10"/>
      <c r="C395" s="11"/>
      <c r="D395" s="15"/>
      <c r="E395" s="48">
        <f>IF(AND(E389&gt;1,$D$3&gt;=E389+1),E389+1,0)</f>
        <v>0</v>
      </c>
      <c r="F395" s="72" t="str">
        <f>IF(E395=0,"","A"&amp;E395&amp;"-0")</f>
        <v/>
      </c>
      <c r="G395" s="50"/>
      <c r="H395" s="52"/>
      <c r="I395" s="130"/>
      <c r="J395" s="53"/>
      <c r="K395" s="101"/>
    </row>
    <row r="396" spans="1:11" ht="19.5" customHeight="1">
      <c r="A396" s="79"/>
      <c r="B396" s="10"/>
      <c r="C396" s="11"/>
      <c r="D396" s="15"/>
      <c r="E396" s="49" t="s">
        <v>54</v>
      </c>
      <c r="F396" s="72" t="str">
        <f>IF(E395=0,"","A"&amp;E395&amp;"-1")</f>
        <v/>
      </c>
      <c r="G396" s="50"/>
      <c r="H396" s="52"/>
      <c r="I396" s="130"/>
      <c r="J396" s="53"/>
      <c r="K396" s="101"/>
    </row>
    <row r="397" spans="1:11" ht="19.5" customHeight="1">
      <c r="A397" s="79"/>
      <c r="B397" s="10"/>
      <c r="C397" s="11"/>
      <c r="D397" s="15"/>
      <c r="E397" s="49"/>
      <c r="F397" s="72" t="str">
        <f>IF(E395=0,"","B"&amp;E395&amp;"-0")</f>
        <v/>
      </c>
      <c r="G397" s="50"/>
      <c r="H397" s="52"/>
      <c r="I397" s="130"/>
      <c r="J397" s="53"/>
      <c r="K397" s="101"/>
    </row>
    <row r="398" spans="1:11" ht="19.5" customHeight="1">
      <c r="A398" s="79"/>
      <c r="B398" s="10"/>
      <c r="C398" s="11"/>
      <c r="D398" s="15"/>
      <c r="E398" s="49"/>
      <c r="F398" s="72" t="str">
        <f>IF(E395=0,"","B"&amp;E395&amp;"-1")</f>
        <v/>
      </c>
      <c r="G398" s="50"/>
      <c r="H398" s="52"/>
      <c r="I398" s="130"/>
      <c r="J398" s="53"/>
      <c r="K398" s="101"/>
    </row>
    <row r="399" spans="1:11" ht="19.5" customHeight="1">
      <c r="A399" s="79"/>
      <c r="B399" s="10"/>
      <c r="C399" s="11"/>
      <c r="D399" s="15"/>
      <c r="E399" s="49"/>
      <c r="F399" s="72" t="str">
        <f>IF(E395=0,"","C"&amp;E395&amp;"-0")</f>
        <v/>
      </c>
      <c r="G399" s="50"/>
      <c r="H399" s="52"/>
      <c r="I399" s="130"/>
      <c r="J399" s="53"/>
      <c r="K399" s="101"/>
    </row>
    <row r="400" spans="1:11" ht="19.5" customHeight="1">
      <c r="A400" s="80"/>
      <c r="B400" s="12"/>
      <c r="C400" s="13"/>
      <c r="D400" s="16"/>
      <c r="E400" s="51"/>
      <c r="F400" s="72" t="str">
        <f>IF(E395=0,"","C"&amp;E395&amp;"-1")</f>
        <v/>
      </c>
      <c r="G400" s="50"/>
      <c r="H400" s="52"/>
      <c r="I400" s="130"/>
      <c r="J400" s="53"/>
      <c r="K400" s="101"/>
    </row>
    <row r="401" spans="1:11" ht="19.5" customHeight="1">
      <c r="A401" s="78" t="str">
        <f>IF(ROUNDUP($D$3/3,0)&gt;A383,A383+1,"")</f>
        <v/>
      </c>
      <c r="B401" s="3"/>
      <c r="C401" s="4"/>
      <c r="D401" s="14"/>
      <c r="E401" s="48">
        <f>IF(AND(E395&gt;1,$D$3&gt;=E395+1),E395+1,0)</f>
        <v>0</v>
      </c>
      <c r="F401" s="72" t="str">
        <f>IF(E401=0,"","A"&amp;E401&amp;"-0")</f>
        <v/>
      </c>
      <c r="G401" s="50"/>
      <c r="H401" s="52"/>
      <c r="I401" s="130"/>
      <c r="J401" s="53"/>
      <c r="K401" s="101"/>
    </row>
    <row r="402" spans="1:11" ht="19.5" customHeight="1">
      <c r="A402" s="79"/>
      <c r="B402" s="10"/>
      <c r="C402" s="11"/>
      <c r="D402" s="15"/>
      <c r="E402" s="49" t="s">
        <v>52</v>
      </c>
      <c r="F402" s="72" t="str">
        <f>IF(E401=0,"","A"&amp;E401&amp;"-1")</f>
        <v/>
      </c>
      <c r="G402" s="50"/>
      <c r="H402" s="52"/>
      <c r="I402" s="130"/>
      <c r="J402" s="53"/>
      <c r="K402" s="101"/>
    </row>
    <row r="403" spans="1:11" ht="19.5" customHeight="1">
      <c r="A403" s="79"/>
      <c r="B403" s="10"/>
      <c r="C403" s="11"/>
      <c r="D403" s="15"/>
      <c r="E403" s="49"/>
      <c r="F403" s="72" t="str">
        <f>IF(E401=0,"","B"&amp;E401&amp;"-0")</f>
        <v/>
      </c>
      <c r="G403" s="50"/>
      <c r="H403" s="52"/>
      <c r="I403" s="130"/>
      <c r="J403" s="53"/>
      <c r="K403" s="101"/>
    </row>
    <row r="404" spans="1:11" ht="19.5" customHeight="1">
      <c r="A404" s="79"/>
      <c r="B404" s="10"/>
      <c r="C404" s="11"/>
      <c r="D404" s="15"/>
      <c r="E404" s="49"/>
      <c r="F404" s="72" t="str">
        <f>IF(E401=0,"","B"&amp;E401&amp;"-1")</f>
        <v/>
      </c>
      <c r="G404" s="50"/>
      <c r="H404" s="52"/>
      <c r="I404" s="130"/>
      <c r="J404" s="53"/>
      <c r="K404" s="101"/>
    </row>
    <row r="405" spans="1:11" ht="19.5" customHeight="1">
      <c r="A405" s="79"/>
      <c r="B405" s="10"/>
      <c r="C405" s="11"/>
      <c r="D405" s="15"/>
      <c r="E405" s="49"/>
      <c r="F405" s="72" t="str">
        <f>IF(E401=0,"","C"&amp;E401&amp;"-0")</f>
        <v/>
      </c>
      <c r="G405" s="50"/>
      <c r="H405" s="52"/>
      <c r="I405" s="130"/>
      <c r="J405" s="53"/>
      <c r="K405" s="101"/>
    </row>
    <row r="406" spans="1:11" ht="19.5" customHeight="1">
      <c r="A406" s="79"/>
      <c r="B406" s="10"/>
      <c r="C406" s="11"/>
      <c r="D406" s="15"/>
      <c r="E406" s="51"/>
      <c r="F406" s="72" t="str">
        <f>IF(E401=0,"","C"&amp;E401&amp;"-1")</f>
        <v/>
      </c>
      <c r="G406" s="50"/>
      <c r="H406" s="52"/>
      <c r="I406" s="130"/>
      <c r="J406" s="53"/>
      <c r="K406" s="101"/>
    </row>
    <row r="407" spans="1:11" ht="19.5" customHeight="1">
      <c r="A407" s="79"/>
      <c r="B407" s="10"/>
      <c r="C407" s="11"/>
      <c r="D407" s="15"/>
      <c r="E407" s="48">
        <f>IF(AND(E401&gt;1,$D$3&gt;=E401+1),E401+1,0)</f>
        <v>0</v>
      </c>
      <c r="F407" s="72" t="str">
        <f>IF(E407=0,"","A"&amp;E407&amp;"-0")</f>
        <v/>
      </c>
      <c r="G407" s="50"/>
      <c r="H407" s="52"/>
      <c r="I407" s="130"/>
      <c r="J407" s="53"/>
      <c r="K407" s="101"/>
    </row>
    <row r="408" spans="1:11" ht="19.5" customHeight="1">
      <c r="A408" s="79"/>
      <c r="B408" s="10"/>
      <c r="C408" s="11"/>
      <c r="D408" s="15"/>
      <c r="E408" s="49" t="s">
        <v>53</v>
      </c>
      <c r="F408" s="72" t="str">
        <f>IF(E407=0,"","A"&amp;E407&amp;"-1")</f>
        <v/>
      </c>
      <c r="G408" s="50"/>
      <c r="H408" s="52"/>
      <c r="I408" s="130"/>
      <c r="J408" s="53"/>
      <c r="K408" s="101"/>
    </row>
    <row r="409" spans="1:11" ht="19.5" customHeight="1">
      <c r="A409" s="79"/>
      <c r="B409" s="10"/>
      <c r="C409" s="11"/>
      <c r="D409" s="15"/>
      <c r="E409" s="49"/>
      <c r="F409" s="72" t="str">
        <f>IF(E407=0,"","B"&amp;E407&amp;"-0")</f>
        <v/>
      </c>
      <c r="G409" s="50"/>
      <c r="H409" s="52"/>
      <c r="I409" s="130"/>
      <c r="J409" s="53"/>
      <c r="K409" s="101"/>
    </row>
    <row r="410" spans="1:11" ht="19.5" customHeight="1">
      <c r="A410" s="79"/>
      <c r="B410" s="10"/>
      <c r="C410" s="11"/>
      <c r="D410" s="15"/>
      <c r="E410" s="49"/>
      <c r="F410" s="72" t="str">
        <f>IF(E407=0,"","B"&amp;E407&amp;"-1")</f>
        <v/>
      </c>
      <c r="G410" s="50"/>
      <c r="H410" s="52"/>
      <c r="I410" s="130"/>
      <c r="J410" s="53"/>
      <c r="K410" s="101"/>
    </row>
    <row r="411" spans="1:11" ht="19.5" customHeight="1">
      <c r="A411" s="79"/>
      <c r="B411" s="10"/>
      <c r="C411" s="11"/>
      <c r="D411" s="15"/>
      <c r="E411" s="49"/>
      <c r="F411" s="72" t="str">
        <f>IF(E407=0,"","C"&amp;E407&amp;"-0")</f>
        <v/>
      </c>
      <c r="G411" s="50"/>
      <c r="H411" s="52"/>
      <c r="I411" s="130"/>
      <c r="J411" s="53"/>
      <c r="K411" s="101"/>
    </row>
    <row r="412" spans="1:11" ht="19.5" customHeight="1">
      <c r="A412" s="79"/>
      <c r="B412" s="10"/>
      <c r="C412" s="11"/>
      <c r="D412" s="15"/>
      <c r="E412" s="51"/>
      <c r="F412" s="72" t="str">
        <f>IF(E407=0,"","C"&amp;E407&amp;"-1")</f>
        <v/>
      </c>
      <c r="G412" s="50"/>
      <c r="H412" s="52"/>
      <c r="I412" s="130"/>
      <c r="J412" s="53"/>
      <c r="K412" s="101"/>
    </row>
    <row r="413" spans="1:11" ht="19.5" customHeight="1">
      <c r="A413" s="79"/>
      <c r="B413" s="10"/>
      <c r="C413" s="11"/>
      <c r="D413" s="15"/>
      <c r="E413" s="48">
        <f>IF(AND(E407&gt;1,$D$3&gt;=E407+1),E407+1,0)</f>
        <v>0</v>
      </c>
      <c r="F413" s="72" t="str">
        <f>IF(E413=0,"","A"&amp;E413&amp;"-0")</f>
        <v/>
      </c>
      <c r="G413" s="50"/>
      <c r="H413" s="52"/>
      <c r="I413" s="130"/>
      <c r="J413" s="53"/>
      <c r="K413" s="101"/>
    </row>
    <row r="414" spans="1:11" ht="19.5" customHeight="1">
      <c r="A414" s="79"/>
      <c r="B414" s="10"/>
      <c r="C414" s="11"/>
      <c r="D414" s="15"/>
      <c r="E414" s="49" t="s">
        <v>54</v>
      </c>
      <c r="F414" s="72" t="str">
        <f>IF(E413=0,"","A"&amp;E413&amp;"-1")</f>
        <v/>
      </c>
      <c r="G414" s="50"/>
      <c r="H414" s="52"/>
      <c r="I414" s="130"/>
      <c r="J414" s="53"/>
      <c r="K414" s="101"/>
    </row>
    <row r="415" spans="1:11" ht="19.5" customHeight="1">
      <c r="A415" s="79"/>
      <c r="B415" s="10"/>
      <c r="C415" s="11"/>
      <c r="D415" s="15"/>
      <c r="E415" s="49"/>
      <c r="F415" s="72" t="str">
        <f>IF(E413=0,"","B"&amp;E413&amp;"-0")</f>
        <v/>
      </c>
      <c r="G415" s="50"/>
      <c r="H415" s="52"/>
      <c r="I415" s="130"/>
      <c r="J415" s="53"/>
      <c r="K415" s="101"/>
    </row>
    <row r="416" spans="1:11" ht="19.5" customHeight="1">
      <c r="A416" s="79"/>
      <c r="B416" s="10"/>
      <c r="C416" s="11"/>
      <c r="D416" s="15"/>
      <c r="E416" s="49"/>
      <c r="F416" s="72" t="str">
        <f>IF(E413=0,"","B"&amp;E413&amp;"-1")</f>
        <v/>
      </c>
      <c r="G416" s="50"/>
      <c r="H416" s="52"/>
      <c r="I416" s="130"/>
      <c r="J416" s="53"/>
      <c r="K416" s="101"/>
    </row>
    <row r="417" spans="1:11" ht="19.5" customHeight="1">
      <c r="A417" s="79"/>
      <c r="B417" s="10"/>
      <c r="C417" s="11"/>
      <c r="D417" s="15"/>
      <c r="E417" s="49"/>
      <c r="F417" s="72" t="str">
        <f>IF(E413=0,"","C"&amp;E413&amp;"-0")</f>
        <v/>
      </c>
      <c r="G417" s="50"/>
      <c r="H417" s="52"/>
      <c r="I417" s="130"/>
      <c r="J417" s="53"/>
      <c r="K417" s="101"/>
    </row>
    <row r="418" spans="1:11" ht="19.5" customHeight="1">
      <c r="A418" s="80"/>
      <c r="B418" s="12"/>
      <c r="C418" s="13"/>
      <c r="D418" s="16"/>
      <c r="E418" s="51"/>
      <c r="F418" s="72" t="str">
        <f>IF(E413=0,"","C"&amp;E413&amp;"-1")</f>
        <v/>
      </c>
      <c r="G418" s="50"/>
      <c r="H418" s="52"/>
      <c r="I418" s="130"/>
      <c r="J418" s="53"/>
      <c r="K418" s="101"/>
    </row>
    <row r="419" spans="1:11" ht="19.5" customHeight="1">
      <c r="A419" s="78" t="str">
        <f>IF(ROUNDUP($D$3/3,0)&gt;A401,A401+1,"")</f>
        <v/>
      </c>
      <c r="B419" s="3"/>
      <c r="C419" s="4"/>
      <c r="D419" s="14"/>
      <c r="E419" s="48">
        <f>IF(AND(E413&gt;1,$D$3&gt;=E413+1),E413+1,0)</f>
        <v>0</v>
      </c>
      <c r="F419" s="72" t="str">
        <f>IF(E419=0,"","A"&amp;E419&amp;"-0")</f>
        <v/>
      </c>
      <c r="G419" s="50"/>
      <c r="H419" s="52"/>
      <c r="I419" s="130"/>
      <c r="J419" s="53"/>
      <c r="K419" s="101"/>
    </row>
    <row r="420" spans="1:11" ht="19.5" customHeight="1">
      <c r="A420" s="79"/>
      <c r="B420" s="10"/>
      <c r="C420" s="11"/>
      <c r="D420" s="15"/>
      <c r="E420" s="49" t="s">
        <v>52</v>
      </c>
      <c r="F420" s="72" t="str">
        <f>IF(E419=0,"","A"&amp;E419&amp;"-1")</f>
        <v/>
      </c>
      <c r="G420" s="50"/>
      <c r="H420" s="52"/>
      <c r="I420" s="130"/>
      <c r="J420" s="53"/>
      <c r="K420" s="101"/>
    </row>
    <row r="421" spans="1:11" ht="19.5" customHeight="1">
      <c r="A421" s="79"/>
      <c r="B421" s="10"/>
      <c r="C421" s="11"/>
      <c r="D421" s="15"/>
      <c r="E421" s="49"/>
      <c r="F421" s="72" t="str">
        <f>IF(E419=0,"","B"&amp;E419&amp;"-0")</f>
        <v/>
      </c>
      <c r="G421" s="50"/>
      <c r="H421" s="52"/>
      <c r="I421" s="130"/>
      <c r="J421" s="53"/>
      <c r="K421" s="101"/>
    </row>
    <row r="422" spans="1:11" ht="19.5" customHeight="1">
      <c r="A422" s="79"/>
      <c r="B422" s="10"/>
      <c r="C422" s="11"/>
      <c r="D422" s="15"/>
      <c r="E422" s="49"/>
      <c r="F422" s="72" t="str">
        <f>IF(E419=0,"","B"&amp;E419&amp;"-1")</f>
        <v/>
      </c>
      <c r="G422" s="50"/>
      <c r="H422" s="52"/>
      <c r="I422" s="130"/>
      <c r="J422" s="53"/>
      <c r="K422" s="101"/>
    </row>
    <row r="423" spans="1:11" ht="19.5" customHeight="1">
      <c r="A423" s="79"/>
      <c r="B423" s="10"/>
      <c r="C423" s="11"/>
      <c r="D423" s="15"/>
      <c r="E423" s="49"/>
      <c r="F423" s="72" t="str">
        <f>IF(E419=0,"","C"&amp;E419&amp;"-0")</f>
        <v/>
      </c>
      <c r="G423" s="50"/>
      <c r="H423" s="52"/>
      <c r="I423" s="130"/>
      <c r="J423" s="53"/>
      <c r="K423" s="101"/>
    </row>
    <row r="424" spans="1:11" ht="19.5" customHeight="1">
      <c r="A424" s="79"/>
      <c r="B424" s="10"/>
      <c r="C424" s="11"/>
      <c r="D424" s="15"/>
      <c r="E424" s="51"/>
      <c r="F424" s="72" t="str">
        <f>IF(E419=0,"","C"&amp;E419&amp;"-1")</f>
        <v/>
      </c>
      <c r="G424" s="50"/>
      <c r="H424" s="52"/>
      <c r="I424" s="130"/>
      <c r="J424" s="53"/>
      <c r="K424" s="101"/>
    </row>
    <row r="425" spans="1:11" ht="19.5" customHeight="1">
      <c r="A425" s="79"/>
      <c r="B425" s="10"/>
      <c r="C425" s="11"/>
      <c r="D425" s="15"/>
      <c r="E425" s="48">
        <f>IF(AND(E419&gt;1,$D$3&gt;=E419+1),E419+1,0)</f>
        <v>0</v>
      </c>
      <c r="F425" s="72" t="str">
        <f>IF(E425=0,"","A"&amp;E425&amp;"-0")</f>
        <v/>
      </c>
      <c r="G425" s="50"/>
      <c r="H425" s="52"/>
      <c r="I425" s="130"/>
      <c r="J425" s="53"/>
      <c r="K425" s="101"/>
    </row>
    <row r="426" spans="1:11" ht="19.5" customHeight="1">
      <c r="A426" s="79"/>
      <c r="B426" s="10"/>
      <c r="C426" s="11"/>
      <c r="D426" s="15"/>
      <c r="E426" s="49" t="s">
        <v>53</v>
      </c>
      <c r="F426" s="72" t="str">
        <f>IF(E425=0,"","A"&amp;E425&amp;"-1")</f>
        <v/>
      </c>
      <c r="G426" s="50"/>
      <c r="H426" s="52"/>
      <c r="I426" s="130"/>
      <c r="J426" s="53"/>
      <c r="K426" s="101"/>
    </row>
    <row r="427" spans="1:11" ht="19.5" customHeight="1">
      <c r="A427" s="79"/>
      <c r="B427" s="10"/>
      <c r="C427" s="11"/>
      <c r="D427" s="15"/>
      <c r="E427" s="49"/>
      <c r="F427" s="72" t="str">
        <f>IF(E425=0,"","B"&amp;E425&amp;"-0")</f>
        <v/>
      </c>
      <c r="G427" s="50"/>
      <c r="H427" s="52"/>
      <c r="I427" s="130"/>
      <c r="J427" s="53"/>
      <c r="K427" s="101"/>
    </row>
    <row r="428" spans="1:11" ht="19.5" customHeight="1">
      <c r="A428" s="79"/>
      <c r="B428" s="10"/>
      <c r="C428" s="11"/>
      <c r="D428" s="15"/>
      <c r="E428" s="49"/>
      <c r="F428" s="72" t="str">
        <f>IF(E425=0,"","B"&amp;E425&amp;"-1")</f>
        <v/>
      </c>
      <c r="G428" s="50"/>
      <c r="H428" s="52"/>
      <c r="I428" s="130"/>
      <c r="J428" s="53"/>
      <c r="K428" s="101"/>
    </row>
    <row r="429" spans="1:11" ht="19.5" customHeight="1">
      <c r="A429" s="79"/>
      <c r="B429" s="10"/>
      <c r="C429" s="11"/>
      <c r="D429" s="15"/>
      <c r="E429" s="49"/>
      <c r="F429" s="72" t="str">
        <f>IF(E425=0,"","C"&amp;E425&amp;"-0")</f>
        <v/>
      </c>
      <c r="G429" s="50"/>
      <c r="H429" s="52"/>
      <c r="I429" s="130"/>
      <c r="J429" s="53"/>
      <c r="K429" s="101"/>
    </row>
    <row r="430" spans="1:11" ht="19.5" customHeight="1">
      <c r="A430" s="79"/>
      <c r="B430" s="10"/>
      <c r="C430" s="11"/>
      <c r="D430" s="15"/>
      <c r="E430" s="51"/>
      <c r="F430" s="72" t="str">
        <f>IF(E425=0,"","C"&amp;E425&amp;"-1")</f>
        <v/>
      </c>
      <c r="G430" s="50"/>
      <c r="H430" s="52"/>
      <c r="I430" s="130"/>
      <c r="J430" s="53"/>
      <c r="K430" s="101"/>
    </row>
    <row r="431" spans="1:11" ht="19.5" customHeight="1">
      <c r="A431" s="79"/>
      <c r="B431" s="10"/>
      <c r="C431" s="11"/>
      <c r="D431" s="15"/>
      <c r="E431" s="48">
        <f>IF(AND(E425&gt;1,$D$3&gt;=E425+1),E425+1,0)</f>
        <v>0</v>
      </c>
      <c r="F431" s="72" t="str">
        <f>IF(E431=0,"","A"&amp;E431&amp;"-0")</f>
        <v/>
      </c>
      <c r="G431" s="50"/>
      <c r="H431" s="52"/>
      <c r="I431" s="130"/>
      <c r="J431" s="53"/>
      <c r="K431" s="101"/>
    </row>
    <row r="432" spans="1:11" ht="19.5" customHeight="1">
      <c r="A432" s="79"/>
      <c r="B432" s="10"/>
      <c r="C432" s="11"/>
      <c r="D432" s="15"/>
      <c r="E432" s="49" t="s">
        <v>54</v>
      </c>
      <c r="F432" s="72" t="str">
        <f>IF(E431=0,"","A"&amp;E431&amp;"-1")</f>
        <v/>
      </c>
      <c r="G432" s="50"/>
      <c r="H432" s="52"/>
      <c r="I432" s="130"/>
      <c r="J432" s="53"/>
      <c r="K432" s="101"/>
    </row>
    <row r="433" spans="1:11" ht="19.5" customHeight="1">
      <c r="A433" s="79"/>
      <c r="B433" s="10"/>
      <c r="C433" s="11"/>
      <c r="D433" s="15"/>
      <c r="E433" s="49"/>
      <c r="F433" s="72" t="str">
        <f>IF(E431=0,"","B"&amp;E431&amp;"-0")</f>
        <v/>
      </c>
      <c r="G433" s="50"/>
      <c r="H433" s="52"/>
      <c r="I433" s="130"/>
      <c r="J433" s="53"/>
      <c r="K433" s="101"/>
    </row>
    <row r="434" spans="1:11" ht="19.5" customHeight="1">
      <c r="A434" s="79"/>
      <c r="B434" s="10"/>
      <c r="C434" s="11"/>
      <c r="D434" s="15"/>
      <c r="E434" s="49"/>
      <c r="F434" s="72" t="str">
        <f>IF(E431=0,"","B"&amp;E431&amp;"-1")</f>
        <v/>
      </c>
      <c r="G434" s="50"/>
      <c r="H434" s="52"/>
      <c r="I434" s="130"/>
      <c r="J434" s="53"/>
      <c r="K434" s="101"/>
    </row>
    <row r="435" spans="1:11" ht="19.5" customHeight="1">
      <c r="A435" s="79"/>
      <c r="B435" s="10"/>
      <c r="C435" s="11"/>
      <c r="D435" s="15"/>
      <c r="E435" s="49"/>
      <c r="F435" s="72" t="str">
        <f>IF(E431=0,"","C"&amp;E431&amp;"-0")</f>
        <v/>
      </c>
      <c r="G435" s="50"/>
      <c r="H435" s="52"/>
      <c r="I435" s="130"/>
      <c r="J435" s="53"/>
      <c r="K435" s="101"/>
    </row>
    <row r="436" spans="1:11" ht="19.5" customHeight="1">
      <c r="A436" s="80"/>
      <c r="B436" s="12"/>
      <c r="C436" s="13"/>
      <c r="D436" s="16"/>
      <c r="E436" s="51"/>
      <c r="F436" s="72" t="str">
        <f>IF(E431=0,"","C"&amp;E431&amp;"-1")</f>
        <v/>
      </c>
      <c r="G436" s="50"/>
      <c r="H436" s="52"/>
      <c r="I436" s="130"/>
      <c r="J436" s="53"/>
      <c r="K436" s="101"/>
    </row>
    <row r="437" spans="1:11" ht="19.5" customHeight="1">
      <c r="A437" s="78" t="str">
        <f>IF(ROUNDUP($D$3/3,0)&gt;A419,A419+1,"")</f>
        <v/>
      </c>
      <c r="B437" s="3"/>
      <c r="C437" s="4"/>
      <c r="D437" s="14"/>
      <c r="E437" s="48">
        <f>IF(AND(E431&gt;1,$D$3&gt;=E431+1),E431+1,0)</f>
        <v>0</v>
      </c>
      <c r="F437" s="72" t="str">
        <f>IF(E437=0,"","A"&amp;E437&amp;"-0")</f>
        <v/>
      </c>
      <c r="G437" s="50"/>
      <c r="H437" s="52"/>
      <c r="I437" s="130"/>
      <c r="J437" s="53"/>
      <c r="K437" s="101"/>
    </row>
    <row r="438" spans="1:11" ht="19.5" customHeight="1">
      <c r="A438" s="79"/>
      <c r="B438" s="10"/>
      <c r="C438" s="11"/>
      <c r="D438" s="15"/>
      <c r="E438" s="49" t="s">
        <v>52</v>
      </c>
      <c r="F438" s="72" t="str">
        <f>IF(E437=0,"","A"&amp;E437&amp;"-1")</f>
        <v/>
      </c>
      <c r="G438" s="50"/>
      <c r="H438" s="52"/>
      <c r="I438" s="130"/>
      <c r="J438" s="53"/>
      <c r="K438" s="101"/>
    </row>
    <row r="439" spans="1:11" ht="19.5" customHeight="1">
      <c r="A439" s="79"/>
      <c r="B439" s="10"/>
      <c r="C439" s="11"/>
      <c r="D439" s="15"/>
      <c r="E439" s="49"/>
      <c r="F439" s="72" t="str">
        <f>IF(E437=0,"","B"&amp;E437&amp;"-0")</f>
        <v/>
      </c>
      <c r="G439" s="50"/>
      <c r="H439" s="52"/>
      <c r="I439" s="130"/>
      <c r="J439" s="53"/>
      <c r="K439" s="101"/>
    </row>
    <row r="440" spans="1:11" ht="19.5" customHeight="1">
      <c r="A440" s="79"/>
      <c r="B440" s="10"/>
      <c r="C440" s="11"/>
      <c r="D440" s="15"/>
      <c r="E440" s="49"/>
      <c r="F440" s="72" t="str">
        <f>IF(E437=0,"","B"&amp;E437&amp;"-1")</f>
        <v/>
      </c>
      <c r="G440" s="50"/>
      <c r="H440" s="52"/>
      <c r="I440" s="130"/>
      <c r="J440" s="53"/>
      <c r="K440" s="101"/>
    </row>
    <row r="441" spans="1:11" ht="19.5" customHeight="1">
      <c r="A441" s="79"/>
      <c r="B441" s="10"/>
      <c r="C441" s="11"/>
      <c r="D441" s="15"/>
      <c r="E441" s="49"/>
      <c r="F441" s="72" t="str">
        <f>IF(E437=0,"","C"&amp;E437&amp;"-0")</f>
        <v/>
      </c>
      <c r="G441" s="50"/>
      <c r="H441" s="52"/>
      <c r="I441" s="130"/>
      <c r="J441" s="53"/>
      <c r="K441" s="101"/>
    </row>
    <row r="442" spans="1:11" ht="19.5" customHeight="1">
      <c r="A442" s="79"/>
      <c r="B442" s="10"/>
      <c r="C442" s="11"/>
      <c r="D442" s="15"/>
      <c r="E442" s="51"/>
      <c r="F442" s="72" t="str">
        <f>IF(E437=0,"","C"&amp;E437&amp;"-1")</f>
        <v/>
      </c>
      <c r="G442" s="50"/>
      <c r="H442" s="52"/>
      <c r="I442" s="130"/>
      <c r="J442" s="53"/>
      <c r="K442" s="101"/>
    </row>
    <row r="443" spans="1:11" ht="19.5" customHeight="1">
      <c r="A443" s="79"/>
      <c r="B443" s="10"/>
      <c r="C443" s="11"/>
      <c r="D443" s="15"/>
      <c r="E443" s="48">
        <f>IF(AND(E437&gt;1,$D$3&gt;=E437+1),E437+1,0)</f>
        <v>0</v>
      </c>
      <c r="F443" s="72" t="str">
        <f>IF(E443=0,"","A"&amp;E443&amp;"-0")</f>
        <v/>
      </c>
      <c r="G443" s="50"/>
      <c r="H443" s="52"/>
      <c r="I443" s="130"/>
      <c r="J443" s="53"/>
      <c r="K443" s="101"/>
    </row>
    <row r="444" spans="1:11" ht="19.5" customHeight="1">
      <c r="A444" s="79"/>
      <c r="B444" s="10"/>
      <c r="C444" s="11"/>
      <c r="D444" s="15"/>
      <c r="E444" s="49" t="s">
        <v>53</v>
      </c>
      <c r="F444" s="72" t="str">
        <f>IF(E443=0,"","A"&amp;E443&amp;"-1")</f>
        <v/>
      </c>
      <c r="G444" s="50"/>
      <c r="H444" s="52"/>
      <c r="I444" s="130"/>
      <c r="J444" s="53"/>
      <c r="K444" s="101"/>
    </row>
    <row r="445" spans="1:11" ht="19.5" customHeight="1">
      <c r="A445" s="79"/>
      <c r="B445" s="10"/>
      <c r="C445" s="11"/>
      <c r="D445" s="15"/>
      <c r="E445" s="49"/>
      <c r="F445" s="72" t="str">
        <f>IF(E443=0,"","B"&amp;E443&amp;"-0")</f>
        <v/>
      </c>
      <c r="G445" s="50"/>
      <c r="H445" s="52"/>
      <c r="I445" s="130"/>
      <c r="J445" s="53"/>
      <c r="K445" s="101"/>
    </row>
    <row r="446" spans="1:11" ht="19.5" customHeight="1">
      <c r="A446" s="79"/>
      <c r="B446" s="10"/>
      <c r="C446" s="11"/>
      <c r="D446" s="15"/>
      <c r="E446" s="49"/>
      <c r="F446" s="72" t="str">
        <f>IF(E443=0,"","B"&amp;E443&amp;"-1")</f>
        <v/>
      </c>
      <c r="G446" s="50"/>
      <c r="H446" s="52"/>
      <c r="I446" s="130"/>
      <c r="J446" s="53"/>
      <c r="K446" s="101"/>
    </row>
    <row r="447" spans="1:11" ht="19.5" customHeight="1">
      <c r="A447" s="79"/>
      <c r="B447" s="10"/>
      <c r="C447" s="11"/>
      <c r="D447" s="15"/>
      <c r="E447" s="49"/>
      <c r="F447" s="72" t="str">
        <f>IF(E443=0,"","C"&amp;E443&amp;"-0")</f>
        <v/>
      </c>
      <c r="G447" s="50"/>
      <c r="H447" s="52"/>
      <c r="I447" s="130"/>
      <c r="J447" s="53"/>
      <c r="K447" s="101"/>
    </row>
    <row r="448" spans="1:11" ht="19.5" customHeight="1">
      <c r="A448" s="79"/>
      <c r="B448" s="10"/>
      <c r="C448" s="11"/>
      <c r="D448" s="15"/>
      <c r="E448" s="51"/>
      <c r="F448" s="72" t="str">
        <f>IF(E443=0,"","C"&amp;E443&amp;"-1")</f>
        <v/>
      </c>
      <c r="G448" s="50"/>
      <c r="H448" s="52"/>
      <c r="I448" s="130"/>
      <c r="J448" s="53"/>
      <c r="K448" s="101"/>
    </row>
    <row r="449" spans="1:11" ht="19.5" customHeight="1">
      <c r="A449" s="79"/>
      <c r="B449" s="10"/>
      <c r="C449" s="11"/>
      <c r="D449" s="15"/>
      <c r="E449" s="48">
        <f>IF(AND(E443&gt;1,$D$3&gt;=E443+1),E443+1,0)</f>
        <v>0</v>
      </c>
      <c r="F449" s="72" t="str">
        <f>IF(E449=0,"","A"&amp;E449&amp;"-0")</f>
        <v/>
      </c>
      <c r="G449" s="50"/>
      <c r="H449" s="52"/>
      <c r="I449" s="130"/>
      <c r="J449" s="53"/>
      <c r="K449" s="101"/>
    </row>
    <row r="450" spans="1:11" ht="19.5" customHeight="1">
      <c r="A450" s="79"/>
      <c r="B450" s="10"/>
      <c r="C450" s="11"/>
      <c r="D450" s="15"/>
      <c r="E450" s="49" t="s">
        <v>54</v>
      </c>
      <c r="F450" s="72" t="str">
        <f>IF(E449=0,"","A"&amp;E449&amp;"-1")</f>
        <v/>
      </c>
      <c r="G450" s="50"/>
      <c r="H450" s="52"/>
      <c r="I450" s="130"/>
      <c r="J450" s="53"/>
      <c r="K450" s="101"/>
    </row>
    <row r="451" spans="1:11" ht="19.5" customHeight="1">
      <c r="A451" s="79"/>
      <c r="B451" s="10"/>
      <c r="C451" s="11"/>
      <c r="D451" s="15"/>
      <c r="E451" s="49"/>
      <c r="F451" s="72" t="str">
        <f>IF(E449=0,"","B"&amp;E449&amp;"-0")</f>
        <v/>
      </c>
      <c r="G451" s="50"/>
      <c r="H451" s="52"/>
      <c r="I451" s="130"/>
      <c r="J451" s="53"/>
      <c r="K451" s="101"/>
    </row>
    <row r="452" spans="1:11" ht="19.5" customHeight="1">
      <c r="A452" s="79"/>
      <c r="B452" s="10"/>
      <c r="C452" s="11"/>
      <c r="D452" s="15"/>
      <c r="E452" s="49"/>
      <c r="F452" s="72" t="str">
        <f>IF(E449=0,"","B"&amp;E449&amp;"-1")</f>
        <v/>
      </c>
      <c r="G452" s="50"/>
      <c r="H452" s="52"/>
      <c r="I452" s="130"/>
      <c r="J452" s="53"/>
      <c r="K452" s="101"/>
    </row>
    <row r="453" spans="1:11" ht="19.5" customHeight="1">
      <c r="A453" s="79"/>
      <c r="B453" s="10"/>
      <c r="C453" s="11"/>
      <c r="D453" s="15"/>
      <c r="E453" s="49"/>
      <c r="F453" s="72" t="str">
        <f>IF(E449=0,"","C"&amp;E449&amp;"-0")</f>
        <v/>
      </c>
      <c r="G453" s="50"/>
      <c r="H453" s="52"/>
      <c r="I453" s="130"/>
      <c r="J453" s="53"/>
      <c r="K453" s="101"/>
    </row>
    <row r="454" spans="1:11" ht="19.5" customHeight="1">
      <c r="A454" s="80"/>
      <c r="B454" s="12"/>
      <c r="C454" s="13"/>
      <c r="D454" s="16"/>
      <c r="E454" s="51"/>
      <c r="F454" s="72" t="str">
        <f>IF(E449=0,"","C"&amp;E449&amp;"-1")</f>
        <v/>
      </c>
      <c r="G454" s="50"/>
      <c r="H454" s="52"/>
      <c r="I454" s="130"/>
      <c r="J454" s="53"/>
      <c r="K454" s="101"/>
    </row>
    <row r="455" spans="1:11" ht="19.5" customHeight="1">
      <c r="A455" s="78" t="str">
        <f>IF(ROUNDUP($D$3/3,0)&gt;A437,A437+1,"")</f>
        <v/>
      </c>
      <c r="B455" s="3"/>
      <c r="C455" s="4"/>
      <c r="D455" s="14"/>
      <c r="E455" s="48">
        <f>IF(AND(E449&gt;1,$D$3&gt;=E449+1),E449+1,0)</f>
        <v>0</v>
      </c>
      <c r="F455" s="72" t="str">
        <f>IF(E455=0,"","A"&amp;E455&amp;"-0")</f>
        <v/>
      </c>
      <c r="G455" s="50"/>
      <c r="H455" s="52"/>
      <c r="I455" s="130"/>
      <c r="J455" s="53"/>
      <c r="K455" s="101"/>
    </row>
    <row r="456" spans="1:11" ht="19.5" customHeight="1">
      <c r="A456" s="79"/>
      <c r="B456" s="10"/>
      <c r="C456" s="11"/>
      <c r="D456" s="15"/>
      <c r="E456" s="49" t="s">
        <v>52</v>
      </c>
      <c r="F456" s="72" t="str">
        <f>IF(E455=0,"","A"&amp;E455&amp;"-1")</f>
        <v/>
      </c>
      <c r="G456" s="50"/>
      <c r="H456" s="52"/>
      <c r="I456" s="130"/>
      <c r="J456" s="53"/>
      <c r="K456" s="101"/>
    </row>
    <row r="457" spans="1:11" ht="19.5" customHeight="1">
      <c r="A457" s="79"/>
      <c r="B457" s="10"/>
      <c r="C457" s="11"/>
      <c r="D457" s="15"/>
      <c r="E457" s="49"/>
      <c r="F457" s="72" t="str">
        <f>IF(E455=0,"","B"&amp;E455&amp;"-0")</f>
        <v/>
      </c>
      <c r="G457" s="50"/>
      <c r="H457" s="52"/>
      <c r="I457" s="130"/>
      <c r="J457" s="53"/>
      <c r="K457" s="101"/>
    </row>
    <row r="458" spans="1:11" ht="19.5" customHeight="1">
      <c r="A458" s="79"/>
      <c r="B458" s="10"/>
      <c r="C458" s="11"/>
      <c r="D458" s="15"/>
      <c r="E458" s="49"/>
      <c r="F458" s="72" t="str">
        <f>IF(E455=0,"","B"&amp;E455&amp;"-1")</f>
        <v/>
      </c>
      <c r="G458" s="50"/>
      <c r="H458" s="52"/>
      <c r="I458" s="130"/>
      <c r="J458" s="53"/>
      <c r="K458" s="101"/>
    </row>
    <row r="459" spans="1:11" ht="19.5" customHeight="1">
      <c r="A459" s="79"/>
      <c r="B459" s="10"/>
      <c r="C459" s="11"/>
      <c r="D459" s="15"/>
      <c r="E459" s="49"/>
      <c r="F459" s="72" t="str">
        <f>IF(E455=0,"","C"&amp;E455&amp;"-0")</f>
        <v/>
      </c>
      <c r="G459" s="50"/>
      <c r="H459" s="52"/>
      <c r="I459" s="130"/>
      <c r="J459" s="53"/>
      <c r="K459" s="101"/>
    </row>
    <row r="460" spans="1:11" ht="19.5" customHeight="1">
      <c r="A460" s="79"/>
      <c r="B460" s="10"/>
      <c r="C460" s="11"/>
      <c r="D460" s="15"/>
      <c r="E460" s="51"/>
      <c r="F460" s="72" t="str">
        <f>IF(E455=0,"","C"&amp;E455&amp;"-1")</f>
        <v/>
      </c>
      <c r="G460" s="50"/>
      <c r="H460" s="52"/>
      <c r="I460" s="130"/>
      <c r="J460" s="53"/>
      <c r="K460" s="101"/>
    </row>
    <row r="461" spans="1:11" ht="19.5" customHeight="1">
      <c r="A461" s="79"/>
      <c r="B461" s="10"/>
      <c r="C461" s="11"/>
      <c r="D461" s="15"/>
      <c r="E461" s="48">
        <f>IF(AND(E455&gt;1,$D$3&gt;=E455+1),E455+1,0)</f>
        <v>0</v>
      </c>
      <c r="F461" s="72" t="str">
        <f>IF(E461=0,"","A"&amp;E461&amp;"-0")</f>
        <v/>
      </c>
      <c r="G461" s="50"/>
      <c r="H461" s="52"/>
      <c r="I461" s="130"/>
      <c r="J461" s="53"/>
      <c r="K461" s="101"/>
    </row>
    <row r="462" spans="1:11" ht="19.5" customHeight="1">
      <c r="A462" s="79"/>
      <c r="B462" s="10"/>
      <c r="C462" s="11"/>
      <c r="D462" s="15"/>
      <c r="E462" s="49" t="s">
        <v>53</v>
      </c>
      <c r="F462" s="72" t="str">
        <f>IF(E461=0,"","A"&amp;E461&amp;"-1")</f>
        <v/>
      </c>
      <c r="G462" s="50"/>
      <c r="H462" s="52"/>
      <c r="I462" s="130"/>
      <c r="J462" s="53"/>
      <c r="K462" s="101"/>
    </row>
    <row r="463" spans="1:11" ht="19.5" customHeight="1">
      <c r="A463" s="79"/>
      <c r="B463" s="10"/>
      <c r="C463" s="11"/>
      <c r="D463" s="15"/>
      <c r="E463" s="49"/>
      <c r="F463" s="72" t="str">
        <f>IF(E461=0,"","B"&amp;E461&amp;"-0")</f>
        <v/>
      </c>
      <c r="G463" s="50"/>
      <c r="H463" s="52"/>
      <c r="I463" s="130"/>
      <c r="J463" s="53"/>
      <c r="K463" s="101"/>
    </row>
    <row r="464" spans="1:11" ht="19.5" customHeight="1">
      <c r="A464" s="79"/>
      <c r="B464" s="10"/>
      <c r="C464" s="11"/>
      <c r="D464" s="15"/>
      <c r="E464" s="49"/>
      <c r="F464" s="72" t="str">
        <f>IF(E461=0,"","B"&amp;E461&amp;"-1")</f>
        <v/>
      </c>
      <c r="G464" s="50"/>
      <c r="H464" s="52"/>
      <c r="I464" s="130"/>
      <c r="J464" s="53"/>
      <c r="K464" s="101"/>
    </row>
    <row r="465" spans="1:11" ht="19.5" customHeight="1">
      <c r="A465" s="79"/>
      <c r="B465" s="10"/>
      <c r="C465" s="11"/>
      <c r="D465" s="15"/>
      <c r="E465" s="49"/>
      <c r="F465" s="72" t="str">
        <f>IF(E461=0,"","C"&amp;E461&amp;"-0")</f>
        <v/>
      </c>
      <c r="G465" s="50"/>
      <c r="H465" s="52"/>
      <c r="I465" s="130"/>
      <c r="J465" s="53"/>
      <c r="K465" s="101"/>
    </row>
    <row r="466" spans="1:11" ht="19.5" customHeight="1">
      <c r="A466" s="79"/>
      <c r="B466" s="10"/>
      <c r="C466" s="11"/>
      <c r="D466" s="15"/>
      <c r="E466" s="51"/>
      <c r="F466" s="72" t="str">
        <f>IF(E461=0,"","C"&amp;E461&amp;"-1")</f>
        <v/>
      </c>
      <c r="G466" s="50"/>
      <c r="H466" s="52"/>
      <c r="I466" s="130"/>
      <c r="J466" s="53"/>
      <c r="K466" s="101"/>
    </row>
    <row r="467" spans="1:11" ht="19.5" customHeight="1">
      <c r="A467" s="79"/>
      <c r="B467" s="10"/>
      <c r="C467" s="11"/>
      <c r="D467" s="15"/>
      <c r="E467" s="48">
        <f>IF(AND(E461&gt;1,$D$3&gt;=E461+1),E461+1,0)</f>
        <v>0</v>
      </c>
      <c r="F467" s="72" t="str">
        <f>IF(E467=0,"","A"&amp;E467&amp;"-0")</f>
        <v/>
      </c>
      <c r="G467" s="50"/>
      <c r="H467" s="52"/>
      <c r="I467" s="130"/>
      <c r="J467" s="53"/>
      <c r="K467" s="101"/>
    </row>
    <row r="468" spans="1:11" ht="19.5" customHeight="1">
      <c r="A468" s="79"/>
      <c r="B468" s="10"/>
      <c r="C468" s="11"/>
      <c r="D468" s="15"/>
      <c r="E468" s="49" t="s">
        <v>54</v>
      </c>
      <c r="F468" s="72" t="str">
        <f>IF(E467=0,"","A"&amp;E467&amp;"-1")</f>
        <v/>
      </c>
      <c r="G468" s="50"/>
      <c r="H468" s="52"/>
      <c r="I468" s="130"/>
      <c r="J468" s="53"/>
      <c r="K468" s="101"/>
    </row>
    <row r="469" spans="1:11" ht="19.5" customHeight="1">
      <c r="A469" s="79"/>
      <c r="B469" s="10"/>
      <c r="C469" s="11"/>
      <c r="D469" s="15"/>
      <c r="E469" s="49"/>
      <c r="F469" s="72" t="str">
        <f>IF(E467=0,"","B"&amp;E467&amp;"-0")</f>
        <v/>
      </c>
      <c r="G469" s="50"/>
      <c r="H469" s="52"/>
      <c r="I469" s="130"/>
      <c r="J469" s="53"/>
      <c r="K469" s="101"/>
    </row>
    <row r="470" spans="1:11" ht="19.5" customHeight="1">
      <c r="A470" s="79"/>
      <c r="B470" s="10"/>
      <c r="C470" s="11"/>
      <c r="D470" s="15"/>
      <c r="E470" s="49"/>
      <c r="F470" s="72" t="str">
        <f>IF(E467=0,"","B"&amp;E467&amp;"-1")</f>
        <v/>
      </c>
      <c r="G470" s="50"/>
      <c r="H470" s="52"/>
      <c r="I470" s="130"/>
      <c r="J470" s="53"/>
      <c r="K470" s="101"/>
    </row>
    <row r="471" spans="1:11" ht="19.5" customHeight="1">
      <c r="A471" s="79"/>
      <c r="B471" s="10"/>
      <c r="C471" s="11"/>
      <c r="D471" s="15"/>
      <c r="E471" s="49"/>
      <c r="F471" s="72" t="str">
        <f>IF(E467=0,"","C"&amp;E467&amp;"-0")</f>
        <v/>
      </c>
      <c r="G471" s="50"/>
      <c r="H471" s="52"/>
      <c r="I471" s="130"/>
      <c r="J471" s="53"/>
      <c r="K471" s="101"/>
    </row>
    <row r="472" spans="1:11" ht="19.5" customHeight="1">
      <c r="A472" s="80"/>
      <c r="B472" s="12"/>
      <c r="C472" s="13"/>
      <c r="D472" s="16"/>
      <c r="E472" s="51"/>
      <c r="F472" s="72" t="str">
        <f>IF(E467=0,"","C"&amp;E467&amp;"-1")</f>
        <v/>
      </c>
      <c r="G472" s="50"/>
      <c r="H472" s="52"/>
      <c r="I472" s="130"/>
      <c r="J472" s="53"/>
      <c r="K472" s="101"/>
    </row>
    <row r="473" spans="1:11" ht="19.5" customHeight="1">
      <c r="A473" s="78" t="str">
        <f>IF(ROUNDUP($D$3/3,0)&gt;A455,A455+1,"")</f>
        <v/>
      </c>
      <c r="B473" s="3"/>
      <c r="C473" s="4"/>
      <c r="D473" s="14"/>
      <c r="E473" s="48">
        <f>IF(AND(E467&gt;1,$D$3&gt;=E467+1),E467+1,0)</f>
        <v>0</v>
      </c>
      <c r="F473" s="72" t="str">
        <f>IF(E473=0,"","A"&amp;E473&amp;"-0")</f>
        <v/>
      </c>
      <c r="G473" s="50"/>
      <c r="H473" s="52"/>
      <c r="I473" s="130"/>
      <c r="J473" s="53"/>
      <c r="K473" s="101"/>
    </row>
    <row r="474" spans="1:11" ht="19.5" customHeight="1">
      <c r="A474" s="79"/>
      <c r="B474" s="10"/>
      <c r="C474" s="11"/>
      <c r="D474" s="15"/>
      <c r="E474" s="49" t="s">
        <v>52</v>
      </c>
      <c r="F474" s="72" t="str">
        <f>IF(E473=0,"","A"&amp;E473&amp;"-1")</f>
        <v/>
      </c>
      <c r="G474" s="50"/>
      <c r="H474" s="52"/>
      <c r="I474" s="130"/>
      <c r="J474" s="53"/>
      <c r="K474" s="101"/>
    </row>
    <row r="475" spans="1:11" ht="19.5" customHeight="1">
      <c r="A475" s="79"/>
      <c r="B475" s="10"/>
      <c r="C475" s="11"/>
      <c r="D475" s="15"/>
      <c r="E475" s="49"/>
      <c r="F475" s="72" t="str">
        <f>IF(E473=0,"","B"&amp;E473&amp;"-0")</f>
        <v/>
      </c>
      <c r="G475" s="50"/>
      <c r="H475" s="52"/>
      <c r="I475" s="130"/>
      <c r="J475" s="53"/>
      <c r="K475" s="101"/>
    </row>
    <row r="476" spans="1:11" ht="19.5" customHeight="1">
      <c r="A476" s="79"/>
      <c r="B476" s="10"/>
      <c r="C476" s="11"/>
      <c r="D476" s="15"/>
      <c r="E476" s="49"/>
      <c r="F476" s="72" t="str">
        <f>IF(E473=0,"","B"&amp;E473&amp;"-1")</f>
        <v/>
      </c>
      <c r="G476" s="50"/>
      <c r="H476" s="52"/>
      <c r="I476" s="130"/>
      <c r="J476" s="53"/>
      <c r="K476" s="101"/>
    </row>
    <row r="477" spans="1:11" ht="19.5" customHeight="1">
      <c r="A477" s="79"/>
      <c r="B477" s="10"/>
      <c r="C477" s="11"/>
      <c r="D477" s="15"/>
      <c r="E477" s="49"/>
      <c r="F477" s="72" t="str">
        <f>IF(E473=0,"","C"&amp;E473&amp;"-0")</f>
        <v/>
      </c>
      <c r="G477" s="50"/>
      <c r="H477" s="52"/>
      <c r="I477" s="130"/>
      <c r="J477" s="53"/>
      <c r="K477" s="101"/>
    </row>
    <row r="478" spans="1:11" ht="19.5" customHeight="1">
      <c r="A478" s="79"/>
      <c r="B478" s="10"/>
      <c r="C478" s="11"/>
      <c r="D478" s="15"/>
      <c r="E478" s="51"/>
      <c r="F478" s="72" t="str">
        <f>IF(E473=0,"","C"&amp;E473&amp;"-1")</f>
        <v/>
      </c>
      <c r="G478" s="50"/>
      <c r="H478" s="52"/>
      <c r="I478" s="130"/>
      <c r="J478" s="53"/>
      <c r="K478" s="101"/>
    </row>
    <row r="479" spans="1:11" ht="19.5" customHeight="1">
      <c r="A479" s="79"/>
      <c r="B479" s="10"/>
      <c r="C479" s="11"/>
      <c r="D479" s="15"/>
      <c r="E479" s="48">
        <f>IF(AND(E473&gt;1,$D$3&gt;=E473+1),E473+1,0)</f>
        <v>0</v>
      </c>
      <c r="F479" s="72" t="str">
        <f>IF(E479=0,"","A"&amp;E479&amp;"-0")</f>
        <v/>
      </c>
      <c r="G479" s="50"/>
      <c r="H479" s="52"/>
      <c r="I479" s="130"/>
      <c r="J479" s="53"/>
      <c r="K479" s="101"/>
    </row>
    <row r="480" spans="1:11" ht="19.5" customHeight="1">
      <c r="A480" s="79"/>
      <c r="B480" s="10"/>
      <c r="C480" s="11"/>
      <c r="D480" s="15"/>
      <c r="E480" s="49" t="s">
        <v>53</v>
      </c>
      <c r="F480" s="72" t="str">
        <f>IF(E479=0,"","A"&amp;E479&amp;"-1")</f>
        <v/>
      </c>
      <c r="G480" s="50"/>
      <c r="H480" s="52"/>
      <c r="I480" s="130"/>
      <c r="J480" s="53"/>
      <c r="K480" s="101"/>
    </row>
    <row r="481" spans="1:11" ht="19.5" customHeight="1">
      <c r="A481" s="79"/>
      <c r="B481" s="10"/>
      <c r="C481" s="11"/>
      <c r="D481" s="15"/>
      <c r="E481" s="49"/>
      <c r="F481" s="72" t="str">
        <f>IF(E479=0,"","B"&amp;E479&amp;"-0")</f>
        <v/>
      </c>
      <c r="G481" s="50"/>
      <c r="H481" s="52"/>
      <c r="I481" s="130"/>
      <c r="J481" s="53"/>
      <c r="K481" s="101"/>
    </row>
    <row r="482" spans="1:11" ht="19.5" customHeight="1">
      <c r="A482" s="79"/>
      <c r="B482" s="10"/>
      <c r="C482" s="11"/>
      <c r="D482" s="15"/>
      <c r="E482" s="49"/>
      <c r="F482" s="72" t="str">
        <f>IF(E479=0,"","B"&amp;E479&amp;"-1")</f>
        <v/>
      </c>
      <c r="G482" s="50"/>
      <c r="H482" s="52"/>
      <c r="I482" s="130"/>
      <c r="J482" s="53"/>
      <c r="K482" s="101"/>
    </row>
    <row r="483" spans="1:11" ht="19.5" customHeight="1">
      <c r="A483" s="79"/>
      <c r="B483" s="10"/>
      <c r="C483" s="11"/>
      <c r="D483" s="15"/>
      <c r="E483" s="49"/>
      <c r="F483" s="72" t="str">
        <f>IF(E479=0,"","C"&amp;E479&amp;"-0")</f>
        <v/>
      </c>
      <c r="G483" s="50"/>
      <c r="H483" s="52"/>
      <c r="I483" s="130"/>
      <c r="J483" s="53"/>
      <c r="K483" s="101"/>
    </row>
    <row r="484" spans="1:11" ht="19.5" customHeight="1">
      <c r="A484" s="79"/>
      <c r="B484" s="10"/>
      <c r="C484" s="11"/>
      <c r="D484" s="15"/>
      <c r="E484" s="51"/>
      <c r="F484" s="72" t="str">
        <f>IF(E479=0,"","C"&amp;E479&amp;"-1")</f>
        <v/>
      </c>
      <c r="G484" s="50"/>
      <c r="H484" s="52"/>
      <c r="I484" s="130"/>
      <c r="J484" s="53"/>
      <c r="K484" s="101"/>
    </row>
    <row r="485" spans="1:11" ht="19.5" customHeight="1">
      <c r="A485" s="79"/>
      <c r="B485" s="10"/>
      <c r="C485" s="11"/>
      <c r="D485" s="15"/>
      <c r="E485" s="48">
        <f>IF(AND(E479&gt;1,$D$3&gt;=E479+1),E479+1,0)</f>
        <v>0</v>
      </c>
      <c r="F485" s="72" t="str">
        <f>IF(E485=0,"","A"&amp;E485&amp;"-0")</f>
        <v/>
      </c>
      <c r="G485" s="50"/>
      <c r="H485" s="52"/>
      <c r="I485" s="130"/>
      <c r="J485" s="53"/>
      <c r="K485" s="101"/>
    </row>
    <row r="486" spans="1:11" ht="19.5" customHeight="1">
      <c r="A486" s="79"/>
      <c r="B486" s="10"/>
      <c r="C486" s="11"/>
      <c r="D486" s="15"/>
      <c r="E486" s="49" t="s">
        <v>54</v>
      </c>
      <c r="F486" s="72" t="str">
        <f>IF(E485=0,"","A"&amp;E485&amp;"-1")</f>
        <v/>
      </c>
      <c r="G486" s="50"/>
      <c r="H486" s="52"/>
      <c r="I486" s="130"/>
      <c r="J486" s="53"/>
      <c r="K486" s="101"/>
    </row>
    <row r="487" spans="1:11" ht="19.5" customHeight="1">
      <c r="A487" s="79"/>
      <c r="B487" s="10"/>
      <c r="C487" s="11"/>
      <c r="D487" s="15"/>
      <c r="E487" s="49"/>
      <c r="F487" s="72" t="str">
        <f>IF(E485=0,"","B"&amp;E485&amp;"-0")</f>
        <v/>
      </c>
      <c r="G487" s="50"/>
      <c r="H487" s="52"/>
      <c r="I487" s="130"/>
      <c r="J487" s="53"/>
      <c r="K487" s="101"/>
    </row>
    <row r="488" spans="1:11" ht="19.5" customHeight="1">
      <c r="A488" s="79"/>
      <c r="B488" s="10"/>
      <c r="C488" s="11"/>
      <c r="D488" s="15"/>
      <c r="E488" s="49"/>
      <c r="F488" s="72" t="str">
        <f>IF(E485=0,"","B"&amp;E485&amp;"-1")</f>
        <v/>
      </c>
      <c r="G488" s="50"/>
      <c r="H488" s="52"/>
      <c r="I488" s="130"/>
      <c r="J488" s="53"/>
      <c r="K488" s="101"/>
    </row>
    <row r="489" spans="1:11" ht="19.5" customHeight="1">
      <c r="A489" s="79"/>
      <c r="B489" s="10"/>
      <c r="C489" s="11"/>
      <c r="D489" s="15"/>
      <c r="E489" s="49"/>
      <c r="F489" s="72" t="str">
        <f>IF(E485=0,"","C"&amp;E485&amp;"-0")</f>
        <v/>
      </c>
      <c r="G489" s="50"/>
      <c r="H489" s="52"/>
      <c r="I489" s="130"/>
      <c r="J489" s="53"/>
      <c r="K489" s="101"/>
    </row>
    <row r="490" spans="1:11" ht="19.5" customHeight="1">
      <c r="A490" s="80"/>
      <c r="B490" s="12"/>
      <c r="C490" s="13"/>
      <c r="D490" s="16"/>
      <c r="E490" s="51"/>
      <c r="F490" s="72" t="str">
        <f>IF(E485=0,"","C"&amp;E485&amp;"-1")</f>
        <v/>
      </c>
      <c r="G490" s="50"/>
      <c r="H490" s="52"/>
      <c r="I490" s="130"/>
      <c r="J490" s="53"/>
      <c r="K490" s="101"/>
    </row>
    <row r="491" spans="1:11" ht="19.5" customHeight="1">
      <c r="A491" s="78" t="str">
        <f>IF(ROUNDUP($D$3/3,0)&gt;A473,A473+1,"")</f>
        <v/>
      </c>
      <c r="B491" s="3"/>
      <c r="C491" s="4"/>
      <c r="D491" s="14"/>
      <c r="E491" s="48">
        <f>IF(AND(E485&gt;1,$D$3&gt;=E485+1),E485+1,0)</f>
        <v>0</v>
      </c>
      <c r="F491" s="72" t="str">
        <f>IF(E491=0,"","A"&amp;E491&amp;"-0")</f>
        <v/>
      </c>
      <c r="G491" s="50"/>
      <c r="H491" s="52"/>
      <c r="I491" s="130"/>
      <c r="J491" s="53"/>
      <c r="K491" s="101"/>
    </row>
    <row r="492" spans="1:11" ht="19.5" customHeight="1">
      <c r="A492" s="79"/>
      <c r="B492" s="10"/>
      <c r="C492" s="11"/>
      <c r="D492" s="15"/>
      <c r="E492" s="49" t="s">
        <v>52</v>
      </c>
      <c r="F492" s="72" t="str">
        <f>IF(E491=0,"","A"&amp;E491&amp;"-1")</f>
        <v/>
      </c>
      <c r="G492" s="50"/>
      <c r="H492" s="52"/>
      <c r="I492" s="130"/>
      <c r="J492" s="53"/>
      <c r="K492" s="101"/>
    </row>
    <row r="493" spans="1:11" ht="19.5" customHeight="1">
      <c r="A493" s="79"/>
      <c r="B493" s="10"/>
      <c r="C493" s="11"/>
      <c r="D493" s="15"/>
      <c r="E493" s="49"/>
      <c r="F493" s="72" t="str">
        <f>IF(E491=0,"","B"&amp;E491&amp;"-0")</f>
        <v/>
      </c>
      <c r="G493" s="50"/>
      <c r="H493" s="52"/>
      <c r="I493" s="130"/>
      <c r="J493" s="53"/>
      <c r="K493" s="101"/>
    </row>
    <row r="494" spans="1:11" ht="19.5" customHeight="1">
      <c r="A494" s="79"/>
      <c r="B494" s="10"/>
      <c r="C494" s="11"/>
      <c r="D494" s="15"/>
      <c r="E494" s="49"/>
      <c r="F494" s="72" t="str">
        <f>IF(E491=0,"","B"&amp;E491&amp;"-1")</f>
        <v/>
      </c>
      <c r="G494" s="50"/>
      <c r="H494" s="52"/>
      <c r="I494" s="130"/>
      <c r="J494" s="53"/>
      <c r="K494" s="101"/>
    </row>
    <row r="495" spans="1:11" ht="19.5" customHeight="1">
      <c r="A495" s="79"/>
      <c r="B495" s="10"/>
      <c r="C495" s="11"/>
      <c r="D495" s="15"/>
      <c r="E495" s="49"/>
      <c r="F495" s="72" t="str">
        <f>IF(E491=0,"","C"&amp;E491&amp;"-0")</f>
        <v/>
      </c>
      <c r="G495" s="50"/>
      <c r="H495" s="52"/>
      <c r="I495" s="130"/>
      <c r="J495" s="53"/>
      <c r="K495" s="101"/>
    </row>
    <row r="496" spans="1:11" ht="19.5" customHeight="1">
      <c r="A496" s="79"/>
      <c r="B496" s="10"/>
      <c r="C496" s="11"/>
      <c r="D496" s="15"/>
      <c r="E496" s="51"/>
      <c r="F496" s="72" t="str">
        <f>IF(E491=0,"","C"&amp;E491&amp;"-1")</f>
        <v/>
      </c>
      <c r="G496" s="50"/>
      <c r="H496" s="52"/>
      <c r="I496" s="130"/>
      <c r="J496" s="53"/>
      <c r="K496" s="101"/>
    </row>
    <row r="497" spans="1:11" ht="19.5" customHeight="1">
      <c r="A497" s="79"/>
      <c r="B497" s="10"/>
      <c r="C497" s="11"/>
      <c r="D497" s="15"/>
      <c r="E497" s="48">
        <f>IF(AND(E491&gt;1,$D$3&gt;=E491+1),E491+1,0)</f>
        <v>0</v>
      </c>
      <c r="F497" s="72" t="str">
        <f>IF(E497=0,"","A"&amp;E497&amp;"-0")</f>
        <v/>
      </c>
      <c r="G497" s="50"/>
      <c r="H497" s="52"/>
      <c r="I497" s="130"/>
      <c r="J497" s="53"/>
      <c r="K497" s="101"/>
    </row>
    <row r="498" spans="1:11" ht="19.5" customHeight="1">
      <c r="A498" s="79"/>
      <c r="B498" s="10"/>
      <c r="C498" s="11"/>
      <c r="D498" s="15"/>
      <c r="E498" s="49" t="s">
        <v>53</v>
      </c>
      <c r="F498" s="72" t="str">
        <f>IF(E497=0,"","A"&amp;E497&amp;"-1")</f>
        <v/>
      </c>
      <c r="G498" s="50"/>
      <c r="H498" s="52"/>
      <c r="I498" s="130"/>
      <c r="J498" s="53"/>
      <c r="K498" s="101"/>
    </row>
    <row r="499" spans="1:11" ht="19.5" customHeight="1">
      <c r="A499" s="79"/>
      <c r="B499" s="10"/>
      <c r="C499" s="11"/>
      <c r="D499" s="15"/>
      <c r="E499" s="49"/>
      <c r="F499" s="72" t="str">
        <f>IF(E497=0,"","B"&amp;E497&amp;"-0")</f>
        <v/>
      </c>
      <c r="G499" s="50"/>
      <c r="H499" s="52"/>
      <c r="I499" s="130"/>
      <c r="J499" s="53"/>
      <c r="K499" s="101"/>
    </row>
    <row r="500" spans="1:11" ht="19.5" customHeight="1">
      <c r="A500" s="79"/>
      <c r="B500" s="10"/>
      <c r="C500" s="11"/>
      <c r="D500" s="15"/>
      <c r="E500" s="49"/>
      <c r="F500" s="72" t="str">
        <f>IF(E497=0,"","B"&amp;E497&amp;"-1")</f>
        <v/>
      </c>
      <c r="G500" s="50"/>
      <c r="H500" s="52"/>
      <c r="I500" s="130"/>
      <c r="J500" s="53"/>
      <c r="K500" s="101"/>
    </row>
    <row r="501" spans="1:11" ht="19.5" customHeight="1">
      <c r="A501" s="79"/>
      <c r="B501" s="10"/>
      <c r="C501" s="11"/>
      <c r="D501" s="15"/>
      <c r="E501" s="49"/>
      <c r="F501" s="72" t="str">
        <f>IF(E497=0,"","C"&amp;E497&amp;"-0")</f>
        <v/>
      </c>
      <c r="G501" s="50"/>
      <c r="H501" s="52"/>
      <c r="I501" s="130"/>
      <c r="J501" s="53"/>
      <c r="K501" s="101"/>
    </row>
    <row r="502" spans="1:11" ht="19.5" customHeight="1">
      <c r="A502" s="79"/>
      <c r="B502" s="10"/>
      <c r="C502" s="11"/>
      <c r="D502" s="15"/>
      <c r="E502" s="51"/>
      <c r="F502" s="72" t="str">
        <f>IF(E497=0,"","C"&amp;E497&amp;"-1")</f>
        <v/>
      </c>
      <c r="G502" s="50"/>
      <c r="H502" s="52"/>
      <c r="I502" s="130"/>
      <c r="J502" s="53"/>
      <c r="K502" s="101"/>
    </row>
    <row r="503" spans="1:11" ht="19.5" customHeight="1">
      <c r="A503" s="79"/>
      <c r="B503" s="10"/>
      <c r="C503" s="11"/>
      <c r="D503" s="15"/>
      <c r="E503" s="48">
        <f>IF(AND(E497&gt;1,$D$3&gt;=E497+1),E497+1,0)</f>
        <v>0</v>
      </c>
      <c r="F503" s="72" t="str">
        <f>IF(E503=0,"","A"&amp;E503&amp;"-0")</f>
        <v/>
      </c>
      <c r="G503" s="50"/>
      <c r="H503" s="52"/>
      <c r="I503" s="130"/>
      <c r="J503" s="53"/>
      <c r="K503" s="101"/>
    </row>
    <row r="504" spans="1:11" ht="19.5" customHeight="1">
      <c r="A504" s="79"/>
      <c r="B504" s="10"/>
      <c r="C504" s="11"/>
      <c r="D504" s="15"/>
      <c r="E504" s="49" t="s">
        <v>54</v>
      </c>
      <c r="F504" s="72" t="str">
        <f>IF(E503=0,"","A"&amp;E503&amp;"-1")</f>
        <v/>
      </c>
      <c r="G504" s="50"/>
      <c r="H504" s="52"/>
      <c r="I504" s="130"/>
      <c r="J504" s="53"/>
      <c r="K504" s="101"/>
    </row>
    <row r="505" spans="1:11" ht="19.5" customHeight="1">
      <c r="A505" s="79"/>
      <c r="B505" s="10"/>
      <c r="C505" s="11"/>
      <c r="D505" s="15"/>
      <c r="E505" s="49"/>
      <c r="F505" s="72" t="str">
        <f>IF(E503=0,"","B"&amp;E503&amp;"-0")</f>
        <v/>
      </c>
      <c r="G505" s="50"/>
      <c r="H505" s="52"/>
      <c r="I505" s="130"/>
      <c r="J505" s="53"/>
      <c r="K505" s="101"/>
    </row>
    <row r="506" spans="1:11" ht="19.5" customHeight="1">
      <c r="A506" s="79"/>
      <c r="B506" s="10"/>
      <c r="C506" s="11"/>
      <c r="D506" s="15"/>
      <c r="E506" s="49"/>
      <c r="F506" s="72" t="str">
        <f>IF(E503=0,"","B"&amp;E503&amp;"-1")</f>
        <v/>
      </c>
      <c r="G506" s="50"/>
      <c r="H506" s="52"/>
      <c r="I506" s="130"/>
      <c r="J506" s="53"/>
      <c r="K506" s="101"/>
    </row>
    <row r="507" spans="1:11" ht="19.5" customHeight="1">
      <c r="A507" s="79"/>
      <c r="B507" s="10"/>
      <c r="C507" s="11"/>
      <c r="D507" s="15"/>
      <c r="E507" s="49"/>
      <c r="F507" s="72" t="str">
        <f>IF(E503=0,"","C"&amp;E503&amp;"-0")</f>
        <v/>
      </c>
      <c r="G507" s="50"/>
      <c r="H507" s="52"/>
      <c r="I507" s="130"/>
      <c r="J507" s="53"/>
      <c r="K507" s="101"/>
    </row>
    <row r="508" spans="1:11" ht="19.5" customHeight="1">
      <c r="A508" s="80"/>
      <c r="B508" s="12"/>
      <c r="C508" s="13"/>
      <c r="D508" s="16"/>
      <c r="E508" s="51"/>
      <c r="F508" s="72" t="str">
        <f>IF(E503=0,"","C"&amp;E503&amp;"-1")</f>
        <v/>
      </c>
      <c r="G508" s="50"/>
      <c r="H508" s="52"/>
      <c r="I508" s="130"/>
      <c r="J508" s="53"/>
      <c r="K508" s="101"/>
    </row>
    <row r="509" spans="1:11" ht="19.5" customHeight="1">
      <c r="A509" s="78" t="str">
        <f>IF(ROUNDUP($D$3/3,0)&gt;A491,A491+1,"")</f>
        <v/>
      </c>
      <c r="B509" s="3"/>
      <c r="C509" s="4"/>
      <c r="D509" s="14"/>
      <c r="E509" s="48">
        <f>IF(AND(E503&gt;1,$D$3&gt;=E503+1),E503+1,0)</f>
        <v>0</v>
      </c>
      <c r="F509" s="72" t="str">
        <f>IF(E509=0,"","A"&amp;E509&amp;"-0")</f>
        <v/>
      </c>
      <c r="G509" s="50"/>
      <c r="H509" s="52"/>
      <c r="I509" s="130"/>
      <c r="J509" s="53"/>
      <c r="K509" s="101"/>
    </row>
    <row r="510" spans="1:11" ht="19.5" customHeight="1">
      <c r="A510" s="79"/>
      <c r="B510" s="10"/>
      <c r="C510" s="11"/>
      <c r="D510" s="15"/>
      <c r="E510" s="49" t="s">
        <v>52</v>
      </c>
      <c r="F510" s="72" t="str">
        <f>IF(E509=0,"","A"&amp;E509&amp;"-1")</f>
        <v/>
      </c>
      <c r="G510" s="50"/>
      <c r="H510" s="52"/>
      <c r="I510" s="130"/>
      <c r="J510" s="53"/>
      <c r="K510" s="101"/>
    </row>
    <row r="511" spans="1:11" ht="19.5" customHeight="1">
      <c r="A511" s="79"/>
      <c r="B511" s="10"/>
      <c r="C511" s="11"/>
      <c r="D511" s="15"/>
      <c r="E511" s="49"/>
      <c r="F511" s="72" t="str">
        <f>IF(E509=0,"","B"&amp;E509&amp;"-0")</f>
        <v/>
      </c>
      <c r="G511" s="50"/>
      <c r="H511" s="52"/>
      <c r="I511" s="130"/>
      <c r="J511" s="53"/>
      <c r="K511" s="101"/>
    </row>
    <row r="512" spans="1:11" ht="19.5" customHeight="1">
      <c r="A512" s="79"/>
      <c r="B512" s="10"/>
      <c r="C512" s="11"/>
      <c r="D512" s="15"/>
      <c r="E512" s="49"/>
      <c r="F512" s="72" t="str">
        <f>IF(E509=0,"","B"&amp;E509&amp;"-1")</f>
        <v/>
      </c>
      <c r="G512" s="50"/>
      <c r="H512" s="52"/>
      <c r="I512" s="130"/>
      <c r="J512" s="53"/>
      <c r="K512" s="101"/>
    </row>
    <row r="513" spans="1:11" ht="19.5" customHeight="1">
      <c r="A513" s="79"/>
      <c r="B513" s="10"/>
      <c r="C513" s="11"/>
      <c r="D513" s="15"/>
      <c r="E513" s="49"/>
      <c r="F513" s="72" t="str">
        <f>IF(E509=0,"","C"&amp;E509&amp;"-0")</f>
        <v/>
      </c>
      <c r="G513" s="50"/>
      <c r="H513" s="52"/>
      <c r="I513" s="130"/>
      <c r="J513" s="53"/>
      <c r="K513" s="101"/>
    </row>
    <row r="514" spans="1:11" ht="19.5" customHeight="1">
      <c r="A514" s="79"/>
      <c r="B514" s="10"/>
      <c r="C514" s="11"/>
      <c r="D514" s="15"/>
      <c r="E514" s="51"/>
      <c r="F514" s="72" t="str">
        <f>IF(E509=0,"","C"&amp;E509&amp;"-1")</f>
        <v/>
      </c>
      <c r="G514" s="50"/>
      <c r="H514" s="52"/>
      <c r="I514" s="130"/>
      <c r="J514" s="53"/>
      <c r="K514" s="101"/>
    </row>
    <row r="515" spans="1:11" ht="19.5" customHeight="1">
      <c r="A515" s="79"/>
      <c r="B515" s="10"/>
      <c r="C515" s="11"/>
      <c r="D515" s="15"/>
      <c r="E515" s="48">
        <f>IF(AND(E509&gt;1,$D$3&gt;=E509+1),E509+1,0)</f>
        <v>0</v>
      </c>
      <c r="F515" s="72" t="str">
        <f>IF(E515=0,"","A"&amp;E515&amp;"-0")</f>
        <v/>
      </c>
      <c r="G515" s="50"/>
      <c r="H515" s="52"/>
      <c r="I515" s="130"/>
      <c r="J515" s="53"/>
      <c r="K515" s="101"/>
    </row>
    <row r="516" spans="1:11" ht="19.5" customHeight="1">
      <c r="A516" s="79"/>
      <c r="B516" s="10"/>
      <c r="C516" s="11"/>
      <c r="D516" s="15"/>
      <c r="E516" s="49" t="s">
        <v>53</v>
      </c>
      <c r="F516" s="72" t="str">
        <f>IF(E515=0,"","A"&amp;E515&amp;"-1")</f>
        <v/>
      </c>
      <c r="G516" s="50"/>
      <c r="H516" s="52"/>
      <c r="I516" s="130"/>
      <c r="J516" s="53"/>
      <c r="K516" s="101"/>
    </row>
    <row r="517" spans="1:11" ht="19.5" customHeight="1">
      <c r="A517" s="79"/>
      <c r="B517" s="10"/>
      <c r="C517" s="11"/>
      <c r="D517" s="15"/>
      <c r="E517" s="49"/>
      <c r="F517" s="72" t="str">
        <f>IF(E515=0,"","B"&amp;E515&amp;"-0")</f>
        <v/>
      </c>
      <c r="G517" s="50"/>
      <c r="H517" s="52"/>
      <c r="I517" s="130"/>
      <c r="J517" s="53"/>
      <c r="K517" s="101"/>
    </row>
    <row r="518" spans="1:11" ht="19.5" customHeight="1">
      <c r="A518" s="79"/>
      <c r="B518" s="10"/>
      <c r="C518" s="11"/>
      <c r="D518" s="15"/>
      <c r="E518" s="49"/>
      <c r="F518" s="72" t="str">
        <f>IF(E515=0,"","B"&amp;E515&amp;"-1")</f>
        <v/>
      </c>
      <c r="G518" s="50"/>
      <c r="H518" s="52"/>
      <c r="I518" s="130"/>
      <c r="J518" s="53"/>
      <c r="K518" s="101"/>
    </row>
    <row r="519" spans="1:11" ht="19.5" customHeight="1">
      <c r="A519" s="79"/>
      <c r="B519" s="10"/>
      <c r="C519" s="11"/>
      <c r="D519" s="15"/>
      <c r="E519" s="49"/>
      <c r="F519" s="72" t="str">
        <f>IF(E515=0,"","C"&amp;E515&amp;"-0")</f>
        <v/>
      </c>
      <c r="G519" s="50"/>
      <c r="H519" s="52"/>
      <c r="I519" s="130"/>
      <c r="J519" s="53"/>
      <c r="K519" s="101"/>
    </row>
    <row r="520" spans="1:11" ht="19.5" customHeight="1">
      <c r="A520" s="79"/>
      <c r="B520" s="10"/>
      <c r="C520" s="11"/>
      <c r="D520" s="15"/>
      <c r="E520" s="51"/>
      <c r="F520" s="72" t="str">
        <f>IF(E515=0,"","C"&amp;E515&amp;"-1")</f>
        <v/>
      </c>
      <c r="G520" s="50"/>
      <c r="H520" s="52"/>
      <c r="I520" s="130"/>
      <c r="J520" s="53"/>
      <c r="K520" s="101"/>
    </row>
    <row r="521" spans="1:11" ht="19.5" customHeight="1">
      <c r="A521" s="79"/>
      <c r="B521" s="10"/>
      <c r="C521" s="11"/>
      <c r="D521" s="15"/>
      <c r="E521" s="48">
        <f>IF(AND(E515&gt;1,$D$3&gt;=E515+1),E515+1,0)</f>
        <v>0</v>
      </c>
      <c r="F521" s="72" t="str">
        <f>IF(E521=0,"","A"&amp;E521&amp;"-0")</f>
        <v/>
      </c>
      <c r="G521" s="50"/>
      <c r="H521" s="52"/>
      <c r="I521" s="130"/>
      <c r="J521" s="53"/>
      <c r="K521" s="101"/>
    </row>
    <row r="522" spans="1:11" ht="19.5" customHeight="1">
      <c r="A522" s="79"/>
      <c r="B522" s="10"/>
      <c r="C522" s="11"/>
      <c r="D522" s="15"/>
      <c r="E522" s="49" t="s">
        <v>54</v>
      </c>
      <c r="F522" s="72" t="str">
        <f>IF(E521=0,"","A"&amp;E521&amp;"-1")</f>
        <v/>
      </c>
      <c r="G522" s="50"/>
      <c r="H522" s="52"/>
      <c r="I522" s="130"/>
      <c r="J522" s="53"/>
      <c r="K522" s="101"/>
    </row>
    <row r="523" spans="1:11" ht="19.5" customHeight="1">
      <c r="A523" s="79"/>
      <c r="B523" s="10"/>
      <c r="C523" s="11"/>
      <c r="D523" s="15"/>
      <c r="E523" s="49"/>
      <c r="F523" s="72" t="str">
        <f>IF(E521=0,"","B"&amp;E521&amp;"-0")</f>
        <v/>
      </c>
      <c r="G523" s="50"/>
      <c r="H523" s="52"/>
      <c r="I523" s="130"/>
      <c r="J523" s="53"/>
      <c r="K523" s="101"/>
    </row>
    <row r="524" spans="1:11" ht="19.5" customHeight="1">
      <c r="A524" s="79"/>
      <c r="B524" s="10"/>
      <c r="C524" s="11"/>
      <c r="D524" s="15"/>
      <c r="E524" s="49"/>
      <c r="F524" s="72" t="str">
        <f>IF(E521=0,"","B"&amp;E521&amp;"-1")</f>
        <v/>
      </c>
      <c r="G524" s="50"/>
      <c r="H524" s="52"/>
      <c r="I524" s="130"/>
      <c r="J524" s="53"/>
      <c r="K524" s="101"/>
    </row>
    <row r="525" spans="1:11" ht="19.5" customHeight="1">
      <c r="A525" s="79"/>
      <c r="B525" s="10"/>
      <c r="C525" s="11"/>
      <c r="D525" s="15"/>
      <c r="E525" s="49"/>
      <c r="F525" s="72" t="str">
        <f>IF(E521=0,"","C"&amp;E521&amp;"-0")</f>
        <v/>
      </c>
      <c r="G525" s="50"/>
      <c r="H525" s="52"/>
      <c r="I525" s="130"/>
      <c r="J525" s="53"/>
      <c r="K525" s="101"/>
    </row>
    <row r="526" spans="1:11" ht="19.5" customHeight="1">
      <c r="A526" s="80"/>
      <c r="B526" s="12"/>
      <c r="C526" s="13"/>
      <c r="D526" s="16"/>
      <c r="E526" s="51"/>
      <c r="F526" s="72" t="str">
        <f>IF(E521=0,"","C"&amp;E521&amp;"-1")</f>
        <v/>
      </c>
      <c r="G526" s="50"/>
      <c r="H526" s="52"/>
      <c r="I526" s="130"/>
      <c r="J526" s="53"/>
      <c r="K526" s="101"/>
    </row>
    <row r="527" spans="1:11" ht="19.5" customHeight="1">
      <c r="A527" s="78" t="str">
        <f>IF(ROUNDUP($D$3/3,0)&gt;A509,A509+1,"")</f>
        <v/>
      </c>
      <c r="B527" s="3"/>
      <c r="C527" s="4"/>
      <c r="D527" s="14"/>
      <c r="E527" s="48">
        <f>IF(AND(E521&gt;1,$D$3&gt;=E521+1),E521+1,0)</f>
        <v>0</v>
      </c>
      <c r="F527" s="72" t="str">
        <f>IF(E527=0,"","A"&amp;E527&amp;"-0")</f>
        <v/>
      </c>
      <c r="G527" s="50"/>
      <c r="H527" s="52"/>
      <c r="I527" s="130"/>
      <c r="J527" s="53"/>
      <c r="K527" s="101"/>
    </row>
    <row r="528" spans="1:11" ht="19.5" customHeight="1">
      <c r="A528" s="79"/>
      <c r="B528" s="10"/>
      <c r="C528" s="11"/>
      <c r="D528" s="15"/>
      <c r="E528" s="49" t="s">
        <v>52</v>
      </c>
      <c r="F528" s="72" t="str">
        <f>IF(E527=0,"","A"&amp;E527&amp;"-1")</f>
        <v/>
      </c>
      <c r="G528" s="50"/>
      <c r="H528" s="52"/>
      <c r="I528" s="130"/>
      <c r="J528" s="53"/>
      <c r="K528" s="101"/>
    </row>
    <row r="529" spans="1:11" ht="19.5" customHeight="1">
      <c r="A529" s="79"/>
      <c r="B529" s="10"/>
      <c r="C529" s="11"/>
      <c r="D529" s="15"/>
      <c r="E529" s="49"/>
      <c r="F529" s="72" t="str">
        <f>IF(E527=0,"","B"&amp;E527&amp;"-0")</f>
        <v/>
      </c>
      <c r="G529" s="50"/>
      <c r="H529" s="52"/>
      <c r="I529" s="130"/>
      <c r="J529" s="53"/>
      <c r="K529" s="101"/>
    </row>
    <row r="530" spans="1:11" ht="19.5" customHeight="1">
      <c r="A530" s="79"/>
      <c r="B530" s="10"/>
      <c r="C530" s="11"/>
      <c r="D530" s="15"/>
      <c r="E530" s="49"/>
      <c r="F530" s="72" t="str">
        <f>IF(E527=0,"","B"&amp;E527&amp;"-1")</f>
        <v/>
      </c>
      <c r="G530" s="50"/>
      <c r="H530" s="52"/>
      <c r="I530" s="130"/>
      <c r="J530" s="53"/>
      <c r="K530" s="101"/>
    </row>
    <row r="531" spans="1:11" ht="19.5" customHeight="1">
      <c r="A531" s="79"/>
      <c r="B531" s="10"/>
      <c r="C531" s="11"/>
      <c r="D531" s="15"/>
      <c r="E531" s="49"/>
      <c r="F531" s="72" t="str">
        <f>IF(E527=0,"","C"&amp;E527&amp;"-0")</f>
        <v/>
      </c>
      <c r="G531" s="50"/>
      <c r="H531" s="52"/>
      <c r="I531" s="130"/>
      <c r="J531" s="53"/>
      <c r="K531" s="101"/>
    </row>
    <row r="532" spans="1:11" ht="19.5" customHeight="1">
      <c r="A532" s="79"/>
      <c r="B532" s="10"/>
      <c r="C532" s="11"/>
      <c r="D532" s="15"/>
      <c r="E532" s="51"/>
      <c r="F532" s="72" t="str">
        <f>IF(E527=0,"","C"&amp;E527&amp;"-1")</f>
        <v/>
      </c>
      <c r="G532" s="50"/>
      <c r="H532" s="52"/>
      <c r="I532" s="130"/>
      <c r="J532" s="53"/>
      <c r="K532" s="101"/>
    </row>
    <row r="533" spans="1:11" ht="19.5" customHeight="1">
      <c r="A533" s="79"/>
      <c r="B533" s="10"/>
      <c r="C533" s="11"/>
      <c r="D533" s="15"/>
      <c r="E533" s="48">
        <f>IF(AND(E527&gt;1,$D$3&gt;=E527+1),E527+1,0)</f>
        <v>0</v>
      </c>
      <c r="F533" s="72" t="str">
        <f>IF(E533=0,"","A"&amp;E533&amp;"-0")</f>
        <v/>
      </c>
      <c r="G533" s="50"/>
      <c r="H533" s="52"/>
      <c r="I533" s="130"/>
      <c r="J533" s="53"/>
      <c r="K533" s="101"/>
    </row>
    <row r="534" spans="1:11" ht="19.5" customHeight="1">
      <c r="A534" s="79"/>
      <c r="B534" s="10"/>
      <c r="C534" s="11"/>
      <c r="D534" s="15"/>
      <c r="E534" s="49" t="s">
        <v>53</v>
      </c>
      <c r="F534" s="72" t="str">
        <f>IF(E533=0,"","A"&amp;E533&amp;"-1")</f>
        <v/>
      </c>
      <c r="G534" s="50"/>
      <c r="H534" s="52"/>
      <c r="I534" s="130"/>
      <c r="J534" s="53"/>
      <c r="K534" s="101"/>
    </row>
    <row r="535" spans="1:11" ht="19.5" customHeight="1">
      <c r="A535" s="79"/>
      <c r="B535" s="10"/>
      <c r="C535" s="11"/>
      <c r="D535" s="15"/>
      <c r="E535" s="49"/>
      <c r="F535" s="72" t="str">
        <f>IF(E533=0,"","B"&amp;E533&amp;"-0")</f>
        <v/>
      </c>
      <c r="G535" s="50"/>
      <c r="H535" s="52"/>
      <c r="I535" s="130"/>
      <c r="J535" s="53"/>
      <c r="K535" s="101"/>
    </row>
    <row r="536" spans="1:11" ht="19.5" customHeight="1">
      <c r="A536" s="79"/>
      <c r="B536" s="10"/>
      <c r="C536" s="11"/>
      <c r="D536" s="15"/>
      <c r="E536" s="49"/>
      <c r="F536" s="72" t="str">
        <f>IF(E533=0,"","B"&amp;E533&amp;"-1")</f>
        <v/>
      </c>
      <c r="G536" s="50"/>
      <c r="H536" s="52"/>
      <c r="I536" s="130"/>
      <c r="J536" s="53"/>
      <c r="K536" s="101"/>
    </row>
    <row r="537" spans="1:11" ht="19.5" customHeight="1">
      <c r="A537" s="79"/>
      <c r="B537" s="10"/>
      <c r="C537" s="11"/>
      <c r="D537" s="15"/>
      <c r="E537" s="49"/>
      <c r="F537" s="72" t="str">
        <f>IF(E533=0,"","C"&amp;E533&amp;"-0")</f>
        <v/>
      </c>
      <c r="G537" s="50"/>
      <c r="H537" s="52"/>
      <c r="I537" s="130"/>
      <c r="J537" s="53"/>
      <c r="K537" s="101"/>
    </row>
    <row r="538" spans="1:11" ht="19.5" customHeight="1">
      <c r="A538" s="79"/>
      <c r="B538" s="10"/>
      <c r="C538" s="11"/>
      <c r="D538" s="15"/>
      <c r="E538" s="51"/>
      <c r="F538" s="72" t="str">
        <f>IF(E533=0,"","C"&amp;E533&amp;"-1")</f>
        <v/>
      </c>
      <c r="G538" s="50"/>
      <c r="H538" s="52"/>
      <c r="I538" s="130"/>
      <c r="J538" s="53"/>
      <c r="K538" s="101"/>
    </row>
    <row r="539" spans="1:11" ht="19.5" customHeight="1">
      <c r="A539" s="79"/>
      <c r="B539" s="10"/>
      <c r="C539" s="11"/>
      <c r="D539" s="15"/>
      <c r="E539" s="48">
        <f>IF(AND(E533&gt;1,$D$3&gt;=E533+1),E533+1,0)</f>
        <v>0</v>
      </c>
      <c r="F539" s="72" t="str">
        <f>IF(E539=0,"","A"&amp;E539&amp;"-0")</f>
        <v/>
      </c>
      <c r="G539" s="50"/>
      <c r="H539" s="52"/>
      <c r="I539" s="130"/>
      <c r="J539" s="53"/>
      <c r="K539" s="101"/>
    </row>
    <row r="540" spans="1:11" ht="19.5" customHeight="1">
      <c r="A540" s="79"/>
      <c r="B540" s="10"/>
      <c r="C540" s="11"/>
      <c r="D540" s="15"/>
      <c r="E540" s="49" t="s">
        <v>54</v>
      </c>
      <c r="F540" s="72" t="str">
        <f>IF(E539=0,"","A"&amp;E539&amp;"-1")</f>
        <v/>
      </c>
      <c r="G540" s="50"/>
      <c r="H540" s="52"/>
      <c r="I540" s="130"/>
      <c r="J540" s="53"/>
      <c r="K540" s="101"/>
    </row>
    <row r="541" spans="1:11" ht="19.5" customHeight="1">
      <c r="A541" s="79"/>
      <c r="B541" s="10"/>
      <c r="C541" s="11"/>
      <c r="D541" s="15"/>
      <c r="E541" s="49"/>
      <c r="F541" s="72" t="str">
        <f>IF(E539=0,"","B"&amp;E539&amp;"-0")</f>
        <v/>
      </c>
      <c r="G541" s="50"/>
      <c r="H541" s="52"/>
      <c r="I541" s="130"/>
      <c r="J541" s="53"/>
      <c r="K541" s="101"/>
    </row>
    <row r="542" spans="1:11" ht="19.5" customHeight="1">
      <c r="A542" s="79"/>
      <c r="B542" s="10"/>
      <c r="C542" s="11"/>
      <c r="D542" s="15"/>
      <c r="E542" s="49"/>
      <c r="F542" s="72" t="str">
        <f>IF(E539=0,"","B"&amp;E539&amp;"-1")</f>
        <v/>
      </c>
      <c r="G542" s="50"/>
      <c r="H542" s="52"/>
      <c r="I542" s="130"/>
      <c r="J542" s="53"/>
      <c r="K542" s="101"/>
    </row>
    <row r="543" spans="1:11" ht="19.5" customHeight="1">
      <c r="A543" s="79"/>
      <c r="B543" s="10"/>
      <c r="C543" s="11"/>
      <c r="D543" s="15"/>
      <c r="E543" s="49"/>
      <c r="F543" s="72" t="str">
        <f>IF(E539=0,"","C"&amp;E539&amp;"-0")</f>
        <v/>
      </c>
      <c r="G543" s="50"/>
      <c r="H543" s="52"/>
      <c r="I543" s="130"/>
      <c r="J543" s="53"/>
      <c r="K543" s="101"/>
    </row>
    <row r="544" spans="1:11" ht="19.5" customHeight="1">
      <c r="A544" s="80"/>
      <c r="B544" s="12"/>
      <c r="C544" s="13"/>
      <c r="D544" s="16"/>
      <c r="E544" s="51"/>
      <c r="F544" s="72" t="str">
        <f>IF(E539=0,"","C"&amp;E539&amp;"-1")</f>
        <v/>
      </c>
      <c r="G544" s="50"/>
      <c r="H544" s="52"/>
      <c r="I544" s="130"/>
      <c r="J544" s="53"/>
      <c r="K544" s="101"/>
    </row>
  </sheetData>
  <sheetProtection sheet="1" objects="1" scenarios="1" selectLockedCells="1"/>
  <sortState ref="X6:AD8">
    <sortCondition descending="1" ref="AD6"/>
    <sortCondition ref="AC6"/>
  </sortState>
  <mergeCells count="2">
    <mergeCell ref="B2:C2"/>
    <mergeCell ref="B3:C3"/>
  </mergeCells>
  <phoneticPr fontId="1"/>
  <conditionalFormatting sqref="I5:I544">
    <cfRule type="expression" dxfId="2" priority="2" stopIfTrue="1">
      <formula>AND(H5&lt;&gt;"",OR(I5&lt;$I$3,I5&gt;$J$3))</formula>
    </cfRule>
  </conditionalFormatting>
  <conditionalFormatting sqref="F3">
    <cfRule type="expression" dxfId="1" priority="3" stopIfTrue="1">
      <formula>$F$3=""</formula>
    </cfRule>
  </conditionalFormatting>
  <conditionalFormatting sqref="H3">
    <cfRule type="expression" dxfId="0" priority="4" stopIfTrue="1">
      <formula>$H$3=""</formula>
    </cfRule>
  </conditionalFormatting>
  <dataValidations count="7">
    <dataValidation imeMode="off" allowBlank="1" showInputMessage="1" showErrorMessage="1" sqref="I5:I544 B5:D544 E3:F3 I3:J3"/>
    <dataValidation type="decimal" imeMode="off" allowBlank="1" showInputMessage="1" showErrorMessage="1" sqref="G5:G544">
      <formula1>1.4</formula1>
      <formula2>1.7</formula2>
    </dataValidation>
    <dataValidation type="decimal" imeMode="off" allowBlank="1" showInputMessage="1" showErrorMessage="1" sqref="H5:H544">
      <formula1>0.1</formula1>
      <formula2>1.2</formula2>
    </dataValidation>
    <dataValidation type="whole" imeMode="off" allowBlank="1" showInputMessage="1" showErrorMessage="1" error="最大90本まで入力できます。" sqref="D3">
      <formula1>1</formula1>
      <formula2>90</formula2>
    </dataValidation>
    <dataValidation type="list" imeMode="off" allowBlank="1" showInputMessage="1" showErrorMessage="1" sqref="H3">
      <formula1>KeiCode</formula1>
    </dataValidation>
    <dataValidation type="list" imeMode="off" allowBlank="1" showInputMessage="1" showErrorMessage="1" sqref="G3">
      <formula1>$Q$6:$Q$8</formula1>
    </dataValidation>
    <dataValidation type="whole" allowBlank="1" showInputMessage="1" showErrorMessage="1" sqref="O2">
      <formula1>0</formula1>
      <formula2>3</formula2>
    </dataValidation>
  </dataValidations>
  <pageMargins left="0.39370078740157483" right="0.19685039370078741" top="0.62992125984251968" bottom="0.62992125984251968" header="0.35433070866141736" footer="0.31496062992125984"/>
  <pageSetup paperSize="9" orientation="portrait" blackAndWhite="1" horizontalDpi="4294967293" r:id="rId1"/>
  <headerFooter alignWithMargins="0">
    <oddFooter>&amp;C&amp;P／&amp;N</oddFooter>
  </headerFooter>
  <rowBreaks count="15" manualBreakCount="15">
    <brk id="40" max="16383" man="1"/>
    <brk id="76" max="16383" man="1"/>
    <brk id="112" max="16383" man="1"/>
    <brk id="148" max="16383" man="1"/>
    <brk id="184" max="16383" man="1"/>
    <brk id="220" max="16383" man="1"/>
    <brk id="256" max="16383" man="1"/>
    <brk id="292" max="16383" man="1"/>
    <brk id="328" max="16383" man="1"/>
    <brk id="364" max="16383" man="1"/>
    <brk id="400" max="16383" man="1"/>
    <brk id="436" max="16383" man="1"/>
    <brk id="472" max="16383" man="1"/>
    <brk id="508" max="16383" man="1"/>
    <brk id="54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CarsolRight">
                <anchor moveWithCells="1" sizeWithCells="1">
                  <from>
                    <xdr:col>9</xdr:col>
                    <xdr:colOff>723900</xdr:colOff>
                    <xdr:row>0</xdr:row>
                    <xdr:rowOff>47625</xdr:rowOff>
                  </from>
                  <to>
                    <xdr:col>10</xdr:col>
                    <xdr:colOff>714375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" name="Button 38">
              <controlPr defaultSize="0" print="0" autoFill="0" autoPict="0" macro="[0]!フォルダー作成と保存">
                <anchor moveWithCells="1" sizeWithCells="1">
                  <from>
                    <xdr:col>7</xdr:col>
                    <xdr:colOff>628650</xdr:colOff>
                    <xdr:row>0</xdr:row>
                    <xdr:rowOff>57150</xdr:rowOff>
                  </from>
                  <to>
                    <xdr:col>8</xdr:col>
                    <xdr:colOff>628650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Button 39">
              <controlPr defaultSize="0" print="0" autoFill="0" autoPict="0" macro="[0]!Bookを閉じる">
                <anchor moveWithCells="1" sizeWithCells="1">
                  <from>
                    <xdr:col>8</xdr:col>
                    <xdr:colOff>695325</xdr:colOff>
                    <xdr:row>0</xdr:row>
                    <xdr:rowOff>47625</xdr:rowOff>
                  </from>
                  <to>
                    <xdr:col>9</xdr:col>
                    <xdr:colOff>638175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160"/>
  <sheetViews>
    <sheetView showGridLines="0" showZeros="0" topLeftCell="A2" zoomScaleNormal="100" zoomScaleSheetLayoutView="100" workbookViewId="0">
      <pane xSplit="11" ySplit="7" topLeftCell="L9" activePane="bottomRight" state="frozen"/>
      <selection activeCell="A2" sqref="A2"/>
      <selection pane="topRight" activeCell="L2" sqref="L2"/>
      <selection pane="bottomLeft" activeCell="A8" sqref="A8"/>
      <selection pane="bottomRight" activeCell="D5" sqref="D5:E5"/>
    </sheetView>
  </sheetViews>
  <sheetFormatPr defaultRowHeight="13.5"/>
  <cols>
    <col min="1" max="1" width="3" customWidth="1"/>
    <col min="2" max="2" width="6.875" customWidth="1"/>
    <col min="3" max="3" width="11" customWidth="1"/>
    <col min="4" max="4" width="11.25" customWidth="1"/>
    <col min="5" max="9" width="11.25" style="1" customWidth="1"/>
    <col min="10" max="10" width="2.5" style="26" customWidth="1"/>
    <col min="11" max="33" width="10.625" customWidth="1"/>
  </cols>
  <sheetData>
    <row r="1" spans="1:33" ht="13.5" hidden="1" customHeight="1">
      <c r="L1" s="1"/>
      <c r="M1" s="1"/>
      <c r="N1" s="1"/>
      <c r="O1" s="1"/>
      <c r="P1" s="1"/>
      <c r="Q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18" customFormat="1" ht="19.5" customHeight="1">
      <c r="A2" s="25"/>
      <c r="B2" s="17" t="s">
        <v>0</v>
      </c>
      <c r="C2" s="20" t="s">
        <v>91</v>
      </c>
      <c r="E2" s="20"/>
      <c r="F2" s="20"/>
      <c r="G2" s="20"/>
      <c r="H2" s="20"/>
      <c r="I2" s="23" t="s">
        <v>48</v>
      </c>
      <c r="J2" s="27"/>
      <c r="K2" s="19"/>
      <c r="L2" s="19"/>
      <c r="M2" s="33"/>
      <c r="N2" s="34"/>
      <c r="O2" s="34"/>
      <c r="P2" s="34"/>
      <c r="Q2" s="34"/>
      <c r="R2" s="34"/>
      <c r="S2" s="34"/>
      <c r="T2" s="34"/>
      <c r="U2" s="34"/>
      <c r="V2" s="33"/>
      <c r="W2" s="33"/>
      <c r="X2" s="34"/>
      <c r="Y2" s="34"/>
      <c r="Z2" s="34"/>
      <c r="AA2" s="34"/>
      <c r="AB2" s="34"/>
      <c r="AC2" s="34"/>
      <c r="AD2" s="34"/>
      <c r="AE2" s="33"/>
      <c r="AF2" s="33"/>
      <c r="AG2" s="19"/>
    </row>
    <row r="3" spans="1:33" ht="6" customHeight="1">
      <c r="K3" s="1"/>
      <c r="L3" s="1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1"/>
    </row>
    <row r="4" spans="1:33" ht="13.5" customHeight="1">
      <c r="B4" s="21"/>
      <c r="C4" s="88"/>
      <c r="D4" s="88"/>
      <c r="E4" s="89"/>
      <c r="F4" s="87"/>
      <c r="G4" s="151" t="s">
        <v>57</v>
      </c>
      <c r="H4" s="151"/>
      <c r="I4" s="151"/>
      <c r="L4" s="1"/>
      <c r="M4" s="35"/>
      <c r="N4" s="36"/>
      <c r="O4" s="38"/>
      <c r="P4" s="38"/>
      <c r="Q4" s="37"/>
      <c r="R4" s="35"/>
      <c r="S4" s="35"/>
      <c r="T4" s="35"/>
      <c r="U4" s="35"/>
      <c r="V4" s="35"/>
      <c r="W4" s="37"/>
      <c r="X4" s="36"/>
      <c r="Y4" s="38"/>
      <c r="Z4" s="38"/>
      <c r="AA4" s="37"/>
      <c r="AB4" s="35"/>
      <c r="AC4" s="35"/>
      <c r="AD4" s="37"/>
      <c r="AE4" s="37"/>
      <c r="AF4" s="37"/>
    </row>
    <row r="5" spans="1:33" ht="13.5" customHeight="1">
      <c r="B5" s="57"/>
      <c r="C5" s="22" t="s">
        <v>10</v>
      </c>
      <c r="D5" s="142">
        <f>測定値!B3</f>
        <v>0</v>
      </c>
      <c r="E5" s="142"/>
      <c r="F5" s="55"/>
      <c r="G5" s="152" t="s">
        <v>58</v>
      </c>
      <c r="H5" s="152"/>
      <c r="I5" s="152"/>
      <c r="L5" s="1"/>
      <c r="M5" s="35"/>
      <c r="N5" s="36"/>
      <c r="O5" s="38"/>
      <c r="P5" s="38"/>
      <c r="Q5" s="37"/>
      <c r="R5" s="35"/>
      <c r="S5" s="35"/>
      <c r="T5" s="35"/>
      <c r="U5" s="35"/>
      <c r="V5" s="35"/>
      <c r="W5" s="37"/>
      <c r="X5" s="36"/>
      <c r="Y5" s="38"/>
      <c r="Z5" s="38"/>
      <c r="AA5" s="37"/>
      <c r="AB5" s="35"/>
      <c r="AC5" s="35"/>
      <c r="AD5" s="37"/>
      <c r="AE5" s="37"/>
      <c r="AF5" s="37"/>
    </row>
    <row r="6" spans="1:33" ht="4.5" customHeight="1" thickBot="1">
      <c r="B6" s="57"/>
      <c r="C6" s="91"/>
      <c r="D6" s="92"/>
      <c r="E6" s="92"/>
      <c r="F6" s="55"/>
      <c r="G6" s="90"/>
      <c r="H6" s="55"/>
      <c r="I6" s="55"/>
      <c r="L6" s="1"/>
      <c r="M6" s="35"/>
      <c r="N6" s="36"/>
      <c r="O6" s="38"/>
      <c r="P6" s="38"/>
      <c r="Q6" s="37"/>
      <c r="R6" s="35"/>
      <c r="S6" s="35"/>
      <c r="T6" s="35"/>
      <c r="U6" s="35"/>
      <c r="V6" s="35"/>
      <c r="W6" s="37"/>
      <c r="X6" s="36"/>
      <c r="Y6" s="38"/>
      <c r="Z6" s="38"/>
      <c r="AA6" s="37"/>
      <c r="AB6" s="35"/>
      <c r="AC6" s="35"/>
      <c r="AD6" s="37"/>
      <c r="AE6" s="37"/>
      <c r="AF6" s="37"/>
    </row>
    <row r="7" spans="1:33" ht="12" customHeight="1">
      <c r="B7" s="145" t="s">
        <v>49</v>
      </c>
      <c r="C7" s="146"/>
      <c r="D7" s="58" t="str">
        <f>IF(D11=0,"",測定値!E5)</f>
        <v/>
      </c>
      <c r="E7" s="58" t="str">
        <f>IF(E11=0,"",D7+1)</f>
        <v/>
      </c>
      <c r="F7" s="58" t="str">
        <f>IF(F11=0,"",E7+1)</f>
        <v/>
      </c>
      <c r="G7" s="58" t="str">
        <f>IF(G11=0,"",F7+1)</f>
        <v/>
      </c>
      <c r="H7" s="58" t="str">
        <f>IF(H11=0,"",G7+1)</f>
        <v/>
      </c>
      <c r="I7" s="59" t="str">
        <f>IF(I11=0,"",H7+1)</f>
        <v/>
      </c>
      <c r="J7" s="56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</row>
    <row r="8" spans="1:33" ht="12.75" customHeight="1">
      <c r="B8" s="143" t="s">
        <v>1</v>
      </c>
      <c r="C8" s="144"/>
      <c r="D8" s="24">
        <f>IF(D11="","",測定値!$B5)</f>
        <v>0</v>
      </c>
      <c r="E8" s="24">
        <f>IF(E11="","",測定値!$B23)</f>
        <v>0</v>
      </c>
      <c r="F8" s="24">
        <f>IF(F11="","",測定値!$B41)</f>
        <v>0</v>
      </c>
      <c r="G8" s="24">
        <f>IF(G11="","",測定値!$B59)</f>
        <v>0</v>
      </c>
      <c r="H8" s="24">
        <f>IF(H11="","",測定値!$B77)</f>
        <v>0</v>
      </c>
      <c r="I8" s="60">
        <f>IF(I11="","",測定値!$B95)</f>
        <v>0</v>
      </c>
      <c r="J8" s="56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</row>
    <row r="9" spans="1:33" ht="12.75" customHeight="1">
      <c r="B9" s="143" t="s">
        <v>2</v>
      </c>
      <c r="C9" s="144"/>
      <c r="D9" s="54">
        <f>IF(D11="","",測定値!$C5)</f>
        <v>0</v>
      </c>
      <c r="E9" s="54">
        <f>IF(E11="","",測定値!$C23)</f>
        <v>0</v>
      </c>
      <c r="F9" s="54">
        <f>IF(F11="","",測定値!$C41)</f>
        <v>0</v>
      </c>
      <c r="G9" s="54">
        <f>IF(G11="","",測定値!$C59)</f>
        <v>0</v>
      </c>
      <c r="H9" s="54">
        <f>IF(H11="","",測定値!$C77)</f>
        <v>0</v>
      </c>
      <c r="I9" s="61">
        <f>IF(I11="","",測定値!$C95)</f>
        <v>0</v>
      </c>
      <c r="J9" s="56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</row>
    <row r="10" spans="1:33" ht="12.75" customHeight="1">
      <c r="B10" s="147" t="s">
        <v>27</v>
      </c>
      <c r="C10" s="148"/>
      <c r="D10" s="39">
        <f>測定値!E5</f>
        <v>1</v>
      </c>
      <c r="E10" s="39" t="str">
        <f>IF(E11=0,"",D10+3)</f>
        <v/>
      </c>
      <c r="F10" s="39" t="str">
        <f>IF(F11=0,"",E10+3)</f>
        <v/>
      </c>
      <c r="G10" s="39" t="str">
        <f>IF(G11=0,"",F10+3)</f>
        <v/>
      </c>
      <c r="H10" s="39" t="str">
        <f>IF(H11=0,"",G10+3)</f>
        <v/>
      </c>
      <c r="I10" s="62" t="str">
        <f>IF(I11=0,"",H10+3)</f>
        <v/>
      </c>
      <c r="J10" s="56"/>
    </row>
    <row r="11" spans="1:33" ht="12" customHeight="1">
      <c r="B11" s="149" t="s">
        <v>81</v>
      </c>
      <c r="C11" s="40" t="s">
        <v>28</v>
      </c>
      <c r="D11" s="41">
        <f>測定値!$I5</f>
        <v>0</v>
      </c>
      <c r="E11" s="41">
        <f>測定値!$I23</f>
        <v>0</v>
      </c>
      <c r="F11" s="41">
        <f>測定値!$I41</f>
        <v>0</v>
      </c>
      <c r="G11" s="41">
        <f>測定値!$I59</f>
        <v>0</v>
      </c>
      <c r="H11" s="41">
        <f>測定値!$I77</f>
        <v>0</v>
      </c>
      <c r="I11" s="63">
        <f>測定値!$I95</f>
        <v>0</v>
      </c>
      <c r="J11" s="56"/>
    </row>
    <row r="12" spans="1:33" ht="12" customHeight="1">
      <c r="B12" s="150"/>
      <c r="C12" s="40" t="s">
        <v>29</v>
      </c>
      <c r="D12" s="41">
        <f>測定値!$I6</f>
        <v>0</v>
      </c>
      <c r="E12" s="41">
        <f>測定値!$I24</f>
        <v>0</v>
      </c>
      <c r="F12" s="41">
        <f>測定値!$I42</f>
        <v>0</v>
      </c>
      <c r="G12" s="41">
        <f>測定値!$I60</f>
        <v>0</v>
      </c>
      <c r="H12" s="41">
        <f>測定値!$I78</f>
        <v>0</v>
      </c>
      <c r="I12" s="63">
        <f>測定値!$I96</f>
        <v>0</v>
      </c>
      <c r="J12" s="56"/>
    </row>
    <row r="13" spans="1:33" ht="12" customHeight="1">
      <c r="B13" s="150"/>
      <c r="C13" s="40" t="s">
        <v>30</v>
      </c>
      <c r="D13" s="41">
        <f>測定値!$I7</f>
        <v>0</v>
      </c>
      <c r="E13" s="41">
        <f>測定値!$I25</f>
        <v>0</v>
      </c>
      <c r="F13" s="41">
        <f>測定値!$I43</f>
        <v>0</v>
      </c>
      <c r="G13" s="41">
        <f>測定値!$I61</f>
        <v>0</v>
      </c>
      <c r="H13" s="41">
        <f>測定値!$I79</f>
        <v>0</v>
      </c>
      <c r="I13" s="63">
        <f>測定値!$I97</f>
        <v>0</v>
      </c>
      <c r="J13" s="56"/>
    </row>
    <row r="14" spans="1:33" ht="12" customHeight="1">
      <c r="B14" s="150"/>
      <c r="C14" s="40" t="s">
        <v>31</v>
      </c>
      <c r="D14" s="41">
        <f>測定値!$I8</f>
        <v>0</v>
      </c>
      <c r="E14" s="41">
        <f>測定値!$I26</f>
        <v>0</v>
      </c>
      <c r="F14" s="41">
        <f>測定値!$I44</f>
        <v>0</v>
      </c>
      <c r="G14" s="41">
        <f>測定値!$I62</f>
        <v>0</v>
      </c>
      <c r="H14" s="41">
        <f>測定値!$I80</f>
        <v>0</v>
      </c>
      <c r="I14" s="63">
        <f>測定値!$I98</f>
        <v>0</v>
      </c>
      <c r="J14" s="56"/>
    </row>
    <row r="15" spans="1:33" ht="12" customHeight="1">
      <c r="B15" s="150"/>
      <c r="C15" s="40" t="s">
        <v>32</v>
      </c>
      <c r="D15" s="41">
        <f>測定値!$I9</f>
        <v>0</v>
      </c>
      <c r="E15" s="41">
        <f>測定値!$I27</f>
        <v>0</v>
      </c>
      <c r="F15" s="41">
        <f>測定値!$I45</f>
        <v>0</v>
      </c>
      <c r="G15" s="41">
        <f>測定値!$I63</f>
        <v>0</v>
      </c>
      <c r="H15" s="41">
        <f>測定値!$I81</f>
        <v>0</v>
      </c>
      <c r="I15" s="63">
        <f>測定値!$I99</f>
        <v>0</v>
      </c>
      <c r="J15" s="56"/>
    </row>
    <row r="16" spans="1:33" ht="12" customHeight="1">
      <c r="B16" s="150"/>
      <c r="C16" s="40" t="s">
        <v>33</v>
      </c>
      <c r="D16" s="41">
        <f>測定値!$I10</f>
        <v>0</v>
      </c>
      <c r="E16" s="41">
        <f>測定値!$I28</f>
        <v>0</v>
      </c>
      <c r="F16" s="41">
        <f>測定値!$I46</f>
        <v>0</v>
      </c>
      <c r="G16" s="41">
        <f>測定値!$I64</f>
        <v>0</v>
      </c>
      <c r="H16" s="41">
        <f>測定値!$I82</f>
        <v>0</v>
      </c>
      <c r="I16" s="63">
        <f>測定値!$I100</f>
        <v>0</v>
      </c>
      <c r="J16" s="56"/>
    </row>
    <row r="17" spans="2:10" ht="12" customHeight="1">
      <c r="B17" s="150"/>
      <c r="C17" s="40" t="s">
        <v>3</v>
      </c>
      <c r="D17" s="41">
        <f t="shared" ref="D17:I17" si="0">MIN(D11:D16)</f>
        <v>0</v>
      </c>
      <c r="E17" s="41">
        <f t="shared" si="0"/>
        <v>0</v>
      </c>
      <c r="F17" s="41">
        <f t="shared" si="0"/>
        <v>0</v>
      </c>
      <c r="G17" s="41">
        <f t="shared" si="0"/>
        <v>0</v>
      </c>
      <c r="H17" s="41">
        <f t="shared" si="0"/>
        <v>0</v>
      </c>
      <c r="I17" s="63">
        <f t="shared" si="0"/>
        <v>0</v>
      </c>
      <c r="J17" s="56"/>
    </row>
    <row r="18" spans="2:10" ht="12" customHeight="1">
      <c r="B18" s="96" t="s">
        <v>83</v>
      </c>
      <c r="C18" s="95" t="s">
        <v>4</v>
      </c>
      <c r="D18" s="42">
        <f t="shared" ref="D18:I18" si="1">MAX(D11:D16)</f>
        <v>0</v>
      </c>
      <c r="E18" s="42">
        <f t="shared" si="1"/>
        <v>0</v>
      </c>
      <c r="F18" s="42">
        <f t="shared" si="1"/>
        <v>0</v>
      </c>
      <c r="G18" s="42">
        <f t="shared" si="1"/>
        <v>0</v>
      </c>
      <c r="H18" s="42">
        <f t="shared" si="1"/>
        <v>0</v>
      </c>
      <c r="I18" s="64">
        <f t="shared" si="1"/>
        <v>0</v>
      </c>
      <c r="J18" s="56"/>
    </row>
    <row r="19" spans="2:10" ht="12" customHeight="1">
      <c r="B19" s="140" t="s">
        <v>82</v>
      </c>
      <c r="C19" s="141"/>
      <c r="D19" s="39">
        <f>測定値!E11</f>
        <v>0</v>
      </c>
      <c r="E19" s="39" t="str">
        <f>IF(E20=0,"",E10+1)</f>
        <v/>
      </c>
      <c r="F19" s="39" t="str">
        <f>IF(F20=0,"",F10+1)</f>
        <v/>
      </c>
      <c r="G19" s="39" t="str">
        <f>IF(G20=0,"",G10+1)</f>
        <v/>
      </c>
      <c r="H19" s="39" t="str">
        <f>IF(H20=0,"",H10+1)</f>
        <v/>
      </c>
      <c r="I19" s="62" t="str">
        <f>IF(I20=0,"",I10+1)</f>
        <v/>
      </c>
      <c r="J19" s="56"/>
    </row>
    <row r="20" spans="2:10" ht="12" customHeight="1">
      <c r="B20" s="149" t="s">
        <v>16</v>
      </c>
      <c r="C20" s="40" t="s">
        <v>35</v>
      </c>
      <c r="D20" s="41">
        <f>測定値!$I11</f>
        <v>0</v>
      </c>
      <c r="E20" s="41">
        <f>測定値!$I29</f>
        <v>0</v>
      </c>
      <c r="F20" s="41">
        <f>測定値!$I47</f>
        <v>0</v>
      </c>
      <c r="G20" s="41">
        <f>測定値!$I65</f>
        <v>0</v>
      </c>
      <c r="H20" s="41">
        <f>測定値!$I83</f>
        <v>0</v>
      </c>
      <c r="I20" s="63">
        <f>測定値!$I101</f>
        <v>0</v>
      </c>
      <c r="J20" s="56"/>
    </row>
    <row r="21" spans="2:10" ht="12" customHeight="1">
      <c r="B21" s="150"/>
      <c r="C21" s="40" t="s">
        <v>36</v>
      </c>
      <c r="D21" s="41">
        <f>測定値!$I12</f>
        <v>0</v>
      </c>
      <c r="E21" s="41">
        <f>測定値!$I30</f>
        <v>0</v>
      </c>
      <c r="F21" s="41">
        <f>測定値!$I48</f>
        <v>0</v>
      </c>
      <c r="G21" s="41">
        <f>測定値!$I66</f>
        <v>0</v>
      </c>
      <c r="H21" s="41">
        <f>測定値!$I84</f>
        <v>0</v>
      </c>
      <c r="I21" s="63">
        <f>測定値!$I102</f>
        <v>0</v>
      </c>
      <c r="J21" s="56"/>
    </row>
    <row r="22" spans="2:10" ht="12" customHeight="1">
      <c r="B22" s="150"/>
      <c r="C22" s="40" t="s">
        <v>37</v>
      </c>
      <c r="D22" s="41">
        <f>測定値!$I13</f>
        <v>0</v>
      </c>
      <c r="E22" s="41">
        <f>測定値!$I31</f>
        <v>0</v>
      </c>
      <c r="F22" s="41">
        <f>測定値!$I49</f>
        <v>0</v>
      </c>
      <c r="G22" s="41">
        <f>測定値!$I67</f>
        <v>0</v>
      </c>
      <c r="H22" s="41">
        <f>測定値!$I85</f>
        <v>0</v>
      </c>
      <c r="I22" s="63">
        <f>測定値!$I103</f>
        <v>0</v>
      </c>
      <c r="J22" s="56"/>
    </row>
    <row r="23" spans="2:10" ht="12" customHeight="1">
      <c r="B23" s="150"/>
      <c r="C23" s="40" t="s">
        <v>38</v>
      </c>
      <c r="D23" s="41">
        <f>測定値!$I14</f>
        <v>0</v>
      </c>
      <c r="E23" s="41">
        <f>測定値!$I32</f>
        <v>0</v>
      </c>
      <c r="F23" s="41">
        <f>測定値!$I50</f>
        <v>0</v>
      </c>
      <c r="G23" s="41">
        <f>測定値!$I68</f>
        <v>0</v>
      </c>
      <c r="H23" s="41">
        <f>測定値!$I86</f>
        <v>0</v>
      </c>
      <c r="I23" s="63">
        <f>測定値!$I104</f>
        <v>0</v>
      </c>
      <c r="J23" s="56"/>
    </row>
    <row r="24" spans="2:10" ht="12" customHeight="1">
      <c r="B24" s="150"/>
      <c r="C24" s="40" t="s">
        <v>39</v>
      </c>
      <c r="D24" s="41">
        <f>測定値!$I15</f>
        <v>0</v>
      </c>
      <c r="E24" s="41">
        <f>測定値!$I33</f>
        <v>0</v>
      </c>
      <c r="F24" s="41">
        <f>測定値!$I51</f>
        <v>0</v>
      </c>
      <c r="G24" s="41">
        <f>測定値!$I69</f>
        <v>0</v>
      </c>
      <c r="H24" s="41">
        <f>測定値!$I87</f>
        <v>0</v>
      </c>
      <c r="I24" s="63">
        <f>測定値!$I105</f>
        <v>0</v>
      </c>
      <c r="J24" s="56"/>
    </row>
    <row r="25" spans="2:10" ht="12" customHeight="1">
      <c r="B25" s="150" t="s">
        <v>50</v>
      </c>
      <c r="C25" s="40" t="s">
        <v>40</v>
      </c>
      <c r="D25" s="41">
        <f>測定値!$I16</f>
        <v>0</v>
      </c>
      <c r="E25" s="41">
        <f>測定値!$I34</f>
        <v>0</v>
      </c>
      <c r="F25" s="41">
        <f>測定値!$I52</f>
        <v>0</v>
      </c>
      <c r="G25" s="41">
        <f>測定値!$I70</f>
        <v>0</v>
      </c>
      <c r="H25" s="41">
        <f>測定値!$I88</f>
        <v>0</v>
      </c>
      <c r="I25" s="63">
        <f>測定値!$I106</f>
        <v>0</v>
      </c>
      <c r="J25" s="56"/>
    </row>
    <row r="26" spans="2:10" ht="12" customHeight="1">
      <c r="B26" s="150" t="s">
        <v>3</v>
      </c>
      <c r="C26" s="40" t="s">
        <v>3</v>
      </c>
      <c r="D26" s="43">
        <f t="shared" ref="D26:I26" si="2">MIN(D20:D25)</f>
        <v>0</v>
      </c>
      <c r="E26" s="43">
        <f t="shared" si="2"/>
        <v>0</v>
      </c>
      <c r="F26" s="43">
        <f t="shared" si="2"/>
        <v>0</v>
      </c>
      <c r="G26" s="43">
        <f t="shared" si="2"/>
        <v>0</v>
      </c>
      <c r="H26" s="43">
        <f t="shared" si="2"/>
        <v>0</v>
      </c>
      <c r="I26" s="65">
        <f t="shared" si="2"/>
        <v>0</v>
      </c>
      <c r="J26" s="56"/>
    </row>
    <row r="27" spans="2:10" ht="12" customHeight="1">
      <c r="B27" s="96" t="s">
        <v>83</v>
      </c>
      <c r="C27" s="95" t="s">
        <v>4</v>
      </c>
      <c r="D27" s="44">
        <f t="shared" ref="D27:I27" si="3">MAX(D20:D25)</f>
        <v>0</v>
      </c>
      <c r="E27" s="44">
        <f t="shared" si="3"/>
        <v>0</v>
      </c>
      <c r="F27" s="44">
        <f t="shared" si="3"/>
        <v>0</v>
      </c>
      <c r="G27" s="44">
        <f t="shared" si="3"/>
        <v>0</v>
      </c>
      <c r="H27" s="44">
        <f t="shared" si="3"/>
        <v>0</v>
      </c>
      <c r="I27" s="66">
        <f t="shared" si="3"/>
        <v>0</v>
      </c>
      <c r="J27" s="56"/>
    </row>
    <row r="28" spans="2:10" ht="12" customHeight="1">
      <c r="B28" s="147" t="s">
        <v>34</v>
      </c>
      <c r="C28" s="148"/>
      <c r="D28" s="39" t="str">
        <f>IF(D29=0,"",測定値!$E17)</f>
        <v/>
      </c>
      <c r="E28" s="39" t="str">
        <f>IF(E29=0,"",E19+1)</f>
        <v/>
      </c>
      <c r="F28" s="39" t="str">
        <f>IF(F29=0,"",F19+1)</f>
        <v/>
      </c>
      <c r="G28" s="39" t="str">
        <f>IF(G29=0,"",G19+1)</f>
        <v/>
      </c>
      <c r="H28" s="39" t="str">
        <f>IF(H29=0,"",H19+1)</f>
        <v/>
      </c>
      <c r="I28" s="62" t="str">
        <f>IF(I29=0,"",I19+1)</f>
        <v/>
      </c>
      <c r="J28" s="56"/>
    </row>
    <row r="29" spans="2:10" ht="12" customHeight="1">
      <c r="B29" s="149" t="s">
        <v>17</v>
      </c>
      <c r="C29" s="40" t="s">
        <v>41</v>
      </c>
      <c r="D29" s="41">
        <f>測定値!$I17</f>
        <v>0</v>
      </c>
      <c r="E29" s="41">
        <f>測定値!$I35</f>
        <v>0</v>
      </c>
      <c r="F29" s="41">
        <f>測定値!$I53</f>
        <v>0</v>
      </c>
      <c r="G29" s="41">
        <f>測定値!$I71</f>
        <v>0</v>
      </c>
      <c r="H29" s="41">
        <f>測定値!$I89</f>
        <v>0</v>
      </c>
      <c r="I29" s="63">
        <f>測定値!$I107</f>
        <v>0</v>
      </c>
      <c r="J29" s="56"/>
    </row>
    <row r="30" spans="2:10" ht="12" customHeight="1">
      <c r="B30" s="150"/>
      <c r="C30" s="40" t="s">
        <v>42</v>
      </c>
      <c r="D30" s="41">
        <f>測定値!$I18</f>
        <v>0</v>
      </c>
      <c r="E30" s="41">
        <f>測定値!$I36</f>
        <v>0</v>
      </c>
      <c r="F30" s="41">
        <f>測定値!$I54</f>
        <v>0</v>
      </c>
      <c r="G30" s="41">
        <f>測定値!$I72</f>
        <v>0</v>
      </c>
      <c r="H30" s="41">
        <f>測定値!$I90</f>
        <v>0</v>
      </c>
      <c r="I30" s="63">
        <f>測定値!$I108</f>
        <v>0</v>
      </c>
      <c r="J30" s="56"/>
    </row>
    <row r="31" spans="2:10" ht="12" customHeight="1">
      <c r="B31" s="150"/>
      <c r="C31" s="40" t="s">
        <v>43</v>
      </c>
      <c r="D31" s="41">
        <f>測定値!$I19</f>
        <v>0</v>
      </c>
      <c r="E31" s="41">
        <f>測定値!$I37</f>
        <v>0</v>
      </c>
      <c r="F31" s="41">
        <f>測定値!$I55</f>
        <v>0</v>
      </c>
      <c r="G31" s="41">
        <f>測定値!$I73</f>
        <v>0</v>
      </c>
      <c r="H31" s="41">
        <f>測定値!$I91</f>
        <v>0</v>
      </c>
      <c r="I31" s="63">
        <f>測定値!$I109</f>
        <v>0</v>
      </c>
      <c r="J31" s="56"/>
    </row>
    <row r="32" spans="2:10" ht="12" customHeight="1">
      <c r="B32" s="150"/>
      <c r="C32" s="40" t="s">
        <v>44</v>
      </c>
      <c r="D32" s="41">
        <f>測定値!$I20</f>
        <v>0</v>
      </c>
      <c r="E32" s="41">
        <f>測定値!$I38</f>
        <v>0</v>
      </c>
      <c r="F32" s="41">
        <f>測定値!$I56</f>
        <v>0</v>
      </c>
      <c r="G32" s="41">
        <f>測定値!$I74</f>
        <v>0</v>
      </c>
      <c r="H32" s="41">
        <f>測定値!$I92</f>
        <v>0</v>
      </c>
      <c r="I32" s="63">
        <f>測定値!$I110</f>
        <v>0</v>
      </c>
      <c r="J32" s="56"/>
    </row>
    <row r="33" spans="2:33" ht="12" customHeight="1">
      <c r="B33" s="150"/>
      <c r="C33" s="40" t="s">
        <v>45</v>
      </c>
      <c r="D33" s="41">
        <f>測定値!$I21</f>
        <v>0</v>
      </c>
      <c r="E33" s="41">
        <f>測定値!$I39</f>
        <v>0</v>
      </c>
      <c r="F33" s="41">
        <f>測定値!$I57</f>
        <v>0</v>
      </c>
      <c r="G33" s="41">
        <f>測定値!$I75</f>
        <v>0</v>
      </c>
      <c r="H33" s="41">
        <f>測定値!$I93</f>
        <v>0</v>
      </c>
      <c r="I33" s="63">
        <f>測定値!$I111</f>
        <v>0</v>
      </c>
      <c r="J33" s="56"/>
    </row>
    <row r="34" spans="2:33" ht="12" customHeight="1">
      <c r="B34" s="150"/>
      <c r="C34" s="40" t="s">
        <v>46</v>
      </c>
      <c r="D34" s="41">
        <f>測定値!$I22</f>
        <v>0</v>
      </c>
      <c r="E34" s="41">
        <f>測定値!$I40</f>
        <v>0</v>
      </c>
      <c r="F34" s="41">
        <f>測定値!$I58</f>
        <v>0</v>
      </c>
      <c r="G34" s="41">
        <f>測定値!$I76</f>
        <v>0</v>
      </c>
      <c r="H34" s="41">
        <f>測定値!$I94</f>
        <v>0</v>
      </c>
      <c r="I34" s="63">
        <f>測定値!$I112</f>
        <v>0</v>
      </c>
      <c r="J34" s="56"/>
    </row>
    <row r="35" spans="2:33" ht="12" customHeight="1">
      <c r="B35" s="150"/>
      <c r="C35" s="40" t="s">
        <v>3</v>
      </c>
      <c r="D35" s="43">
        <f t="shared" ref="D35:I35" si="4">MIN(D29:D34)</f>
        <v>0</v>
      </c>
      <c r="E35" s="43">
        <f t="shared" si="4"/>
        <v>0</v>
      </c>
      <c r="F35" s="43">
        <f t="shared" si="4"/>
        <v>0</v>
      </c>
      <c r="G35" s="43">
        <f t="shared" si="4"/>
        <v>0</v>
      </c>
      <c r="H35" s="43">
        <f t="shared" si="4"/>
        <v>0</v>
      </c>
      <c r="I35" s="65">
        <f t="shared" si="4"/>
        <v>0</v>
      </c>
      <c r="J35" s="56"/>
    </row>
    <row r="36" spans="2:33" ht="12" customHeight="1" thickBot="1">
      <c r="B36" s="99" t="s">
        <v>83</v>
      </c>
      <c r="C36" s="94" t="s">
        <v>4</v>
      </c>
      <c r="D36" s="45">
        <f t="shared" ref="D36:I36" si="5">MAX(D29:D34)</f>
        <v>0</v>
      </c>
      <c r="E36" s="45">
        <f t="shared" si="5"/>
        <v>0</v>
      </c>
      <c r="F36" s="45">
        <f t="shared" si="5"/>
        <v>0</v>
      </c>
      <c r="G36" s="45">
        <f t="shared" si="5"/>
        <v>0</v>
      </c>
      <c r="H36" s="45">
        <f t="shared" si="5"/>
        <v>0</v>
      </c>
      <c r="I36" s="67">
        <f t="shared" si="5"/>
        <v>0</v>
      </c>
      <c r="J36" s="56"/>
    </row>
    <row r="37" spans="2:33" ht="12" customHeight="1" thickBot="1">
      <c r="B37" s="30"/>
      <c r="C37" s="30"/>
      <c r="D37" s="30"/>
      <c r="E37" s="31"/>
      <c r="F37" s="31"/>
      <c r="G37" s="31"/>
      <c r="H37" s="31"/>
      <c r="I37" s="31"/>
      <c r="J37" s="28"/>
      <c r="P37" s="26"/>
      <c r="Q37" s="26"/>
      <c r="R37" s="29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</row>
    <row r="38" spans="2:33" ht="12" customHeight="1">
      <c r="B38" s="145" t="s">
        <v>47</v>
      </c>
      <c r="C38" s="146"/>
      <c r="D38" s="58" t="str">
        <f>IF(D42=0,"",I7+1)</f>
        <v/>
      </c>
      <c r="E38" s="58" t="str">
        <f>IF(E42=0,"",D38+1)</f>
        <v/>
      </c>
      <c r="F38" s="58" t="str">
        <f>IF(F42=0,"",E38+1)</f>
        <v/>
      </c>
      <c r="G38" s="58" t="str">
        <f>IF(G42=0,"",F38+1)</f>
        <v/>
      </c>
      <c r="H38" s="58" t="str">
        <f>IF(H42=0,"",G38+1)</f>
        <v/>
      </c>
      <c r="I38" s="59" t="str">
        <f>IF(I42=0,"",H38+1)</f>
        <v/>
      </c>
      <c r="J38" s="56"/>
      <c r="P38" s="1"/>
      <c r="Q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2:33" s="29" customFormat="1" ht="12" customHeight="1">
      <c r="B39" s="143" t="s">
        <v>1</v>
      </c>
      <c r="C39" s="144"/>
      <c r="D39" s="24">
        <f>IF(D42="","",測定値!$B113)</f>
        <v>0</v>
      </c>
      <c r="E39" s="24">
        <f>IF(E42="","",測定値!$B131)</f>
        <v>0</v>
      </c>
      <c r="F39" s="24">
        <f>IF(F42="","",測定値!$B149)</f>
        <v>0</v>
      </c>
      <c r="G39" s="24">
        <f>IF(G42="","",測定値!$B167)</f>
        <v>0</v>
      </c>
      <c r="H39" s="24">
        <f>IF(H42="","",測定値!$B185)</f>
        <v>0</v>
      </c>
      <c r="I39" s="60">
        <f>IF(I42="","",測定値!$B203)</f>
        <v>0</v>
      </c>
      <c r="J39" s="26"/>
      <c r="L39" s="26"/>
      <c r="M39" s="26"/>
      <c r="N39" s="32"/>
      <c r="O39" s="26"/>
      <c r="P39" s="1"/>
      <c r="Q39" s="1"/>
      <c r="R39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2:33" ht="12" customHeight="1">
      <c r="B40" s="143" t="s">
        <v>2</v>
      </c>
      <c r="C40" s="144"/>
      <c r="D40" s="54">
        <f>IF(D42="","",測定値!$C113)</f>
        <v>0</v>
      </c>
      <c r="E40" s="54">
        <f>IF(E42="","",測定値!$C131)</f>
        <v>0</v>
      </c>
      <c r="F40" s="54">
        <f>IF(F42="","",測定値!$C149)</f>
        <v>0</v>
      </c>
      <c r="G40" s="54">
        <f>IF(G42="","",測定値!$C167)</f>
        <v>0</v>
      </c>
      <c r="H40" s="54">
        <f>IF(H42="","",測定値!$C185)</f>
        <v>0</v>
      </c>
      <c r="I40" s="61">
        <f>IF(I42="","",測定値!$C203)</f>
        <v>0</v>
      </c>
      <c r="L40" s="1"/>
      <c r="M40" s="1"/>
      <c r="N40" s="2"/>
      <c r="O40" s="1"/>
      <c r="P40" s="1"/>
      <c r="Q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2:33" ht="12" customHeight="1">
      <c r="B41" s="147" t="s">
        <v>51</v>
      </c>
      <c r="C41" s="148"/>
      <c r="D41" s="39" t="str">
        <f>IF(D42=0,"",I10+3)</f>
        <v/>
      </c>
      <c r="E41" s="39" t="str">
        <f>IF(E42=0,"",D41+3)</f>
        <v/>
      </c>
      <c r="F41" s="39" t="str">
        <f>IF(F42=0,"",E41+3)</f>
        <v/>
      </c>
      <c r="G41" s="39" t="str">
        <f>IF(G42=0,"",F41+3)</f>
        <v/>
      </c>
      <c r="H41" s="39" t="str">
        <f>IF(H42=0,"",G41+3)</f>
        <v/>
      </c>
      <c r="I41" s="62" t="str">
        <f>IF(I42=0,"",H41+3)</f>
        <v/>
      </c>
      <c r="L41" s="1"/>
      <c r="M41" s="1"/>
      <c r="N41" s="1"/>
      <c r="O41" s="1"/>
    </row>
    <row r="42" spans="2:33" ht="12" customHeight="1">
      <c r="B42" s="149" t="s">
        <v>81</v>
      </c>
      <c r="C42" s="40" t="s">
        <v>28</v>
      </c>
      <c r="D42" s="41">
        <f>測定値!$I113</f>
        <v>0</v>
      </c>
      <c r="E42" s="41">
        <f>測定値!$I131</f>
        <v>0</v>
      </c>
      <c r="F42" s="41">
        <f>測定値!$I149</f>
        <v>0</v>
      </c>
      <c r="G42" s="41">
        <f>測定値!$I167</f>
        <v>0</v>
      </c>
      <c r="H42" s="41">
        <f>測定値!$I185</f>
        <v>0</v>
      </c>
      <c r="I42" s="63">
        <f>測定値!$I203</f>
        <v>0</v>
      </c>
      <c r="L42" s="1"/>
      <c r="M42" s="1"/>
      <c r="N42" s="1"/>
      <c r="O42" s="1"/>
    </row>
    <row r="43" spans="2:33" ht="12" customHeight="1">
      <c r="B43" s="150"/>
      <c r="C43" s="40" t="s">
        <v>29</v>
      </c>
      <c r="D43" s="41">
        <f>測定値!$I114</f>
        <v>0</v>
      </c>
      <c r="E43" s="41">
        <f>測定値!$I132</f>
        <v>0</v>
      </c>
      <c r="F43" s="41">
        <f>測定値!$I150</f>
        <v>0</v>
      </c>
      <c r="G43" s="41">
        <f>測定値!$I168</f>
        <v>0</v>
      </c>
      <c r="H43" s="41">
        <f>測定値!$I186</f>
        <v>0</v>
      </c>
      <c r="I43" s="63">
        <f>測定値!$I204</f>
        <v>0</v>
      </c>
    </row>
    <row r="44" spans="2:33" ht="12" customHeight="1">
      <c r="B44" s="150"/>
      <c r="C44" s="40" t="s">
        <v>30</v>
      </c>
      <c r="D44" s="41">
        <f>測定値!$I115</f>
        <v>0</v>
      </c>
      <c r="E44" s="41">
        <f>測定値!$I133</f>
        <v>0</v>
      </c>
      <c r="F44" s="41">
        <f>測定値!$I151</f>
        <v>0</v>
      </c>
      <c r="G44" s="41">
        <f>測定値!$I169</f>
        <v>0</v>
      </c>
      <c r="H44" s="41">
        <f>測定値!$I187</f>
        <v>0</v>
      </c>
      <c r="I44" s="63">
        <f>測定値!$I205</f>
        <v>0</v>
      </c>
    </row>
    <row r="45" spans="2:33" ht="12" customHeight="1">
      <c r="B45" s="150"/>
      <c r="C45" s="40" t="s">
        <v>31</v>
      </c>
      <c r="D45" s="41">
        <f>測定値!$I116</f>
        <v>0</v>
      </c>
      <c r="E45" s="41">
        <f>測定値!$I134</f>
        <v>0</v>
      </c>
      <c r="F45" s="41">
        <f>測定値!$I152</f>
        <v>0</v>
      </c>
      <c r="G45" s="41">
        <f>測定値!$I170</f>
        <v>0</v>
      </c>
      <c r="H45" s="41">
        <f>測定値!$I188</f>
        <v>0</v>
      </c>
      <c r="I45" s="63">
        <f>測定値!$I206</f>
        <v>0</v>
      </c>
    </row>
    <row r="46" spans="2:33" ht="12" customHeight="1">
      <c r="B46" s="150"/>
      <c r="C46" s="40" t="s">
        <v>32</v>
      </c>
      <c r="D46" s="41">
        <f>測定値!$I117</f>
        <v>0</v>
      </c>
      <c r="E46" s="41">
        <f>測定値!$I135</f>
        <v>0</v>
      </c>
      <c r="F46" s="41">
        <f>測定値!$I153</f>
        <v>0</v>
      </c>
      <c r="G46" s="41">
        <f>測定値!$I171</f>
        <v>0</v>
      </c>
      <c r="H46" s="41">
        <f>測定値!$I189</f>
        <v>0</v>
      </c>
      <c r="I46" s="63">
        <f>測定値!$I207</f>
        <v>0</v>
      </c>
    </row>
    <row r="47" spans="2:33" ht="12" customHeight="1">
      <c r="B47" s="150"/>
      <c r="C47" s="40" t="s">
        <v>33</v>
      </c>
      <c r="D47" s="41">
        <f>測定値!$I118</f>
        <v>0</v>
      </c>
      <c r="E47" s="41">
        <f>測定値!$I136</f>
        <v>0</v>
      </c>
      <c r="F47" s="41">
        <f>測定値!$I154</f>
        <v>0</v>
      </c>
      <c r="G47" s="41">
        <f>測定値!$I172</f>
        <v>0</v>
      </c>
      <c r="H47" s="41">
        <f>測定値!$I190</f>
        <v>0</v>
      </c>
      <c r="I47" s="63">
        <f>測定値!$I208</f>
        <v>0</v>
      </c>
    </row>
    <row r="48" spans="2:33" ht="12" customHeight="1">
      <c r="B48" s="150"/>
      <c r="C48" s="40" t="s">
        <v>3</v>
      </c>
      <c r="D48" s="41">
        <f t="shared" ref="D48:I48" si="6">MIN(D42:D47)</f>
        <v>0</v>
      </c>
      <c r="E48" s="41">
        <f t="shared" si="6"/>
        <v>0</v>
      </c>
      <c r="F48" s="41">
        <f t="shared" si="6"/>
        <v>0</v>
      </c>
      <c r="G48" s="41">
        <f t="shared" si="6"/>
        <v>0</v>
      </c>
      <c r="H48" s="41">
        <f t="shared" si="6"/>
        <v>0</v>
      </c>
      <c r="I48" s="63">
        <f t="shared" si="6"/>
        <v>0</v>
      </c>
    </row>
    <row r="49" spans="2:9" ht="12" customHeight="1">
      <c r="B49" s="96" t="s">
        <v>83</v>
      </c>
      <c r="C49" s="95" t="s">
        <v>4</v>
      </c>
      <c r="D49" s="42">
        <f t="shared" ref="D49:I49" si="7">MAX(D42:D47)</f>
        <v>0</v>
      </c>
      <c r="E49" s="42">
        <f t="shared" si="7"/>
        <v>0</v>
      </c>
      <c r="F49" s="42">
        <f t="shared" si="7"/>
        <v>0</v>
      </c>
      <c r="G49" s="42">
        <f t="shared" si="7"/>
        <v>0</v>
      </c>
      <c r="H49" s="42">
        <f t="shared" si="7"/>
        <v>0</v>
      </c>
      <c r="I49" s="64">
        <f t="shared" si="7"/>
        <v>0</v>
      </c>
    </row>
    <row r="50" spans="2:9" ht="12" customHeight="1">
      <c r="B50" s="140" t="s">
        <v>12</v>
      </c>
      <c r="C50" s="141"/>
      <c r="D50" s="39" t="str">
        <f t="shared" ref="D50:I50" si="8">IF(D51=0,"",D41+1)</f>
        <v/>
      </c>
      <c r="E50" s="39" t="str">
        <f t="shared" si="8"/>
        <v/>
      </c>
      <c r="F50" s="39" t="str">
        <f t="shared" si="8"/>
        <v/>
      </c>
      <c r="G50" s="39" t="str">
        <f t="shared" si="8"/>
        <v/>
      </c>
      <c r="H50" s="39" t="str">
        <f t="shared" si="8"/>
        <v/>
      </c>
      <c r="I50" s="62" t="str">
        <f t="shared" si="8"/>
        <v/>
      </c>
    </row>
    <row r="51" spans="2:9" ht="12" customHeight="1">
      <c r="B51" s="149" t="s">
        <v>16</v>
      </c>
      <c r="C51" s="40" t="s">
        <v>35</v>
      </c>
      <c r="D51" s="41">
        <f>測定値!$I119</f>
        <v>0</v>
      </c>
      <c r="E51" s="41">
        <f>測定値!$I137</f>
        <v>0</v>
      </c>
      <c r="F51" s="41">
        <f>測定値!$I155</f>
        <v>0</v>
      </c>
      <c r="G51" s="41">
        <f>測定値!$I173</f>
        <v>0</v>
      </c>
      <c r="H51" s="41">
        <f>測定値!$I191</f>
        <v>0</v>
      </c>
      <c r="I51" s="63">
        <f>測定値!$I209</f>
        <v>0</v>
      </c>
    </row>
    <row r="52" spans="2:9" ht="12" customHeight="1">
      <c r="B52" s="150"/>
      <c r="C52" s="40" t="s">
        <v>36</v>
      </c>
      <c r="D52" s="41">
        <f>測定値!$I120</f>
        <v>0</v>
      </c>
      <c r="E52" s="41">
        <f>測定値!$I138</f>
        <v>0</v>
      </c>
      <c r="F52" s="41">
        <f>測定値!$I156</f>
        <v>0</v>
      </c>
      <c r="G52" s="41">
        <f>測定値!$I174</f>
        <v>0</v>
      </c>
      <c r="H52" s="41">
        <f>測定値!$I192</f>
        <v>0</v>
      </c>
      <c r="I52" s="63">
        <f>測定値!$I210</f>
        <v>0</v>
      </c>
    </row>
    <row r="53" spans="2:9" ht="12" customHeight="1">
      <c r="B53" s="150"/>
      <c r="C53" s="40" t="s">
        <v>37</v>
      </c>
      <c r="D53" s="41">
        <f>測定値!$I121</f>
        <v>0</v>
      </c>
      <c r="E53" s="41">
        <f>測定値!$I139</f>
        <v>0</v>
      </c>
      <c r="F53" s="41">
        <f>測定値!$I157</f>
        <v>0</v>
      </c>
      <c r="G53" s="41">
        <f>測定値!$I175</f>
        <v>0</v>
      </c>
      <c r="H53" s="41">
        <f>測定値!$I193</f>
        <v>0</v>
      </c>
      <c r="I53" s="63">
        <f>測定値!$I211</f>
        <v>0</v>
      </c>
    </row>
    <row r="54" spans="2:9" ht="12" customHeight="1">
      <c r="B54" s="150"/>
      <c r="C54" s="40" t="s">
        <v>38</v>
      </c>
      <c r="D54" s="41">
        <f>測定値!$I122</f>
        <v>0</v>
      </c>
      <c r="E54" s="41">
        <f>測定値!$I140</f>
        <v>0</v>
      </c>
      <c r="F54" s="41">
        <f>測定値!$I158</f>
        <v>0</v>
      </c>
      <c r="G54" s="41">
        <f>測定値!$I176</f>
        <v>0</v>
      </c>
      <c r="H54" s="41">
        <f>測定値!$I194</f>
        <v>0</v>
      </c>
      <c r="I54" s="63">
        <f>測定値!$I212</f>
        <v>0</v>
      </c>
    </row>
    <row r="55" spans="2:9" ht="12" customHeight="1">
      <c r="B55" s="150"/>
      <c r="C55" s="40" t="s">
        <v>39</v>
      </c>
      <c r="D55" s="41">
        <f>測定値!$I123</f>
        <v>0</v>
      </c>
      <c r="E55" s="41">
        <f>測定値!$I141</f>
        <v>0</v>
      </c>
      <c r="F55" s="41">
        <f>測定値!$I159</f>
        <v>0</v>
      </c>
      <c r="G55" s="41">
        <f>測定値!$I177</f>
        <v>0</v>
      </c>
      <c r="H55" s="41">
        <f>測定値!$I195</f>
        <v>0</v>
      </c>
      <c r="I55" s="63">
        <f>測定値!$I213</f>
        <v>0</v>
      </c>
    </row>
    <row r="56" spans="2:9" ht="12" customHeight="1">
      <c r="B56" s="150" t="s">
        <v>50</v>
      </c>
      <c r="C56" s="40" t="s">
        <v>40</v>
      </c>
      <c r="D56" s="41">
        <f>測定値!$I124</f>
        <v>0</v>
      </c>
      <c r="E56" s="41">
        <f>測定値!$I142</f>
        <v>0</v>
      </c>
      <c r="F56" s="41">
        <f>測定値!$I160</f>
        <v>0</v>
      </c>
      <c r="G56" s="41">
        <f>測定値!$I178</f>
        <v>0</v>
      </c>
      <c r="H56" s="41">
        <f>測定値!$I196</f>
        <v>0</v>
      </c>
      <c r="I56" s="63">
        <f>測定値!$I214</f>
        <v>0</v>
      </c>
    </row>
    <row r="57" spans="2:9" ht="12" customHeight="1">
      <c r="B57" s="150" t="s">
        <v>3</v>
      </c>
      <c r="C57" s="40" t="s">
        <v>3</v>
      </c>
      <c r="D57" s="43">
        <f t="shared" ref="D57:I57" si="9">MIN(D51:D56)</f>
        <v>0</v>
      </c>
      <c r="E57" s="43">
        <f t="shared" si="9"/>
        <v>0</v>
      </c>
      <c r="F57" s="43">
        <f t="shared" si="9"/>
        <v>0</v>
      </c>
      <c r="G57" s="43">
        <f t="shared" si="9"/>
        <v>0</v>
      </c>
      <c r="H57" s="43">
        <f t="shared" si="9"/>
        <v>0</v>
      </c>
      <c r="I57" s="65">
        <f t="shared" si="9"/>
        <v>0</v>
      </c>
    </row>
    <row r="58" spans="2:9" ht="12" customHeight="1" thickBot="1">
      <c r="B58" s="99" t="s">
        <v>84</v>
      </c>
      <c r="C58" s="94" t="s">
        <v>4</v>
      </c>
      <c r="D58" s="44">
        <f t="shared" ref="D58:I58" si="10">MAX(D51:D56)</f>
        <v>0</v>
      </c>
      <c r="E58" s="44">
        <f t="shared" si="10"/>
        <v>0</v>
      </c>
      <c r="F58" s="44">
        <f t="shared" si="10"/>
        <v>0</v>
      </c>
      <c r="G58" s="44">
        <f t="shared" si="10"/>
        <v>0</v>
      </c>
      <c r="H58" s="44">
        <f t="shared" si="10"/>
        <v>0</v>
      </c>
      <c r="I58" s="66">
        <f t="shared" si="10"/>
        <v>0</v>
      </c>
    </row>
    <row r="59" spans="2:9" ht="12" customHeight="1">
      <c r="B59" s="147" t="s">
        <v>34</v>
      </c>
      <c r="C59" s="148"/>
      <c r="D59" s="39" t="str">
        <f t="shared" ref="D59:I59" si="11">IF(D60=0,"",D50+1)</f>
        <v/>
      </c>
      <c r="E59" s="39" t="str">
        <f t="shared" si="11"/>
        <v/>
      </c>
      <c r="F59" s="39" t="str">
        <f t="shared" si="11"/>
        <v/>
      </c>
      <c r="G59" s="39" t="str">
        <f t="shared" si="11"/>
        <v/>
      </c>
      <c r="H59" s="39" t="str">
        <f t="shared" si="11"/>
        <v/>
      </c>
      <c r="I59" s="62" t="str">
        <f t="shared" si="11"/>
        <v/>
      </c>
    </row>
    <row r="60" spans="2:9" ht="12" customHeight="1">
      <c r="B60" s="149" t="s">
        <v>17</v>
      </c>
      <c r="C60" s="40" t="s">
        <v>41</v>
      </c>
      <c r="D60" s="41">
        <f>測定値!$I125</f>
        <v>0</v>
      </c>
      <c r="E60" s="41">
        <f>測定値!$I143</f>
        <v>0</v>
      </c>
      <c r="F60" s="41">
        <f>測定値!$I161</f>
        <v>0</v>
      </c>
      <c r="G60" s="41">
        <f>測定値!$I179</f>
        <v>0</v>
      </c>
      <c r="H60" s="41">
        <f>測定値!$I197</f>
        <v>0</v>
      </c>
      <c r="I60" s="63">
        <f>測定値!$I215</f>
        <v>0</v>
      </c>
    </row>
    <row r="61" spans="2:9" ht="12" customHeight="1">
      <c r="B61" s="150"/>
      <c r="C61" s="40" t="s">
        <v>42</v>
      </c>
      <c r="D61" s="41">
        <f>測定値!$I126</f>
        <v>0</v>
      </c>
      <c r="E61" s="41">
        <f>測定値!$I144</f>
        <v>0</v>
      </c>
      <c r="F61" s="41">
        <f>測定値!$I162</f>
        <v>0</v>
      </c>
      <c r="G61" s="41">
        <f>測定値!$I180</f>
        <v>0</v>
      </c>
      <c r="H61" s="41">
        <f>測定値!$I198</f>
        <v>0</v>
      </c>
      <c r="I61" s="63">
        <f>測定値!$I216</f>
        <v>0</v>
      </c>
    </row>
    <row r="62" spans="2:9" ht="12" customHeight="1">
      <c r="B62" s="150"/>
      <c r="C62" s="40" t="s">
        <v>43</v>
      </c>
      <c r="D62" s="41">
        <f>測定値!$I127</f>
        <v>0</v>
      </c>
      <c r="E62" s="41">
        <f>測定値!$I145</f>
        <v>0</v>
      </c>
      <c r="F62" s="41">
        <f>測定値!$I163</f>
        <v>0</v>
      </c>
      <c r="G62" s="41">
        <f>測定値!$I181</f>
        <v>0</v>
      </c>
      <c r="H62" s="41">
        <f>測定値!$I199</f>
        <v>0</v>
      </c>
      <c r="I62" s="63">
        <f>測定値!$I217</f>
        <v>0</v>
      </c>
    </row>
    <row r="63" spans="2:9" ht="12" customHeight="1">
      <c r="B63" s="150"/>
      <c r="C63" s="40" t="s">
        <v>44</v>
      </c>
      <c r="D63" s="41">
        <f>測定値!$I128</f>
        <v>0</v>
      </c>
      <c r="E63" s="41">
        <f>測定値!$I146</f>
        <v>0</v>
      </c>
      <c r="F63" s="41">
        <f>測定値!$I164</f>
        <v>0</v>
      </c>
      <c r="G63" s="41">
        <f>測定値!$I182</f>
        <v>0</v>
      </c>
      <c r="H63" s="41">
        <f>測定値!$I200</f>
        <v>0</v>
      </c>
      <c r="I63" s="63">
        <f>測定値!$I218</f>
        <v>0</v>
      </c>
    </row>
    <row r="64" spans="2:9" ht="12" customHeight="1">
      <c r="B64" s="150"/>
      <c r="C64" s="40" t="s">
        <v>45</v>
      </c>
      <c r="D64" s="41">
        <f>測定値!$I129</f>
        <v>0</v>
      </c>
      <c r="E64" s="41">
        <f>測定値!$I147</f>
        <v>0</v>
      </c>
      <c r="F64" s="41">
        <f>測定値!$I165</f>
        <v>0</v>
      </c>
      <c r="G64" s="41">
        <f>測定値!$I183</f>
        <v>0</v>
      </c>
      <c r="H64" s="41">
        <f>測定値!$I201</f>
        <v>0</v>
      </c>
      <c r="I64" s="63">
        <f>測定値!$I219</f>
        <v>0</v>
      </c>
    </row>
    <row r="65" spans="2:12" ht="12" customHeight="1">
      <c r="B65" s="150"/>
      <c r="C65" s="40" t="s">
        <v>46</v>
      </c>
      <c r="D65" s="41">
        <f>測定値!$I130</f>
        <v>0</v>
      </c>
      <c r="E65" s="41">
        <f>測定値!$I148</f>
        <v>0</v>
      </c>
      <c r="F65" s="41">
        <f>測定値!$I166</f>
        <v>0</v>
      </c>
      <c r="G65" s="41">
        <f>測定値!$I184</f>
        <v>0</v>
      </c>
      <c r="H65" s="41">
        <f>測定値!$I202</f>
        <v>0</v>
      </c>
      <c r="I65" s="63">
        <f>測定値!$I220</f>
        <v>0</v>
      </c>
    </row>
    <row r="66" spans="2:12" ht="12" customHeight="1">
      <c r="B66" s="150"/>
      <c r="C66" s="40" t="s">
        <v>3</v>
      </c>
      <c r="D66" s="43">
        <f t="shared" ref="D66:I66" si="12">MIN(D60:D65)</f>
        <v>0</v>
      </c>
      <c r="E66" s="43">
        <f t="shared" si="12"/>
        <v>0</v>
      </c>
      <c r="F66" s="43">
        <f t="shared" si="12"/>
        <v>0</v>
      </c>
      <c r="G66" s="43">
        <f t="shared" si="12"/>
        <v>0</v>
      </c>
      <c r="H66" s="43">
        <f t="shared" si="12"/>
        <v>0</v>
      </c>
      <c r="I66" s="65">
        <f t="shared" si="12"/>
        <v>0</v>
      </c>
    </row>
    <row r="67" spans="2:12" ht="12" customHeight="1" thickBot="1">
      <c r="B67" s="99" t="s">
        <v>84</v>
      </c>
      <c r="C67" s="94" t="s">
        <v>4</v>
      </c>
      <c r="D67" s="45">
        <f t="shared" ref="D67:I67" si="13">MAX(D60:D65)</f>
        <v>0</v>
      </c>
      <c r="E67" s="45">
        <f t="shared" si="13"/>
        <v>0</v>
      </c>
      <c r="F67" s="45">
        <f t="shared" si="13"/>
        <v>0</v>
      </c>
      <c r="G67" s="45">
        <f t="shared" si="13"/>
        <v>0</v>
      </c>
      <c r="H67" s="45">
        <f t="shared" si="13"/>
        <v>0</v>
      </c>
      <c r="I67" s="67">
        <f t="shared" si="13"/>
        <v>0</v>
      </c>
    </row>
    <row r="68" spans="2:12" ht="4.5" customHeight="1" thickBot="1">
      <c r="B68" s="21"/>
      <c r="C68" s="21"/>
      <c r="D68" s="21"/>
      <c r="E68" s="23"/>
      <c r="F68" s="23"/>
      <c r="G68" s="23"/>
      <c r="H68" s="23"/>
      <c r="I68" s="23"/>
    </row>
    <row r="69" spans="2:12" ht="12" customHeight="1">
      <c r="B69" s="145" t="s">
        <v>47</v>
      </c>
      <c r="C69" s="146"/>
      <c r="D69" s="58" t="str">
        <f>IF(D73=0,"",I38+1)</f>
        <v/>
      </c>
      <c r="E69" s="58" t="str">
        <f>IF(E73=0,"",D69+1)</f>
        <v/>
      </c>
      <c r="F69" s="58" t="str">
        <f>IF(F73=0,"",E69+1)</f>
        <v/>
      </c>
      <c r="G69" s="58" t="str">
        <f>IF(G73=0,"",F69+1)</f>
        <v/>
      </c>
      <c r="H69" s="58" t="str">
        <f>IF(H73=0,"",G69+1)</f>
        <v/>
      </c>
      <c r="I69" s="59" t="str">
        <f>IF(I73=0,"",H69+1)</f>
        <v/>
      </c>
    </row>
    <row r="70" spans="2:12" ht="12" customHeight="1">
      <c r="B70" s="143" t="s">
        <v>1</v>
      </c>
      <c r="C70" s="144"/>
      <c r="D70" s="24">
        <f>IF(D73="","",測定値!$B221)</f>
        <v>0</v>
      </c>
      <c r="E70" s="24">
        <f>IF(E73="","",測定値!$B239)</f>
        <v>0</v>
      </c>
      <c r="F70" s="24">
        <f>IF(F73="","",測定値!$B257)</f>
        <v>0</v>
      </c>
      <c r="G70" s="24">
        <f>IF(G73="","",測定値!$B275)</f>
        <v>0</v>
      </c>
      <c r="H70" s="24">
        <f>IF(H73="","",測定値!$B293)</f>
        <v>0</v>
      </c>
      <c r="I70" s="60">
        <f>IF(I73="","",測定値!$B311)</f>
        <v>0</v>
      </c>
    </row>
    <row r="71" spans="2:12" ht="12" customHeight="1">
      <c r="B71" s="143" t="s">
        <v>2</v>
      </c>
      <c r="C71" s="144"/>
      <c r="D71" s="54">
        <f>IF(D73="","",測定値!$C221)</f>
        <v>0</v>
      </c>
      <c r="E71" s="54">
        <f>IF(E73="","",測定値!$C239)</f>
        <v>0</v>
      </c>
      <c r="F71" s="54">
        <f>IF(F73="","",測定値!$C257)</f>
        <v>0</v>
      </c>
      <c r="G71" s="54">
        <f>IF(G73="","",測定値!$C275)</f>
        <v>0</v>
      </c>
      <c r="H71" s="54">
        <f>IF(H73="","",測定値!$C293)</f>
        <v>0</v>
      </c>
      <c r="I71" s="61">
        <f>IF(I73="","",測定値!$C311)</f>
        <v>0</v>
      </c>
    </row>
    <row r="72" spans="2:12" ht="12" customHeight="1">
      <c r="B72" s="97" t="s">
        <v>27</v>
      </c>
      <c r="C72" s="98"/>
      <c r="D72" s="39" t="str">
        <f>IF(D73=0,"",I41+3)</f>
        <v/>
      </c>
      <c r="E72" s="39" t="str">
        <f>IF(E73=0,"",D72+3)</f>
        <v/>
      </c>
      <c r="F72" s="39" t="str">
        <f>IF(F73=0,"",E72+3)</f>
        <v/>
      </c>
      <c r="G72" s="39" t="str">
        <f>IF(G73=0,"",F72+3)</f>
        <v/>
      </c>
      <c r="H72" s="39" t="str">
        <f>IF(H73=0,"",G72+3)</f>
        <v/>
      </c>
      <c r="I72" s="62" t="str">
        <f>IF(I73=0,"",H72+3)</f>
        <v/>
      </c>
    </row>
    <row r="73" spans="2:12" ht="12" customHeight="1">
      <c r="B73" s="149" t="s">
        <v>81</v>
      </c>
      <c r="C73" s="40" t="s">
        <v>28</v>
      </c>
      <c r="D73" s="41">
        <f>測定値!$I221</f>
        <v>0</v>
      </c>
      <c r="E73" s="41">
        <f>測定値!$I239</f>
        <v>0</v>
      </c>
      <c r="F73" s="41">
        <f>測定値!$I257</f>
        <v>0</v>
      </c>
      <c r="G73" s="41">
        <f>測定値!$I275</f>
        <v>0</v>
      </c>
      <c r="H73" s="41">
        <f>測定値!$I293</f>
        <v>0</v>
      </c>
      <c r="I73" s="63">
        <f>測定値!$I311</f>
        <v>0</v>
      </c>
    </row>
    <row r="74" spans="2:12" ht="12" customHeight="1">
      <c r="B74" s="150"/>
      <c r="C74" s="40" t="s">
        <v>29</v>
      </c>
      <c r="D74" s="41">
        <f>測定値!$I222</f>
        <v>0</v>
      </c>
      <c r="E74" s="41">
        <f>測定値!$I240</f>
        <v>0</v>
      </c>
      <c r="F74" s="41">
        <f>測定値!$I258</f>
        <v>0</v>
      </c>
      <c r="G74" s="41">
        <f>測定値!$I276</f>
        <v>0</v>
      </c>
      <c r="H74" s="41">
        <f>測定値!$I294</f>
        <v>0</v>
      </c>
      <c r="I74" s="63">
        <f>測定値!$I312</f>
        <v>0</v>
      </c>
    </row>
    <row r="75" spans="2:12" ht="12" customHeight="1">
      <c r="B75" s="150"/>
      <c r="C75" s="40" t="s">
        <v>30</v>
      </c>
      <c r="D75" s="41">
        <f>測定値!$I223</f>
        <v>0</v>
      </c>
      <c r="E75" s="41">
        <f>測定値!$I241</f>
        <v>0</v>
      </c>
      <c r="F75" s="41">
        <f>測定値!$I259</f>
        <v>0</v>
      </c>
      <c r="G75" s="41">
        <f>測定値!$I277</f>
        <v>0</v>
      </c>
      <c r="H75" s="41">
        <f>測定値!$I295</f>
        <v>0</v>
      </c>
      <c r="I75" s="63">
        <f>測定値!$I313</f>
        <v>0</v>
      </c>
    </row>
    <row r="76" spans="2:12" ht="12" customHeight="1">
      <c r="B76" s="150"/>
      <c r="C76" s="40" t="s">
        <v>31</v>
      </c>
      <c r="D76" s="41">
        <f>測定値!$I224</f>
        <v>0</v>
      </c>
      <c r="E76" s="41">
        <f>測定値!$I242</f>
        <v>0</v>
      </c>
      <c r="F76" s="41">
        <f>測定値!$I260</f>
        <v>0</v>
      </c>
      <c r="G76" s="41">
        <f>測定値!$I278</f>
        <v>0</v>
      </c>
      <c r="H76" s="41">
        <f>測定値!$I296</f>
        <v>0</v>
      </c>
      <c r="I76" s="63">
        <f>測定値!$I314</f>
        <v>0</v>
      </c>
      <c r="L76" s="18"/>
    </row>
    <row r="77" spans="2:12" ht="12" customHeight="1">
      <c r="B77" s="150"/>
      <c r="C77" s="40" t="s">
        <v>32</v>
      </c>
      <c r="D77" s="41">
        <f>測定値!$I225</f>
        <v>0</v>
      </c>
      <c r="E77" s="41">
        <f>測定値!$I243</f>
        <v>0</v>
      </c>
      <c r="F77" s="41">
        <f>測定値!$I261</f>
        <v>0</v>
      </c>
      <c r="G77" s="41">
        <f>測定値!$I279</f>
        <v>0</v>
      </c>
      <c r="H77" s="41">
        <f>測定値!$I297</f>
        <v>0</v>
      </c>
      <c r="I77" s="63">
        <f>測定値!$I315</f>
        <v>0</v>
      </c>
    </row>
    <row r="78" spans="2:12" ht="12" customHeight="1">
      <c r="B78" s="150"/>
      <c r="C78" s="40" t="s">
        <v>33</v>
      </c>
      <c r="D78" s="41">
        <f>測定値!$I226</f>
        <v>0</v>
      </c>
      <c r="E78" s="41">
        <f>測定値!$I244</f>
        <v>0</v>
      </c>
      <c r="F78" s="41">
        <f>測定値!$I262</f>
        <v>0</v>
      </c>
      <c r="G78" s="41">
        <f>測定値!$I280</f>
        <v>0</v>
      </c>
      <c r="H78" s="41">
        <f>測定値!$I298</f>
        <v>0</v>
      </c>
      <c r="I78" s="63">
        <f>測定値!$I316</f>
        <v>0</v>
      </c>
    </row>
    <row r="79" spans="2:12" ht="12" customHeight="1">
      <c r="B79" s="150"/>
      <c r="C79" s="40" t="s">
        <v>3</v>
      </c>
      <c r="D79" s="41">
        <f t="shared" ref="D79:I79" si="14">MIN(D73:D78)</f>
        <v>0</v>
      </c>
      <c r="E79" s="41">
        <f t="shared" si="14"/>
        <v>0</v>
      </c>
      <c r="F79" s="41">
        <f t="shared" si="14"/>
        <v>0</v>
      </c>
      <c r="G79" s="41">
        <f t="shared" si="14"/>
        <v>0</v>
      </c>
      <c r="H79" s="41">
        <f t="shared" si="14"/>
        <v>0</v>
      </c>
      <c r="I79" s="63">
        <f t="shared" si="14"/>
        <v>0</v>
      </c>
    </row>
    <row r="80" spans="2:12" ht="12" customHeight="1">
      <c r="B80" s="96" t="s">
        <v>83</v>
      </c>
      <c r="C80" s="95" t="s">
        <v>4</v>
      </c>
      <c r="D80" s="42">
        <f t="shared" ref="D80:I80" si="15">MAX(D73:D78)</f>
        <v>0</v>
      </c>
      <c r="E80" s="42">
        <f t="shared" si="15"/>
        <v>0</v>
      </c>
      <c r="F80" s="42">
        <f t="shared" si="15"/>
        <v>0</v>
      </c>
      <c r="G80" s="42">
        <f t="shared" si="15"/>
        <v>0</v>
      </c>
      <c r="H80" s="42">
        <f t="shared" si="15"/>
        <v>0</v>
      </c>
      <c r="I80" s="64">
        <f t="shared" si="15"/>
        <v>0</v>
      </c>
    </row>
    <row r="81" spans="2:9" ht="12" customHeight="1">
      <c r="B81" s="140" t="s">
        <v>12</v>
      </c>
      <c r="C81" s="141"/>
      <c r="D81" s="39" t="str">
        <f t="shared" ref="D81:I81" si="16">IF(D82=0,"",D72+1)</f>
        <v/>
      </c>
      <c r="E81" s="39" t="str">
        <f t="shared" si="16"/>
        <v/>
      </c>
      <c r="F81" s="39" t="str">
        <f t="shared" si="16"/>
        <v/>
      </c>
      <c r="G81" s="39" t="str">
        <f t="shared" si="16"/>
        <v/>
      </c>
      <c r="H81" s="39" t="str">
        <f t="shared" si="16"/>
        <v/>
      </c>
      <c r="I81" s="62" t="str">
        <f t="shared" si="16"/>
        <v/>
      </c>
    </row>
    <row r="82" spans="2:9" ht="12" customHeight="1">
      <c r="B82" s="149" t="s">
        <v>16</v>
      </c>
      <c r="C82" s="40" t="s">
        <v>35</v>
      </c>
      <c r="D82" s="41">
        <f>測定値!$I227</f>
        <v>0</v>
      </c>
      <c r="E82" s="41">
        <f>測定値!I245</f>
        <v>0</v>
      </c>
      <c r="F82" s="41">
        <f>測定値!$I263</f>
        <v>0</v>
      </c>
      <c r="G82" s="41">
        <f>測定値!$I281</f>
        <v>0</v>
      </c>
      <c r="H82" s="41">
        <f>測定値!$I299</f>
        <v>0</v>
      </c>
      <c r="I82" s="63">
        <f>測定値!$I317</f>
        <v>0</v>
      </c>
    </row>
    <row r="83" spans="2:9" ht="12" customHeight="1">
      <c r="B83" s="150"/>
      <c r="C83" s="40" t="s">
        <v>36</v>
      </c>
      <c r="D83" s="41">
        <f>測定値!$I228</f>
        <v>0</v>
      </c>
      <c r="E83" s="41">
        <f>測定値!I246</f>
        <v>0</v>
      </c>
      <c r="F83" s="41">
        <f>測定値!$I264</f>
        <v>0</v>
      </c>
      <c r="G83" s="41">
        <f>測定値!$I282</f>
        <v>0</v>
      </c>
      <c r="H83" s="41">
        <f>測定値!$I300</f>
        <v>0</v>
      </c>
      <c r="I83" s="63">
        <f>測定値!$I318</f>
        <v>0</v>
      </c>
    </row>
    <row r="84" spans="2:9" ht="12" customHeight="1">
      <c r="B84" s="150"/>
      <c r="C84" s="40" t="s">
        <v>37</v>
      </c>
      <c r="D84" s="41">
        <f>測定値!$I229</f>
        <v>0</v>
      </c>
      <c r="E84" s="41">
        <f>測定値!I247</f>
        <v>0</v>
      </c>
      <c r="F84" s="41">
        <f>測定値!$I265</f>
        <v>0</v>
      </c>
      <c r="G84" s="41">
        <f>測定値!$I283</f>
        <v>0</v>
      </c>
      <c r="H84" s="41">
        <f>測定値!$I301</f>
        <v>0</v>
      </c>
      <c r="I84" s="63">
        <f>測定値!$I319</f>
        <v>0</v>
      </c>
    </row>
    <row r="85" spans="2:9" ht="12" customHeight="1">
      <c r="B85" s="150"/>
      <c r="C85" s="40" t="s">
        <v>38</v>
      </c>
      <c r="D85" s="41">
        <f>測定値!$I230</f>
        <v>0</v>
      </c>
      <c r="E85" s="41">
        <f>測定値!I248</f>
        <v>0</v>
      </c>
      <c r="F85" s="41">
        <f>測定値!$I266</f>
        <v>0</v>
      </c>
      <c r="G85" s="41">
        <f>測定値!$I284</f>
        <v>0</v>
      </c>
      <c r="H85" s="41">
        <f>測定値!$I302</f>
        <v>0</v>
      </c>
      <c r="I85" s="63">
        <f>測定値!$I320</f>
        <v>0</v>
      </c>
    </row>
    <row r="86" spans="2:9" ht="12" customHeight="1">
      <c r="B86" s="150"/>
      <c r="C86" s="40" t="s">
        <v>39</v>
      </c>
      <c r="D86" s="41">
        <f>測定値!$I231</f>
        <v>0</v>
      </c>
      <c r="E86" s="41">
        <f>測定値!I249</f>
        <v>0</v>
      </c>
      <c r="F86" s="41">
        <f>測定値!$I267</f>
        <v>0</v>
      </c>
      <c r="G86" s="41">
        <f>測定値!$I285</f>
        <v>0</v>
      </c>
      <c r="H86" s="41">
        <f>測定値!$I303</f>
        <v>0</v>
      </c>
      <c r="I86" s="63">
        <f>測定値!$I321</f>
        <v>0</v>
      </c>
    </row>
    <row r="87" spans="2:9" ht="12" customHeight="1">
      <c r="B87" s="150" t="s">
        <v>50</v>
      </c>
      <c r="C87" s="40" t="s">
        <v>40</v>
      </c>
      <c r="D87" s="41">
        <f>測定値!$I232</f>
        <v>0</v>
      </c>
      <c r="E87" s="41">
        <f>測定値!I250</f>
        <v>0</v>
      </c>
      <c r="F87" s="41">
        <f>測定値!$I268</f>
        <v>0</v>
      </c>
      <c r="G87" s="41">
        <f>測定値!$I286</f>
        <v>0</v>
      </c>
      <c r="H87" s="41">
        <f>測定値!$I304</f>
        <v>0</v>
      </c>
      <c r="I87" s="63">
        <f>測定値!$I322</f>
        <v>0</v>
      </c>
    </row>
    <row r="88" spans="2:9" ht="12" customHeight="1">
      <c r="B88" s="150" t="s">
        <v>3</v>
      </c>
      <c r="C88" s="40" t="s">
        <v>3</v>
      </c>
      <c r="D88" s="43">
        <f t="shared" ref="D88:I88" si="17">MIN(D82:D87)</f>
        <v>0</v>
      </c>
      <c r="E88" s="43">
        <f t="shared" si="17"/>
        <v>0</v>
      </c>
      <c r="F88" s="43">
        <f t="shared" si="17"/>
        <v>0</v>
      </c>
      <c r="G88" s="43">
        <f t="shared" si="17"/>
        <v>0</v>
      </c>
      <c r="H88" s="43">
        <f t="shared" si="17"/>
        <v>0</v>
      </c>
      <c r="I88" s="65">
        <f t="shared" si="17"/>
        <v>0</v>
      </c>
    </row>
    <row r="89" spans="2:9" ht="12" customHeight="1">
      <c r="B89" s="96" t="s">
        <v>83</v>
      </c>
      <c r="C89" s="95" t="s">
        <v>4</v>
      </c>
      <c r="D89" s="44">
        <f t="shared" ref="D89:I89" si="18">MAX(D82:D87)</f>
        <v>0</v>
      </c>
      <c r="E89" s="44">
        <f t="shared" si="18"/>
        <v>0</v>
      </c>
      <c r="F89" s="44">
        <f t="shared" si="18"/>
        <v>0</v>
      </c>
      <c r="G89" s="44">
        <f t="shared" si="18"/>
        <v>0</v>
      </c>
      <c r="H89" s="44">
        <f t="shared" si="18"/>
        <v>0</v>
      </c>
      <c r="I89" s="66">
        <f t="shared" si="18"/>
        <v>0</v>
      </c>
    </row>
    <row r="90" spans="2:9" ht="12" customHeight="1">
      <c r="B90" s="147" t="s">
        <v>34</v>
      </c>
      <c r="C90" s="148"/>
      <c r="D90" s="39" t="str">
        <f t="shared" ref="D90:I90" si="19">IF(D91=0,"",D81+1)</f>
        <v/>
      </c>
      <c r="E90" s="39" t="str">
        <f t="shared" si="19"/>
        <v/>
      </c>
      <c r="F90" s="39" t="str">
        <f t="shared" si="19"/>
        <v/>
      </c>
      <c r="G90" s="39" t="str">
        <f t="shared" si="19"/>
        <v/>
      </c>
      <c r="H90" s="39" t="str">
        <f t="shared" si="19"/>
        <v/>
      </c>
      <c r="I90" s="62" t="str">
        <f t="shared" si="19"/>
        <v/>
      </c>
    </row>
    <row r="91" spans="2:9" ht="12" customHeight="1">
      <c r="B91" s="149" t="s">
        <v>17</v>
      </c>
      <c r="C91" s="40" t="s">
        <v>41</v>
      </c>
      <c r="D91" s="41">
        <f>測定値!$I233</f>
        <v>0</v>
      </c>
      <c r="E91" s="41">
        <f>測定値!$I251</f>
        <v>0</v>
      </c>
      <c r="F91" s="41">
        <f>測定値!$I269</f>
        <v>0</v>
      </c>
      <c r="G91" s="41">
        <f>測定値!$I287</f>
        <v>0</v>
      </c>
      <c r="H91" s="41">
        <f>測定値!$I305</f>
        <v>0</v>
      </c>
      <c r="I91" s="63">
        <f>測定値!$I323</f>
        <v>0</v>
      </c>
    </row>
    <row r="92" spans="2:9" ht="12" customHeight="1">
      <c r="B92" s="150"/>
      <c r="C92" s="40" t="s">
        <v>42</v>
      </c>
      <c r="D92" s="41">
        <f>測定値!$I234</f>
        <v>0</v>
      </c>
      <c r="E92" s="41">
        <f>測定値!$I252</f>
        <v>0</v>
      </c>
      <c r="F92" s="41">
        <f>測定値!$I270</f>
        <v>0</v>
      </c>
      <c r="G92" s="41">
        <f>測定値!$I288</f>
        <v>0</v>
      </c>
      <c r="H92" s="41">
        <f>測定値!$I306</f>
        <v>0</v>
      </c>
      <c r="I92" s="63">
        <f>測定値!$I324</f>
        <v>0</v>
      </c>
    </row>
    <row r="93" spans="2:9" ht="12" customHeight="1">
      <c r="B93" s="150"/>
      <c r="C93" s="40" t="s">
        <v>43</v>
      </c>
      <c r="D93" s="41">
        <f>測定値!$I235</f>
        <v>0</v>
      </c>
      <c r="E93" s="41">
        <f>測定値!$I253</f>
        <v>0</v>
      </c>
      <c r="F93" s="41">
        <f>測定値!$I271</f>
        <v>0</v>
      </c>
      <c r="G93" s="41">
        <f>測定値!$I289</f>
        <v>0</v>
      </c>
      <c r="H93" s="41">
        <f>測定値!$I307</f>
        <v>0</v>
      </c>
      <c r="I93" s="63">
        <f>測定値!$I325</f>
        <v>0</v>
      </c>
    </row>
    <row r="94" spans="2:9" ht="12" customHeight="1">
      <c r="B94" s="150"/>
      <c r="C94" s="40" t="s">
        <v>44</v>
      </c>
      <c r="D94" s="41">
        <f>測定値!$I236</f>
        <v>0</v>
      </c>
      <c r="E94" s="41">
        <f>測定値!$I254</f>
        <v>0</v>
      </c>
      <c r="F94" s="41">
        <f>測定値!$I272</f>
        <v>0</v>
      </c>
      <c r="G94" s="41">
        <f>測定値!$I290</f>
        <v>0</v>
      </c>
      <c r="H94" s="41">
        <f>測定値!$I308</f>
        <v>0</v>
      </c>
      <c r="I94" s="63">
        <f>測定値!$I326</f>
        <v>0</v>
      </c>
    </row>
    <row r="95" spans="2:9" ht="12" customHeight="1">
      <c r="B95" s="150"/>
      <c r="C95" s="40" t="s">
        <v>45</v>
      </c>
      <c r="D95" s="41">
        <f>測定値!$I237</f>
        <v>0</v>
      </c>
      <c r="E95" s="41">
        <f>測定値!$I255</f>
        <v>0</v>
      </c>
      <c r="F95" s="41">
        <f>測定値!$I273</f>
        <v>0</v>
      </c>
      <c r="G95" s="41">
        <f>測定値!$I291</f>
        <v>0</v>
      </c>
      <c r="H95" s="41">
        <f>測定値!$I309</f>
        <v>0</v>
      </c>
      <c r="I95" s="63">
        <f>測定値!$I327</f>
        <v>0</v>
      </c>
    </row>
    <row r="96" spans="2:9" ht="12" customHeight="1">
      <c r="B96" s="150"/>
      <c r="C96" s="40" t="s">
        <v>46</v>
      </c>
      <c r="D96" s="41">
        <f>測定値!$I238</f>
        <v>0</v>
      </c>
      <c r="E96" s="41">
        <f>測定値!$I256</f>
        <v>0</v>
      </c>
      <c r="F96" s="41">
        <f>測定値!$I274</f>
        <v>0</v>
      </c>
      <c r="G96" s="41">
        <f>測定値!$I292</f>
        <v>0</v>
      </c>
      <c r="H96" s="41">
        <f>測定値!$I310</f>
        <v>0</v>
      </c>
      <c r="I96" s="63">
        <f>測定値!$I328</f>
        <v>0</v>
      </c>
    </row>
    <row r="97" spans="2:9" ht="12" customHeight="1">
      <c r="B97" s="150"/>
      <c r="C97" s="40" t="s">
        <v>3</v>
      </c>
      <c r="D97" s="43">
        <f t="shared" ref="D97:I97" si="20">MIN(D91:D96)</f>
        <v>0</v>
      </c>
      <c r="E97" s="43">
        <f t="shared" si="20"/>
        <v>0</v>
      </c>
      <c r="F97" s="43">
        <f t="shared" si="20"/>
        <v>0</v>
      </c>
      <c r="G97" s="43">
        <f t="shared" si="20"/>
        <v>0</v>
      </c>
      <c r="H97" s="43">
        <f t="shared" si="20"/>
        <v>0</v>
      </c>
      <c r="I97" s="65">
        <f t="shared" si="20"/>
        <v>0</v>
      </c>
    </row>
    <row r="98" spans="2:9" ht="12" customHeight="1" thickBot="1">
      <c r="B98" s="99" t="s">
        <v>84</v>
      </c>
      <c r="C98" s="94" t="s">
        <v>4</v>
      </c>
      <c r="D98" s="45">
        <f t="shared" ref="D98:I98" si="21">MAX(D91:D96)</f>
        <v>0</v>
      </c>
      <c r="E98" s="45">
        <f t="shared" si="21"/>
        <v>0</v>
      </c>
      <c r="F98" s="45">
        <f t="shared" si="21"/>
        <v>0</v>
      </c>
      <c r="G98" s="45">
        <f t="shared" si="21"/>
        <v>0</v>
      </c>
      <c r="H98" s="45">
        <f t="shared" si="21"/>
        <v>0</v>
      </c>
      <c r="I98" s="67">
        <f t="shared" si="21"/>
        <v>0</v>
      </c>
    </row>
    <row r="99" spans="2:9" ht="8.25" customHeight="1" thickBot="1">
      <c r="B99" s="21"/>
      <c r="C99" s="21"/>
      <c r="D99" s="21"/>
      <c r="E99" s="23"/>
      <c r="F99" s="23"/>
      <c r="G99" s="23"/>
      <c r="H99" s="23"/>
      <c r="I99" s="23"/>
    </row>
    <row r="100" spans="2:9" ht="12" customHeight="1">
      <c r="B100" s="145" t="s">
        <v>47</v>
      </c>
      <c r="C100" s="146"/>
      <c r="D100" s="58" t="str">
        <f>IF(D104=0,"",I69+1)</f>
        <v/>
      </c>
      <c r="E100" s="58" t="str">
        <f>IF(E104=0,"",D100+1)</f>
        <v/>
      </c>
      <c r="F100" s="58" t="str">
        <f>IF(F104=0,"",E100+1)</f>
        <v/>
      </c>
      <c r="G100" s="58" t="str">
        <f>IF(G104=0,"",F100+1)</f>
        <v/>
      </c>
      <c r="H100" s="58" t="str">
        <f>IF(H104=0,"",G100+1)</f>
        <v/>
      </c>
      <c r="I100" s="59" t="str">
        <f>IF(I104=0,"",H100+1)</f>
        <v/>
      </c>
    </row>
    <row r="101" spans="2:9" ht="12" customHeight="1">
      <c r="B101" s="143" t="s">
        <v>1</v>
      </c>
      <c r="C101" s="144"/>
      <c r="D101" s="24">
        <f>IF(D104="","",測定値!$B329)</f>
        <v>0</v>
      </c>
      <c r="E101" s="24">
        <f>IF(E104="","",測定値!$B347)</f>
        <v>0</v>
      </c>
      <c r="F101" s="24">
        <f>IF(F104="","",測定値!$B365)</f>
        <v>0</v>
      </c>
      <c r="G101" s="24">
        <f>IF(G104="","",測定値!$B383)</f>
        <v>0</v>
      </c>
      <c r="H101" s="24">
        <f>IF(H104="","",測定値!$B401)</f>
        <v>0</v>
      </c>
      <c r="I101" s="60">
        <f>IF(I104="","",測定値!$B419)</f>
        <v>0</v>
      </c>
    </row>
    <row r="102" spans="2:9" ht="12" customHeight="1">
      <c r="B102" s="143" t="s">
        <v>2</v>
      </c>
      <c r="C102" s="144"/>
      <c r="D102" s="54">
        <f>IF(D104="","",測定値!$C329)</f>
        <v>0</v>
      </c>
      <c r="E102" s="54">
        <f>IF(E104="","",測定値!$C347)</f>
        <v>0</v>
      </c>
      <c r="F102" s="54">
        <f>IF(F104="","",測定値!$C365)</f>
        <v>0</v>
      </c>
      <c r="G102" s="54">
        <f>IF(G104="","",測定値!$C383)</f>
        <v>0</v>
      </c>
      <c r="H102" s="54">
        <f>IF(H104="","",測定値!$C401)</f>
        <v>0</v>
      </c>
      <c r="I102" s="61">
        <f>IF(I104="","",測定値!$C419)</f>
        <v>0</v>
      </c>
    </row>
    <row r="103" spans="2:9" ht="12" customHeight="1">
      <c r="B103" s="97" t="s">
        <v>27</v>
      </c>
      <c r="C103" s="98"/>
      <c r="D103" s="39" t="str">
        <f>IF(D104=0,"",I72+3)</f>
        <v/>
      </c>
      <c r="E103" s="39" t="str">
        <f>IF(E104=0,"",D103+3)</f>
        <v/>
      </c>
      <c r="F103" s="39" t="str">
        <f>IF(F104=0,"",E103+3)</f>
        <v/>
      </c>
      <c r="G103" s="39" t="str">
        <f>IF(G104=0,"",F103+3)</f>
        <v/>
      </c>
      <c r="H103" s="39" t="str">
        <f>IF(H104=0,"",G103+3)</f>
        <v/>
      </c>
      <c r="I103" s="62" t="str">
        <f>IF(I104=0,"",H103+3)</f>
        <v/>
      </c>
    </row>
    <row r="104" spans="2:9" ht="12" customHeight="1">
      <c r="B104" s="149" t="s">
        <v>81</v>
      </c>
      <c r="C104" s="40" t="s">
        <v>28</v>
      </c>
      <c r="D104" s="41">
        <f>測定値!$I329</f>
        <v>0</v>
      </c>
      <c r="E104" s="41">
        <f>測定値!$I347</f>
        <v>0</v>
      </c>
      <c r="F104" s="41">
        <f>測定値!$I365</f>
        <v>0</v>
      </c>
      <c r="G104" s="41">
        <f>測定値!I383</f>
        <v>0</v>
      </c>
      <c r="H104" s="41">
        <f>測定値!I401</f>
        <v>0</v>
      </c>
      <c r="I104" s="63">
        <f>測定値!I419</f>
        <v>0</v>
      </c>
    </row>
    <row r="105" spans="2:9" ht="12" customHeight="1">
      <c r="B105" s="150"/>
      <c r="C105" s="40" t="s">
        <v>29</v>
      </c>
      <c r="D105" s="41">
        <f>測定値!$I330</f>
        <v>0</v>
      </c>
      <c r="E105" s="41">
        <f>測定値!$I348</f>
        <v>0</v>
      </c>
      <c r="F105" s="41">
        <f>測定値!$I366</f>
        <v>0</v>
      </c>
      <c r="G105" s="41">
        <f>測定値!I384</f>
        <v>0</v>
      </c>
      <c r="H105" s="41">
        <f>測定値!I402</f>
        <v>0</v>
      </c>
      <c r="I105" s="63">
        <f>測定値!I420</f>
        <v>0</v>
      </c>
    </row>
    <row r="106" spans="2:9" ht="12" customHeight="1">
      <c r="B106" s="150"/>
      <c r="C106" s="40" t="s">
        <v>30</v>
      </c>
      <c r="D106" s="41">
        <f>測定値!$I331</f>
        <v>0</v>
      </c>
      <c r="E106" s="41">
        <f>測定値!$I349</f>
        <v>0</v>
      </c>
      <c r="F106" s="41">
        <f>測定値!$I367</f>
        <v>0</v>
      </c>
      <c r="G106" s="41">
        <f>測定値!I385</f>
        <v>0</v>
      </c>
      <c r="H106" s="41">
        <f>測定値!I403</f>
        <v>0</v>
      </c>
      <c r="I106" s="63">
        <f>測定値!I421</f>
        <v>0</v>
      </c>
    </row>
    <row r="107" spans="2:9" ht="12" customHeight="1">
      <c r="B107" s="150"/>
      <c r="C107" s="40" t="s">
        <v>31</v>
      </c>
      <c r="D107" s="41">
        <f>測定値!$I332</f>
        <v>0</v>
      </c>
      <c r="E107" s="41">
        <f>測定値!$I350</f>
        <v>0</v>
      </c>
      <c r="F107" s="41">
        <f>測定値!$I368</f>
        <v>0</v>
      </c>
      <c r="G107" s="41">
        <f>測定値!I386</f>
        <v>0</v>
      </c>
      <c r="H107" s="41">
        <f>測定値!I404</f>
        <v>0</v>
      </c>
      <c r="I107" s="63">
        <f>測定値!I422</f>
        <v>0</v>
      </c>
    </row>
    <row r="108" spans="2:9" ht="12" customHeight="1">
      <c r="B108" s="150"/>
      <c r="C108" s="40" t="s">
        <v>32</v>
      </c>
      <c r="D108" s="41">
        <f>測定値!$I333</f>
        <v>0</v>
      </c>
      <c r="E108" s="41">
        <f>測定値!$I351</f>
        <v>0</v>
      </c>
      <c r="F108" s="41">
        <f>測定値!$I369</f>
        <v>0</v>
      </c>
      <c r="G108" s="41">
        <f>測定値!I387</f>
        <v>0</v>
      </c>
      <c r="H108" s="41">
        <f>測定値!I405</f>
        <v>0</v>
      </c>
      <c r="I108" s="63">
        <f>測定値!I423</f>
        <v>0</v>
      </c>
    </row>
    <row r="109" spans="2:9" ht="12" customHeight="1">
      <c r="B109" s="150"/>
      <c r="C109" s="40" t="s">
        <v>33</v>
      </c>
      <c r="D109" s="41">
        <f>測定値!$I334</f>
        <v>0</v>
      </c>
      <c r="E109" s="41">
        <f>測定値!$I352</f>
        <v>0</v>
      </c>
      <c r="F109" s="41">
        <f>測定値!$I370</f>
        <v>0</v>
      </c>
      <c r="G109" s="41">
        <f>測定値!I388</f>
        <v>0</v>
      </c>
      <c r="H109" s="41">
        <f>測定値!I406</f>
        <v>0</v>
      </c>
      <c r="I109" s="63">
        <f>測定値!I424</f>
        <v>0</v>
      </c>
    </row>
    <row r="110" spans="2:9" ht="12" customHeight="1">
      <c r="B110" s="150"/>
      <c r="C110" s="40" t="s">
        <v>3</v>
      </c>
      <c r="D110" s="41">
        <f t="shared" ref="D110:I110" si="22">MIN(D104:D109)</f>
        <v>0</v>
      </c>
      <c r="E110" s="41">
        <f t="shared" si="22"/>
        <v>0</v>
      </c>
      <c r="F110" s="41">
        <f t="shared" si="22"/>
        <v>0</v>
      </c>
      <c r="G110" s="41">
        <f t="shared" si="22"/>
        <v>0</v>
      </c>
      <c r="H110" s="41">
        <f t="shared" si="22"/>
        <v>0</v>
      </c>
      <c r="I110" s="63">
        <f t="shared" si="22"/>
        <v>0</v>
      </c>
    </row>
    <row r="111" spans="2:9" ht="12" customHeight="1">
      <c r="B111" s="96" t="s">
        <v>83</v>
      </c>
      <c r="C111" s="95" t="s">
        <v>4</v>
      </c>
      <c r="D111" s="42">
        <f t="shared" ref="D111:I111" si="23">MAX(D104:D109)</f>
        <v>0</v>
      </c>
      <c r="E111" s="42">
        <f t="shared" si="23"/>
        <v>0</v>
      </c>
      <c r="F111" s="42">
        <f t="shared" si="23"/>
        <v>0</v>
      </c>
      <c r="G111" s="42">
        <f t="shared" si="23"/>
        <v>0</v>
      </c>
      <c r="H111" s="42">
        <f t="shared" si="23"/>
        <v>0</v>
      </c>
      <c r="I111" s="64">
        <f t="shared" si="23"/>
        <v>0</v>
      </c>
    </row>
    <row r="112" spans="2:9" ht="12" customHeight="1">
      <c r="B112" s="140" t="s">
        <v>12</v>
      </c>
      <c r="C112" s="141"/>
      <c r="D112" s="39" t="str">
        <f t="shared" ref="D112:I112" si="24">IF(D113=0,"",D103+1)</f>
        <v/>
      </c>
      <c r="E112" s="39" t="str">
        <f t="shared" si="24"/>
        <v/>
      </c>
      <c r="F112" s="39" t="str">
        <f t="shared" si="24"/>
        <v/>
      </c>
      <c r="G112" s="39" t="str">
        <f t="shared" si="24"/>
        <v/>
      </c>
      <c r="H112" s="39" t="str">
        <f t="shared" si="24"/>
        <v/>
      </c>
      <c r="I112" s="62" t="str">
        <f t="shared" si="24"/>
        <v/>
      </c>
    </row>
    <row r="113" spans="2:9" ht="12" customHeight="1">
      <c r="B113" s="149" t="s">
        <v>16</v>
      </c>
      <c r="C113" s="40" t="s">
        <v>35</v>
      </c>
      <c r="D113" s="41">
        <f>測定値!$I335</f>
        <v>0</v>
      </c>
      <c r="E113" s="41">
        <f>測定値!$I353</f>
        <v>0</v>
      </c>
      <c r="F113" s="41">
        <f>測定値!I371</f>
        <v>0</v>
      </c>
      <c r="G113" s="41">
        <f>測定値!I389</f>
        <v>0</v>
      </c>
      <c r="H113" s="41">
        <f>測定値!I407</f>
        <v>0</v>
      </c>
      <c r="I113" s="63">
        <f>測定値!I425</f>
        <v>0</v>
      </c>
    </row>
    <row r="114" spans="2:9" ht="12" customHeight="1">
      <c r="B114" s="150"/>
      <c r="C114" s="40" t="s">
        <v>36</v>
      </c>
      <c r="D114" s="41">
        <f>測定値!$I336</f>
        <v>0</v>
      </c>
      <c r="E114" s="41">
        <f>測定値!$I354</f>
        <v>0</v>
      </c>
      <c r="F114" s="41">
        <f>測定値!I372</f>
        <v>0</v>
      </c>
      <c r="G114" s="41">
        <f>測定値!I390</f>
        <v>0</v>
      </c>
      <c r="H114" s="41">
        <f>測定値!I408</f>
        <v>0</v>
      </c>
      <c r="I114" s="63">
        <f>測定値!I426</f>
        <v>0</v>
      </c>
    </row>
    <row r="115" spans="2:9" ht="12" customHeight="1">
      <c r="B115" s="150"/>
      <c r="C115" s="40" t="s">
        <v>37</v>
      </c>
      <c r="D115" s="41">
        <f>測定値!$I337</f>
        <v>0</v>
      </c>
      <c r="E115" s="41">
        <f>測定値!$I355</f>
        <v>0</v>
      </c>
      <c r="F115" s="41">
        <f>測定値!I373</f>
        <v>0</v>
      </c>
      <c r="G115" s="41">
        <f>測定値!I391</f>
        <v>0</v>
      </c>
      <c r="H115" s="41">
        <f>測定値!I409</f>
        <v>0</v>
      </c>
      <c r="I115" s="63">
        <f>測定値!I427</f>
        <v>0</v>
      </c>
    </row>
    <row r="116" spans="2:9" ht="12" customHeight="1">
      <c r="B116" s="150"/>
      <c r="C116" s="40" t="s">
        <v>38</v>
      </c>
      <c r="D116" s="41">
        <f>測定値!$I338</f>
        <v>0</v>
      </c>
      <c r="E116" s="41">
        <f>測定値!$I356</f>
        <v>0</v>
      </c>
      <c r="F116" s="41">
        <f>測定値!I374</f>
        <v>0</v>
      </c>
      <c r="G116" s="41">
        <f>測定値!I392</f>
        <v>0</v>
      </c>
      <c r="H116" s="41">
        <f>測定値!I410</f>
        <v>0</v>
      </c>
      <c r="I116" s="63">
        <f>測定値!I428</f>
        <v>0</v>
      </c>
    </row>
    <row r="117" spans="2:9" ht="12" customHeight="1">
      <c r="B117" s="150"/>
      <c r="C117" s="40" t="s">
        <v>39</v>
      </c>
      <c r="D117" s="41">
        <f>測定値!$I339</f>
        <v>0</v>
      </c>
      <c r="E117" s="41">
        <f>測定値!$I357</f>
        <v>0</v>
      </c>
      <c r="F117" s="41">
        <f>測定値!I375</f>
        <v>0</v>
      </c>
      <c r="G117" s="41">
        <f>測定値!I393</f>
        <v>0</v>
      </c>
      <c r="H117" s="41">
        <f>測定値!I411</f>
        <v>0</v>
      </c>
      <c r="I117" s="63">
        <f>測定値!I429</f>
        <v>0</v>
      </c>
    </row>
    <row r="118" spans="2:9" ht="12" customHeight="1">
      <c r="B118" s="150" t="s">
        <v>50</v>
      </c>
      <c r="C118" s="40" t="s">
        <v>40</v>
      </c>
      <c r="D118" s="41">
        <f>測定値!$I340</f>
        <v>0</v>
      </c>
      <c r="E118" s="41">
        <f>測定値!$I358</f>
        <v>0</v>
      </c>
      <c r="F118" s="41">
        <f>測定値!I376</f>
        <v>0</v>
      </c>
      <c r="G118" s="41">
        <f>測定値!I394</f>
        <v>0</v>
      </c>
      <c r="H118" s="41">
        <f>測定値!I412</f>
        <v>0</v>
      </c>
      <c r="I118" s="63">
        <f>測定値!I430</f>
        <v>0</v>
      </c>
    </row>
    <row r="119" spans="2:9" ht="12" customHeight="1">
      <c r="B119" s="150" t="s">
        <v>3</v>
      </c>
      <c r="C119" s="40" t="s">
        <v>3</v>
      </c>
      <c r="D119" s="43">
        <f t="shared" ref="D119:I119" si="25">MIN(D113:D118)</f>
        <v>0</v>
      </c>
      <c r="E119" s="43">
        <f t="shared" si="25"/>
        <v>0</v>
      </c>
      <c r="F119" s="43">
        <f t="shared" si="25"/>
        <v>0</v>
      </c>
      <c r="G119" s="43">
        <f t="shared" si="25"/>
        <v>0</v>
      </c>
      <c r="H119" s="43">
        <f t="shared" si="25"/>
        <v>0</v>
      </c>
      <c r="I119" s="65">
        <f t="shared" si="25"/>
        <v>0</v>
      </c>
    </row>
    <row r="120" spans="2:9" ht="12" customHeight="1">
      <c r="B120" s="96" t="s">
        <v>83</v>
      </c>
      <c r="C120" s="95" t="s">
        <v>4</v>
      </c>
      <c r="D120" s="44">
        <f t="shared" ref="D120:I120" si="26">MAX(D113:D118)</f>
        <v>0</v>
      </c>
      <c r="E120" s="44">
        <f t="shared" si="26"/>
        <v>0</v>
      </c>
      <c r="F120" s="44">
        <f t="shared" si="26"/>
        <v>0</v>
      </c>
      <c r="G120" s="44">
        <f t="shared" si="26"/>
        <v>0</v>
      </c>
      <c r="H120" s="44">
        <f t="shared" si="26"/>
        <v>0</v>
      </c>
      <c r="I120" s="66">
        <f t="shared" si="26"/>
        <v>0</v>
      </c>
    </row>
    <row r="121" spans="2:9" ht="12" customHeight="1">
      <c r="B121" s="147" t="s">
        <v>34</v>
      </c>
      <c r="C121" s="148"/>
      <c r="D121" s="39" t="str">
        <f t="shared" ref="D121:I121" si="27">IF(D122=0,"",D112+1)</f>
        <v/>
      </c>
      <c r="E121" s="39" t="str">
        <f t="shared" si="27"/>
        <v/>
      </c>
      <c r="F121" s="39" t="str">
        <f t="shared" si="27"/>
        <v/>
      </c>
      <c r="G121" s="39" t="str">
        <f t="shared" si="27"/>
        <v/>
      </c>
      <c r="H121" s="39" t="str">
        <f t="shared" si="27"/>
        <v/>
      </c>
      <c r="I121" s="62" t="str">
        <f t="shared" si="27"/>
        <v/>
      </c>
    </row>
    <row r="122" spans="2:9" ht="12" customHeight="1">
      <c r="B122" s="149" t="s">
        <v>17</v>
      </c>
      <c r="C122" s="40" t="s">
        <v>41</v>
      </c>
      <c r="D122" s="41">
        <f>測定値!$I341</f>
        <v>0</v>
      </c>
      <c r="E122" s="41">
        <f>測定値!$I359</f>
        <v>0</v>
      </c>
      <c r="F122" s="41">
        <f>測定値!I377</f>
        <v>0</v>
      </c>
      <c r="G122" s="41">
        <f>測定値!I395</f>
        <v>0</v>
      </c>
      <c r="H122" s="41">
        <f>測定値!I413</f>
        <v>0</v>
      </c>
      <c r="I122" s="63">
        <f>測定値!I431</f>
        <v>0</v>
      </c>
    </row>
    <row r="123" spans="2:9" ht="12" customHeight="1">
      <c r="B123" s="150"/>
      <c r="C123" s="40" t="s">
        <v>42</v>
      </c>
      <c r="D123" s="41">
        <f>測定値!$I342</f>
        <v>0</v>
      </c>
      <c r="E123" s="41">
        <f>測定値!$I360</f>
        <v>0</v>
      </c>
      <c r="F123" s="41">
        <f>測定値!I378</f>
        <v>0</v>
      </c>
      <c r="G123" s="41">
        <f>測定値!I396</f>
        <v>0</v>
      </c>
      <c r="H123" s="41">
        <f>測定値!I414</f>
        <v>0</v>
      </c>
      <c r="I123" s="63">
        <f>測定値!I432</f>
        <v>0</v>
      </c>
    </row>
    <row r="124" spans="2:9" ht="12" customHeight="1">
      <c r="B124" s="150"/>
      <c r="C124" s="40" t="s">
        <v>43</v>
      </c>
      <c r="D124" s="41">
        <f>測定値!$I343</f>
        <v>0</v>
      </c>
      <c r="E124" s="41">
        <f>測定値!$I361</f>
        <v>0</v>
      </c>
      <c r="F124" s="41">
        <f>測定値!I379</f>
        <v>0</v>
      </c>
      <c r="G124" s="41">
        <f>測定値!I397</f>
        <v>0</v>
      </c>
      <c r="H124" s="41">
        <f>測定値!I415</f>
        <v>0</v>
      </c>
      <c r="I124" s="63">
        <f>測定値!I433</f>
        <v>0</v>
      </c>
    </row>
    <row r="125" spans="2:9" ht="12" customHeight="1">
      <c r="B125" s="150"/>
      <c r="C125" s="40" t="s">
        <v>44</v>
      </c>
      <c r="D125" s="41">
        <f>測定値!$I344</f>
        <v>0</v>
      </c>
      <c r="E125" s="41">
        <f>測定値!$I362</f>
        <v>0</v>
      </c>
      <c r="F125" s="41">
        <f>測定値!I380</f>
        <v>0</v>
      </c>
      <c r="G125" s="41">
        <f>測定値!I398</f>
        <v>0</v>
      </c>
      <c r="H125" s="41">
        <f>測定値!I416</f>
        <v>0</v>
      </c>
      <c r="I125" s="63">
        <f>測定値!I434</f>
        <v>0</v>
      </c>
    </row>
    <row r="126" spans="2:9" ht="12" customHeight="1">
      <c r="B126" s="150"/>
      <c r="C126" s="40" t="s">
        <v>45</v>
      </c>
      <c r="D126" s="41">
        <f>測定値!$I345</f>
        <v>0</v>
      </c>
      <c r="E126" s="41">
        <f>測定値!$I363</f>
        <v>0</v>
      </c>
      <c r="F126" s="41">
        <f>測定値!I381</f>
        <v>0</v>
      </c>
      <c r="G126" s="41">
        <f>測定値!I399</f>
        <v>0</v>
      </c>
      <c r="H126" s="41">
        <f>測定値!I417</f>
        <v>0</v>
      </c>
      <c r="I126" s="63">
        <f>測定値!I435</f>
        <v>0</v>
      </c>
    </row>
    <row r="127" spans="2:9" ht="12" customHeight="1">
      <c r="B127" s="150"/>
      <c r="C127" s="40" t="s">
        <v>46</v>
      </c>
      <c r="D127" s="41">
        <f>測定値!$I346</f>
        <v>0</v>
      </c>
      <c r="E127" s="41">
        <f>測定値!$I364</f>
        <v>0</v>
      </c>
      <c r="F127" s="41">
        <f>測定値!I382</f>
        <v>0</v>
      </c>
      <c r="G127" s="41">
        <f>測定値!I400</f>
        <v>0</v>
      </c>
      <c r="H127" s="41">
        <f>測定値!I418</f>
        <v>0</v>
      </c>
      <c r="I127" s="63">
        <f>測定値!I436</f>
        <v>0</v>
      </c>
    </row>
    <row r="128" spans="2:9" ht="12" customHeight="1">
      <c r="B128" s="150"/>
      <c r="C128" s="40" t="s">
        <v>3</v>
      </c>
      <c r="D128" s="43">
        <f t="shared" ref="D128:I128" si="28">MIN(D122:D127)</f>
        <v>0</v>
      </c>
      <c r="E128" s="43">
        <f t="shared" si="28"/>
        <v>0</v>
      </c>
      <c r="F128" s="43">
        <f t="shared" si="28"/>
        <v>0</v>
      </c>
      <c r="G128" s="43">
        <f t="shared" si="28"/>
        <v>0</v>
      </c>
      <c r="H128" s="43">
        <f t="shared" si="28"/>
        <v>0</v>
      </c>
      <c r="I128" s="65">
        <f t="shared" si="28"/>
        <v>0</v>
      </c>
    </row>
    <row r="129" spans="2:9" ht="12" customHeight="1" thickBot="1">
      <c r="B129" s="99" t="s">
        <v>84</v>
      </c>
      <c r="C129" s="94" t="s">
        <v>4</v>
      </c>
      <c r="D129" s="45">
        <f t="shared" ref="D129:I129" si="29">MAX(D122:D127)</f>
        <v>0</v>
      </c>
      <c r="E129" s="45">
        <f t="shared" si="29"/>
        <v>0</v>
      </c>
      <c r="F129" s="45">
        <f t="shared" si="29"/>
        <v>0</v>
      </c>
      <c r="G129" s="45">
        <f t="shared" si="29"/>
        <v>0</v>
      </c>
      <c r="H129" s="45">
        <f t="shared" si="29"/>
        <v>0</v>
      </c>
      <c r="I129" s="67">
        <f t="shared" si="29"/>
        <v>0</v>
      </c>
    </row>
    <row r="130" spans="2:9" ht="4.5" customHeight="1" thickBot="1">
      <c r="B130" s="21"/>
      <c r="C130" s="21"/>
      <c r="D130" s="21"/>
      <c r="E130" s="23"/>
      <c r="F130" s="23"/>
      <c r="G130" s="23"/>
      <c r="H130" s="23"/>
      <c r="I130" s="23"/>
    </row>
    <row r="131" spans="2:9" ht="12" customHeight="1">
      <c r="B131" s="145" t="s">
        <v>47</v>
      </c>
      <c r="C131" s="146"/>
      <c r="D131" s="58" t="str">
        <f>IF(D135=0,"",I100+1)</f>
        <v/>
      </c>
      <c r="E131" s="58" t="str">
        <f>IF(E135=0,"",D131+1)</f>
        <v/>
      </c>
      <c r="F131" s="58" t="str">
        <f>IF(F135=0,"",E131+1)</f>
        <v/>
      </c>
      <c r="G131" s="58" t="str">
        <f>IF(G135=0,"",F131+1)</f>
        <v/>
      </c>
      <c r="H131" s="58" t="str">
        <f>IF(H135=0,"",G131+1)</f>
        <v/>
      </c>
      <c r="I131" s="59" t="str">
        <f>IF(I135=0,"",H131+1)</f>
        <v/>
      </c>
    </row>
    <row r="132" spans="2:9" ht="12" customHeight="1">
      <c r="B132" s="143" t="s">
        <v>1</v>
      </c>
      <c r="C132" s="144"/>
      <c r="D132" s="24">
        <f>IF(D135="","",測定値!$B437)</f>
        <v>0</v>
      </c>
      <c r="E132" s="24">
        <f>IF(E135="","",測定値!$B455)</f>
        <v>0</v>
      </c>
      <c r="F132" s="24">
        <f>IF(F135="","",測定値!$B473)</f>
        <v>0</v>
      </c>
      <c r="G132" s="24">
        <f>IF(G135="","",測定値!$B491)</f>
        <v>0</v>
      </c>
      <c r="H132" s="24">
        <f>IF(H135="","",測定値!$B509)</f>
        <v>0</v>
      </c>
      <c r="I132" s="60">
        <f>IF(I135="","",測定値!$B527)</f>
        <v>0</v>
      </c>
    </row>
    <row r="133" spans="2:9" ht="12" customHeight="1">
      <c r="B133" s="143" t="s">
        <v>2</v>
      </c>
      <c r="C133" s="144"/>
      <c r="D133" s="54">
        <f>IF(D135="","",測定値!$C437)</f>
        <v>0</v>
      </c>
      <c r="E133" s="54">
        <f>IF(E135="","",測定値!$C455)</f>
        <v>0</v>
      </c>
      <c r="F133" s="54">
        <f>IF(F135="","",測定値!$C473)</f>
        <v>0</v>
      </c>
      <c r="G133" s="54">
        <f>IF(G135="","",測定値!$C491)</f>
        <v>0</v>
      </c>
      <c r="H133" s="54">
        <f>IF(H135="","",測定値!$C509)</f>
        <v>0</v>
      </c>
      <c r="I133" s="61">
        <f>IF(I135="","",測定値!$C527)</f>
        <v>0</v>
      </c>
    </row>
    <row r="134" spans="2:9" ht="12" customHeight="1">
      <c r="B134" s="97" t="s">
        <v>27</v>
      </c>
      <c r="C134" s="98"/>
      <c r="D134" s="39" t="str">
        <f>IF(D135=0,"",I103+3)</f>
        <v/>
      </c>
      <c r="E134" s="39" t="str">
        <f>IF(E135=0,"",D134+3)</f>
        <v/>
      </c>
      <c r="F134" s="39" t="str">
        <f>IF(F135=0,"",E134+3)</f>
        <v/>
      </c>
      <c r="G134" s="39" t="str">
        <f>IF(G135=0,"",F134+3)</f>
        <v/>
      </c>
      <c r="H134" s="39" t="str">
        <f>IF(H135=0,"",G134+3)</f>
        <v/>
      </c>
      <c r="I134" s="62" t="str">
        <f>IF(I135=0,"",H134+3)</f>
        <v/>
      </c>
    </row>
    <row r="135" spans="2:9" ht="12" customHeight="1">
      <c r="B135" s="149" t="s">
        <v>81</v>
      </c>
      <c r="C135" s="40" t="s">
        <v>28</v>
      </c>
      <c r="D135" s="41">
        <f>測定値!I437</f>
        <v>0</v>
      </c>
      <c r="E135" s="41">
        <f>測定値!I455</f>
        <v>0</v>
      </c>
      <c r="F135" s="41">
        <f>測定値!I473</f>
        <v>0</v>
      </c>
      <c r="G135" s="41">
        <f>測定値!I491</f>
        <v>0</v>
      </c>
      <c r="H135" s="41">
        <f>測定値!I509</f>
        <v>0</v>
      </c>
      <c r="I135" s="63">
        <f>測定値!I527</f>
        <v>0</v>
      </c>
    </row>
    <row r="136" spans="2:9" ht="12" customHeight="1">
      <c r="B136" s="150"/>
      <c r="C136" s="40" t="s">
        <v>29</v>
      </c>
      <c r="D136" s="41">
        <f>測定値!I438</f>
        <v>0</v>
      </c>
      <c r="E136" s="41">
        <f>測定値!I456</f>
        <v>0</v>
      </c>
      <c r="F136" s="41">
        <f>測定値!I474</f>
        <v>0</v>
      </c>
      <c r="G136" s="41">
        <f>測定値!I492</f>
        <v>0</v>
      </c>
      <c r="H136" s="41">
        <f>測定値!I510</f>
        <v>0</v>
      </c>
      <c r="I136" s="63">
        <f>測定値!I528</f>
        <v>0</v>
      </c>
    </row>
    <row r="137" spans="2:9" ht="12" customHeight="1">
      <c r="B137" s="150"/>
      <c r="C137" s="40" t="s">
        <v>30</v>
      </c>
      <c r="D137" s="41">
        <f>測定値!I439</f>
        <v>0</v>
      </c>
      <c r="E137" s="41">
        <f>測定値!I457</f>
        <v>0</v>
      </c>
      <c r="F137" s="41">
        <f>測定値!I475</f>
        <v>0</v>
      </c>
      <c r="G137" s="41">
        <f>測定値!I493</f>
        <v>0</v>
      </c>
      <c r="H137" s="41">
        <f>測定値!I511</f>
        <v>0</v>
      </c>
      <c r="I137" s="63">
        <f>測定値!I529</f>
        <v>0</v>
      </c>
    </row>
    <row r="138" spans="2:9" ht="12" customHeight="1">
      <c r="B138" s="150"/>
      <c r="C138" s="40" t="s">
        <v>31</v>
      </c>
      <c r="D138" s="41">
        <f>測定値!I440</f>
        <v>0</v>
      </c>
      <c r="E138" s="41">
        <f>測定値!I458</f>
        <v>0</v>
      </c>
      <c r="F138" s="41">
        <f>測定値!I476</f>
        <v>0</v>
      </c>
      <c r="G138" s="41">
        <f>測定値!I494</f>
        <v>0</v>
      </c>
      <c r="H138" s="41">
        <f>測定値!I512</f>
        <v>0</v>
      </c>
      <c r="I138" s="63">
        <f>測定値!I530</f>
        <v>0</v>
      </c>
    </row>
    <row r="139" spans="2:9" ht="12" customHeight="1">
      <c r="B139" s="150"/>
      <c r="C139" s="40" t="s">
        <v>32</v>
      </c>
      <c r="D139" s="41">
        <f>測定値!I441</f>
        <v>0</v>
      </c>
      <c r="E139" s="41">
        <f>測定値!I459</f>
        <v>0</v>
      </c>
      <c r="F139" s="41">
        <f>測定値!I477</f>
        <v>0</v>
      </c>
      <c r="G139" s="41">
        <f>測定値!I495</f>
        <v>0</v>
      </c>
      <c r="H139" s="41">
        <f>測定値!I513</f>
        <v>0</v>
      </c>
      <c r="I139" s="63">
        <f>測定値!I531</f>
        <v>0</v>
      </c>
    </row>
    <row r="140" spans="2:9" ht="12" customHeight="1">
      <c r="B140" s="150"/>
      <c r="C140" s="40" t="s">
        <v>33</v>
      </c>
      <c r="D140" s="41">
        <f>測定値!I442</f>
        <v>0</v>
      </c>
      <c r="E140" s="41">
        <f>測定値!I460</f>
        <v>0</v>
      </c>
      <c r="F140" s="41">
        <f>測定値!I478</f>
        <v>0</v>
      </c>
      <c r="G140" s="41">
        <f>測定値!I496</f>
        <v>0</v>
      </c>
      <c r="H140" s="41">
        <f>測定値!I514</f>
        <v>0</v>
      </c>
      <c r="I140" s="63">
        <f>測定値!I532</f>
        <v>0</v>
      </c>
    </row>
    <row r="141" spans="2:9" ht="12" customHeight="1">
      <c r="B141" s="150"/>
      <c r="C141" s="40" t="s">
        <v>3</v>
      </c>
      <c r="D141" s="41">
        <f t="shared" ref="D141:I141" si="30">MIN(D135:D140)</f>
        <v>0</v>
      </c>
      <c r="E141" s="41">
        <f t="shared" si="30"/>
        <v>0</v>
      </c>
      <c r="F141" s="41">
        <f t="shared" si="30"/>
        <v>0</v>
      </c>
      <c r="G141" s="41">
        <f t="shared" si="30"/>
        <v>0</v>
      </c>
      <c r="H141" s="41">
        <f t="shared" si="30"/>
        <v>0</v>
      </c>
      <c r="I141" s="63">
        <f t="shared" si="30"/>
        <v>0</v>
      </c>
    </row>
    <row r="142" spans="2:9" ht="12" customHeight="1">
      <c r="B142" s="96" t="s">
        <v>83</v>
      </c>
      <c r="C142" s="95" t="s">
        <v>4</v>
      </c>
      <c r="D142" s="46">
        <f t="shared" ref="D142:I142" si="31">MAX(D135:D140)</f>
        <v>0</v>
      </c>
      <c r="E142" s="46">
        <f t="shared" si="31"/>
        <v>0</v>
      </c>
      <c r="F142" s="46">
        <f t="shared" si="31"/>
        <v>0</v>
      </c>
      <c r="G142" s="46">
        <f t="shared" si="31"/>
        <v>0</v>
      </c>
      <c r="H142" s="46">
        <f t="shared" si="31"/>
        <v>0</v>
      </c>
      <c r="I142" s="68">
        <f t="shared" si="31"/>
        <v>0</v>
      </c>
    </row>
    <row r="143" spans="2:9" ht="12" customHeight="1">
      <c r="B143" s="140" t="s">
        <v>12</v>
      </c>
      <c r="C143" s="141"/>
      <c r="D143" s="39" t="str">
        <f t="shared" ref="D143:I143" si="32">IF(D144=0,"",D134+1)</f>
        <v/>
      </c>
      <c r="E143" s="39" t="str">
        <f t="shared" si="32"/>
        <v/>
      </c>
      <c r="F143" s="39" t="str">
        <f t="shared" si="32"/>
        <v/>
      </c>
      <c r="G143" s="39" t="str">
        <f t="shared" si="32"/>
        <v/>
      </c>
      <c r="H143" s="39" t="str">
        <f t="shared" si="32"/>
        <v/>
      </c>
      <c r="I143" s="62" t="str">
        <f t="shared" si="32"/>
        <v/>
      </c>
    </row>
    <row r="144" spans="2:9" ht="12" customHeight="1">
      <c r="B144" s="149" t="s">
        <v>16</v>
      </c>
      <c r="C144" s="40" t="s">
        <v>35</v>
      </c>
      <c r="D144" s="41">
        <f>測定値!I443</f>
        <v>0</v>
      </c>
      <c r="E144" s="41">
        <f>測定値!I461</f>
        <v>0</v>
      </c>
      <c r="F144" s="41">
        <f>測定値!I479</f>
        <v>0</v>
      </c>
      <c r="G144" s="41">
        <f>測定値!I497</f>
        <v>0</v>
      </c>
      <c r="H144" s="41">
        <f>測定値!I515</f>
        <v>0</v>
      </c>
      <c r="I144" s="63">
        <f>測定値!I533</f>
        <v>0</v>
      </c>
    </row>
    <row r="145" spans="2:9" ht="12" customHeight="1">
      <c r="B145" s="150"/>
      <c r="C145" s="40" t="s">
        <v>36</v>
      </c>
      <c r="D145" s="41">
        <f>測定値!I444</f>
        <v>0</v>
      </c>
      <c r="E145" s="41">
        <f>測定値!I462</f>
        <v>0</v>
      </c>
      <c r="F145" s="41">
        <f>測定値!I480</f>
        <v>0</v>
      </c>
      <c r="G145" s="41">
        <f>測定値!I498</f>
        <v>0</v>
      </c>
      <c r="H145" s="41">
        <f>測定値!I516</f>
        <v>0</v>
      </c>
      <c r="I145" s="63">
        <f>測定値!I534</f>
        <v>0</v>
      </c>
    </row>
    <row r="146" spans="2:9" ht="12" customHeight="1">
      <c r="B146" s="150"/>
      <c r="C146" s="40" t="s">
        <v>37</v>
      </c>
      <c r="D146" s="41">
        <f>測定値!I445</f>
        <v>0</v>
      </c>
      <c r="E146" s="41">
        <f>測定値!I463</f>
        <v>0</v>
      </c>
      <c r="F146" s="41">
        <f>測定値!I481</f>
        <v>0</v>
      </c>
      <c r="G146" s="41">
        <f>測定値!I499</f>
        <v>0</v>
      </c>
      <c r="H146" s="41">
        <f>測定値!I517</f>
        <v>0</v>
      </c>
      <c r="I146" s="63">
        <f>測定値!I535</f>
        <v>0</v>
      </c>
    </row>
    <row r="147" spans="2:9" ht="12" customHeight="1">
      <c r="B147" s="150"/>
      <c r="C147" s="40" t="s">
        <v>38</v>
      </c>
      <c r="D147" s="41">
        <f>測定値!I446</f>
        <v>0</v>
      </c>
      <c r="E147" s="41">
        <f>測定値!I464</f>
        <v>0</v>
      </c>
      <c r="F147" s="41">
        <f>測定値!I482</f>
        <v>0</v>
      </c>
      <c r="G147" s="41">
        <f>測定値!I500</f>
        <v>0</v>
      </c>
      <c r="H147" s="41">
        <f>測定値!I518</f>
        <v>0</v>
      </c>
      <c r="I147" s="63">
        <f>測定値!I536</f>
        <v>0</v>
      </c>
    </row>
    <row r="148" spans="2:9" ht="12" customHeight="1">
      <c r="B148" s="150"/>
      <c r="C148" s="40" t="s">
        <v>39</v>
      </c>
      <c r="D148" s="41">
        <f>測定値!I447</f>
        <v>0</v>
      </c>
      <c r="E148" s="41">
        <f>測定値!I465</f>
        <v>0</v>
      </c>
      <c r="F148" s="41">
        <f>測定値!I483</f>
        <v>0</v>
      </c>
      <c r="G148" s="41">
        <f>測定値!I501</f>
        <v>0</v>
      </c>
      <c r="H148" s="41">
        <f>測定値!I519</f>
        <v>0</v>
      </c>
      <c r="I148" s="63">
        <f>測定値!I537</f>
        <v>0</v>
      </c>
    </row>
    <row r="149" spans="2:9" ht="12" customHeight="1">
      <c r="B149" s="150" t="s">
        <v>50</v>
      </c>
      <c r="C149" s="40" t="s">
        <v>40</v>
      </c>
      <c r="D149" s="41">
        <f>測定値!I448</f>
        <v>0</v>
      </c>
      <c r="E149" s="41">
        <f>測定値!I466</f>
        <v>0</v>
      </c>
      <c r="F149" s="41">
        <f>測定値!I484</f>
        <v>0</v>
      </c>
      <c r="G149" s="41">
        <f>測定値!I502</f>
        <v>0</v>
      </c>
      <c r="H149" s="41">
        <f>測定値!I520</f>
        <v>0</v>
      </c>
      <c r="I149" s="63">
        <f>測定値!I538</f>
        <v>0</v>
      </c>
    </row>
    <row r="150" spans="2:9" ht="12" customHeight="1">
      <c r="B150" s="150" t="s">
        <v>3</v>
      </c>
      <c r="C150" s="40" t="s">
        <v>3</v>
      </c>
      <c r="D150" s="43">
        <f t="shared" ref="D150:I150" si="33">MIN(D144:D149)</f>
        <v>0</v>
      </c>
      <c r="E150" s="43">
        <f t="shared" si="33"/>
        <v>0</v>
      </c>
      <c r="F150" s="43">
        <f t="shared" si="33"/>
        <v>0</v>
      </c>
      <c r="G150" s="43">
        <f t="shared" si="33"/>
        <v>0</v>
      </c>
      <c r="H150" s="43">
        <f t="shared" si="33"/>
        <v>0</v>
      </c>
      <c r="I150" s="65">
        <f t="shared" si="33"/>
        <v>0</v>
      </c>
    </row>
    <row r="151" spans="2:9" ht="12" customHeight="1">
      <c r="B151" s="96" t="s">
        <v>83</v>
      </c>
      <c r="C151" s="95" t="s">
        <v>4</v>
      </c>
      <c r="D151" s="47">
        <f t="shared" ref="D151:I151" si="34">MAX(D144:D149)</f>
        <v>0</v>
      </c>
      <c r="E151" s="47">
        <f t="shared" si="34"/>
        <v>0</v>
      </c>
      <c r="F151" s="47">
        <f t="shared" si="34"/>
        <v>0</v>
      </c>
      <c r="G151" s="47">
        <f t="shared" si="34"/>
        <v>0</v>
      </c>
      <c r="H151" s="47">
        <f t="shared" si="34"/>
        <v>0</v>
      </c>
      <c r="I151" s="69">
        <f t="shared" si="34"/>
        <v>0</v>
      </c>
    </row>
    <row r="152" spans="2:9" ht="12" customHeight="1">
      <c r="B152" s="147" t="s">
        <v>34</v>
      </c>
      <c r="C152" s="148"/>
      <c r="D152" s="39" t="str">
        <f t="shared" ref="D152:I152" si="35">IF(D153=0,"",D143+1)</f>
        <v/>
      </c>
      <c r="E152" s="39" t="str">
        <f t="shared" si="35"/>
        <v/>
      </c>
      <c r="F152" s="39" t="str">
        <f t="shared" si="35"/>
        <v/>
      </c>
      <c r="G152" s="39" t="str">
        <f t="shared" si="35"/>
        <v/>
      </c>
      <c r="H152" s="39" t="str">
        <f t="shared" si="35"/>
        <v/>
      </c>
      <c r="I152" s="62" t="str">
        <f t="shared" si="35"/>
        <v/>
      </c>
    </row>
    <row r="153" spans="2:9" ht="12" customHeight="1">
      <c r="B153" s="149" t="s">
        <v>17</v>
      </c>
      <c r="C153" s="40" t="s">
        <v>41</v>
      </c>
      <c r="D153" s="41">
        <f>測定値!I449</f>
        <v>0</v>
      </c>
      <c r="E153" s="41">
        <f>測定値!I467</f>
        <v>0</v>
      </c>
      <c r="F153" s="41">
        <f>測定値!I485</f>
        <v>0</v>
      </c>
      <c r="G153" s="41">
        <f>測定値!I503</f>
        <v>0</v>
      </c>
      <c r="H153" s="41">
        <f>測定値!I521</f>
        <v>0</v>
      </c>
      <c r="I153" s="63">
        <f>測定値!I539</f>
        <v>0</v>
      </c>
    </row>
    <row r="154" spans="2:9" ht="12" customHeight="1">
      <c r="B154" s="150"/>
      <c r="C154" s="40" t="s">
        <v>42</v>
      </c>
      <c r="D154" s="41">
        <f>測定値!I450</f>
        <v>0</v>
      </c>
      <c r="E154" s="41">
        <f>測定値!I468</f>
        <v>0</v>
      </c>
      <c r="F154" s="41">
        <f>測定値!I486</f>
        <v>0</v>
      </c>
      <c r="G154" s="41">
        <f>測定値!I504</f>
        <v>0</v>
      </c>
      <c r="H154" s="41">
        <f>測定値!I522</f>
        <v>0</v>
      </c>
      <c r="I154" s="63">
        <f>測定値!I540</f>
        <v>0</v>
      </c>
    </row>
    <row r="155" spans="2:9" ht="12" customHeight="1">
      <c r="B155" s="150"/>
      <c r="C155" s="40" t="s">
        <v>43</v>
      </c>
      <c r="D155" s="41">
        <f>測定値!I451</f>
        <v>0</v>
      </c>
      <c r="E155" s="41">
        <f>測定値!I469</f>
        <v>0</v>
      </c>
      <c r="F155" s="41">
        <f>測定値!I487</f>
        <v>0</v>
      </c>
      <c r="G155" s="41">
        <f>測定値!I505</f>
        <v>0</v>
      </c>
      <c r="H155" s="41">
        <f>測定値!I523</f>
        <v>0</v>
      </c>
      <c r="I155" s="63">
        <f>測定値!I541</f>
        <v>0</v>
      </c>
    </row>
    <row r="156" spans="2:9" ht="12" customHeight="1">
      <c r="B156" s="150"/>
      <c r="C156" s="40" t="s">
        <v>44</v>
      </c>
      <c r="D156" s="41">
        <f>測定値!I452</f>
        <v>0</v>
      </c>
      <c r="E156" s="41">
        <f>測定値!I470</f>
        <v>0</v>
      </c>
      <c r="F156" s="41">
        <f>測定値!I488</f>
        <v>0</v>
      </c>
      <c r="G156" s="41">
        <f>測定値!I506</f>
        <v>0</v>
      </c>
      <c r="H156" s="41">
        <f>測定値!I524</f>
        <v>0</v>
      </c>
      <c r="I156" s="63">
        <f>測定値!I542</f>
        <v>0</v>
      </c>
    </row>
    <row r="157" spans="2:9" ht="12" customHeight="1">
      <c r="B157" s="150"/>
      <c r="C157" s="40" t="s">
        <v>45</v>
      </c>
      <c r="D157" s="41">
        <f>測定値!I453</f>
        <v>0</v>
      </c>
      <c r="E157" s="41">
        <f>測定値!I471</f>
        <v>0</v>
      </c>
      <c r="F157" s="41">
        <f>測定値!I489</f>
        <v>0</v>
      </c>
      <c r="G157" s="41">
        <f>測定値!I507</f>
        <v>0</v>
      </c>
      <c r="H157" s="41">
        <f>測定値!I525</f>
        <v>0</v>
      </c>
      <c r="I157" s="63">
        <f>測定値!I543</f>
        <v>0</v>
      </c>
    </row>
    <row r="158" spans="2:9" ht="12" customHeight="1">
      <c r="B158" s="150"/>
      <c r="C158" s="40" t="s">
        <v>46</v>
      </c>
      <c r="D158" s="41">
        <f>測定値!I454</f>
        <v>0</v>
      </c>
      <c r="E158" s="41">
        <f>測定値!I472</f>
        <v>0</v>
      </c>
      <c r="F158" s="41">
        <f>測定値!I490</f>
        <v>0</v>
      </c>
      <c r="G158" s="41">
        <f>測定値!I508</f>
        <v>0</v>
      </c>
      <c r="H158" s="41">
        <f>測定値!I526</f>
        <v>0</v>
      </c>
      <c r="I158" s="63">
        <f>測定値!I544</f>
        <v>0</v>
      </c>
    </row>
    <row r="159" spans="2:9" ht="12" customHeight="1">
      <c r="B159" s="150"/>
      <c r="C159" s="40" t="s">
        <v>3</v>
      </c>
      <c r="D159" s="43">
        <f t="shared" ref="D159:I159" si="36">MIN(D153:D158)</f>
        <v>0</v>
      </c>
      <c r="E159" s="43">
        <f t="shared" si="36"/>
        <v>0</v>
      </c>
      <c r="F159" s="43">
        <f t="shared" si="36"/>
        <v>0</v>
      </c>
      <c r="G159" s="43">
        <f t="shared" si="36"/>
        <v>0</v>
      </c>
      <c r="H159" s="43">
        <f t="shared" si="36"/>
        <v>0</v>
      </c>
      <c r="I159" s="65">
        <f t="shared" si="36"/>
        <v>0</v>
      </c>
    </row>
    <row r="160" spans="2:9" ht="12" customHeight="1" thickBot="1">
      <c r="B160" s="99" t="s">
        <v>84</v>
      </c>
      <c r="C160" s="94" t="s">
        <v>4</v>
      </c>
      <c r="D160" s="45">
        <f t="shared" ref="D160:I160" si="37">MAX(D153:D158)</f>
        <v>0</v>
      </c>
      <c r="E160" s="45">
        <f t="shared" si="37"/>
        <v>0</v>
      </c>
      <c r="F160" s="45">
        <f t="shared" si="37"/>
        <v>0</v>
      </c>
      <c r="G160" s="45">
        <f t="shared" si="37"/>
        <v>0</v>
      </c>
      <c r="H160" s="45">
        <f t="shared" si="37"/>
        <v>0</v>
      </c>
      <c r="I160" s="67">
        <f t="shared" si="37"/>
        <v>0</v>
      </c>
    </row>
  </sheetData>
  <sheetProtection selectLockedCells="1"/>
  <mergeCells count="45">
    <mergeCell ref="B135:B141"/>
    <mergeCell ref="B144:B150"/>
    <mergeCell ref="B153:B159"/>
    <mergeCell ref="G4:I4"/>
    <mergeCell ref="G5:I5"/>
    <mergeCell ref="B152:C152"/>
    <mergeCell ref="B131:C131"/>
    <mergeCell ref="B132:C132"/>
    <mergeCell ref="B133:C133"/>
    <mergeCell ref="B121:C121"/>
    <mergeCell ref="B122:B128"/>
    <mergeCell ref="B113:B119"/>
    <mergeCell ref="B104:B110"/>
    <mergeCell ref="B100:C100"/>
    <mergeCell ref="B101:C101"/>
    <mergeCell ref="B102:C102"/>
    <mergeCell ref="B41:C41"/>
    <mergeCell ref="B40:C40"/>
    <mergeCell ref="B42:B48"/>
    <mergeCell ref="B50:C50"/>
    <mergeCell ref="B91:B97"/>
    <mergeCell ref="B82:B88"/>
    <mergeCell ref="B71:C71"/>
    <mergeCell ref="B59:C59"/>
    <mergeCell ref="B69:C69"/>
    <mergeCell ref="B70:C70"/>
    <mergeCell ref="B73:B79"/>
    <mergeCell ref="B90:C90"/>
    <mergeCell ref="B81:C81"/>
    <mergeCell ref="B112:C112"/>
    <mergeCell ref="B143:C143"/>
    <mergeCell ref="D5:E5"/>
    <mergeCell ref="B9:C9"/>
    <mergeCell ref="B7:C7"/>
    <mergeCell ref="B10:C10"/>
    <mergeCell ref="B29:B35"/>
    <mergeCell ref="B11:B17"/>
    <mergeCell ref="B20:B26"/>
    <mergeCell ref="B8:C8"/>
    <mergeCell ref="B28:C28"/>
    <mergeCell ref="B19:C19"/>
    <mergeCell ref="B51:B57"/>
    <mergeCell ref="B60:B66"/>
    <mergeCell ref="B38:C38"/>
    <mergeCell ref="B39:C39"/>
  </mergeCells>
  <phoneticPr fontId="1"/>
  <dataValidations count="1">
    <dataValidation type="whole" operator="equal" allowBlank="1" showInputMessage="1" showErrorMessage="1" sqref="D6:E160 F5:I160 B5:C160">
      <formula1>9999</formula1>
    </dataValidation>
  </dataValidations>
  <printOptions horizontalCentered="1"/>
  <pageMargins left="0.6692913385826772" right="0.39370078740157483" top="0.55118110236220474" bottom="0.70866141732283472" header="0.15748031496062992" footer="0.31496062992125984"/>
  <pageSetup paperSize="9" orientation="portrait" blackAndWhite="1" horizontalDpi="300" r:id="rId1"/>
  <headerFooter alignWithMargins="0">
    <oddFooter>&amp;C
&amp;P/&amp;N</oddFooter>
  </headerFooter>
  <rowBreaks count="3" manualBreakCount="3">
    <brk id="67" max="16383" man="1"/>
    <brk id="129" max="16383" man="1"/>
    <brk id="160" max="16383" man="1"/>
  </rowBreaks>
  <colBreaks count="1" manualBreakCount="1">
    <brk id="13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28</vt:i4>
      </vt:variant>
    </vt:vector>
  </HeadingPairs>
  <TitlesOfParts>
    <vt:vector size="31" baseType="lpstr">
      <vt:lpstr>使用方法</vt:lpstr>
      <vt:lpstr>測定値</vt:lpstr>
      <vt:lpstr>報告書</vt:lpstr>
      <vt:lpstr>Bach</vt:lpstr>
      <vt:lpstr>DataTB</vt:lpstr>
      <vt:lpstr>Debug</vt:lpstr>
      <vt:lpstr>Dose</vt:lpstr>
      <vt:lpstr>Honnsuu</vt:lpstr>
      <vt:lpstr>HyoujiKeta</vt:lpstr>
      <vt:lpstr>Jyogen</vt:lpstr>
      <vt:lpstr>Kagenn</vt:lpstr>
      <vt:lpstr>KaisyaCD</vt:lpstr>
      <vt:lpstr>KeiCode</vt:lpstr>
      <vt:lpstr>keicord</vt:lpstr>
      <vt:lpstr>keicordS</vt:lpstr>
      <vt:lpstr>keisuu</vt:lpstr>
      <vt:lpstr>KirokuFolder</vt:lpstr>
      <vt:lpstr>Nenndo</vt:lpstr>
      <vt:lpstr>測定値!Print_Area</vt:lpstr>
      <vt:lpstr>測定値!Print_Titles</vt:lpstr>
      <vt:lpstr>報告書!Print_Titles</vt:lpstr>
      <vt:lpstr>ReadFlg</vt:lpstr>
      <vt:lpstr>RicNo</vt:lpstr>
      <vt:lpstr>SenKind</vt:lpstr>
      <vt:lpstr>SenKindTB</vt:lpstr>
      <vt:lpstr>senkusyu</vt:lpstr>
      <vt:lpstr>SikiPara</vt:lpstr>
      <vt:lpstr>SikiTep</vt:lpstr>
      <vt:lpstr>SokuKiki</vt:lpstr>
      <vt:lpstr>UkeHed</vt:lpstr>
      <vt:lpstr>Uno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 </cp:lastModifiedBy>
  <cp:lastPrinted>2017-12-26T23:44:20Z</cp:lastPrinted>
  <dcterms:created xsi:type="dcterms:W3CDTF">2003-11-14T00:44:56Z</dcterms:created>
  <dcterms:modified xsi:type="dcterms:W3CDTF">2018-02-21T04:22:25Z</dcterms:modified>
</cp:coreProperties>
</file>