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-232\Desktop\"/>
    </mc:Choice>
  </mc:AlternateContent>
  <xr:revisionPtr revIDLastSave="0" documentId="13_ncr:1_{DC09B00F-0FDD-4B5B-8BE2-5B4B7660F982}" xr6:coauthVersionLast="47" xr6:coauthVersionMax="47" xr10:uidLastSave="{00000000-0000-0000-0000-000000000000}"/>
  <bookViews>
    <workbookView showHorizontalScroll="0" showVerticalScroll="0" xWindow="-120" yWindow="-120" windowWidth="19440" windowHeight="15000" tabRatio="714" xr2:uid="{00000000-000D-0000-FFFF-FFFF00000000}"/>
  </bookViews>
  <sheets>
    <sheet name="報告書" sheetId="1" r:id="rId1"/>
    <sheet name="報告書用元ﾃﾞｰﾀ" sheetId="6" r:id="rId2"/>
    <sheet name="試験成績書用紙" sheetId="4" r:id="rId3"/>
    <sheet name="改訂履歴" sheetId="7" r:id="rId4"/>
  </sheets>
  <definedNames>
    <definedName name="Atusa">報告書!$AJ$7</definedName>
    <definedName name="AtusaT">報告書!$O$20</definedName>
    <definedName name="Data">報告書用元ﾃﾞｰﾀ!$A$1:$AQ$30</definedName>
    <definedName name="Data1">報告書!$G$7:$AN$7</definedName>
    <definedName name="Data2">報告書!$C$9:$AN$16</definedName>
    <definedName name="Debug">報告書!$A$1</definedName>
    <definedName name="Innsatu">報告書!$BC$10</definedName>
    <definedName name="JituP1">報告書!$AA$9</definedName>
    <definedName name="JituP2">報告書!$AA$10</definedName>
    <definedName name="JituP3">報告書!$AA$11</definedName>
    <definedName name="JituP4">報告書!$AA$12</definedName>
    <definedName name="JituP5">報告書!$AA$13</definedName>
    <definedName name="JituP6">報告書!$AA$14</definedName>
    <definedName name="JituP7">報告書!$AA$15</definedName>
    <definedName name="JituP8">報告書!$AA$16</definedName>
    <definedName name="Jyoug1">報告書!$W$9</definedName>
    <definedName name="Jyoug2">報告書!$W$10</definedName>
    <definedName name="Jyoug3">報告書!$W$11</definedName>
    <definedName name="Jyoug4">報告書!$W$12</definedName>
    <definedName name="Jyoug5">報告書!$W$13</definedName>
    <definedName name="Jyoug6">報告書!$W$14</definedName>
    <definedName name="Jyoug7">報告書!$W$15</definedName>
    <definedName name="Jyoug8">報告書!$W$16</definedName>
    <definedName name="Kagen1">報告書!$S$9</definedName>
    <definedName name="Kagen2">報告書!$S$10</definedName>
    <definedName name="Kagen3">報告書!$S$11</definedName>
    <definedName name="Kagen4">報告書!$S$12</definedName>
    <definedName name="Kagen5">報告書!$S$13</definedName>
    <definedName name="Kagen6">報告書!$S$14</definedName>
    <definedName name="Kagen7">報告書!$S$15</definedName>
    <definedName name="Kagen8">報告書!$S$16</definedName>
    <definedName name="KaiCD1">報告書!$AD$9</definedName>
    <definedName name="KaiCD2">報告書!$AD$10</definedName>
    <definedName name="KaiCD3">報告書!$AD$11</definedName>
    <definedName name="KaiCD4">報告書!$AD$12</definedName>
    <definedName name="KaiCD5">報告書!$AD$13</definedName>
    <definedName name="KaiCD6">報告書!$AD$14</definedName>
    <definedName name="KaiCD7">報告書!$AD$15</definedName>
    <definedName name="KaiCD8">報告書!$AD$16</definedName>
    <definedName name="KaiName1">報告書!$AG$9</definedName>
    <definedName name="KaiName2">報告書!$AG$10</definedName>
    <definedName name="KaiName3">報告書!$AG$11</definedName>
    <definedName name="KaiName4">報告書!$AG$12</definedName>
    <definedName name="KaiName5">報告書!$AG$13</definedName>
    <definedName name="KaiName6">報告書!$AG$14</definedName>
    <definedName name="KaiName7">報告書!$AG$15</definedName>
    <definedName name="KaiName8">報告書!$AG$16</definedName>
    <definedName name="Keisask">報告書!$W$20</definedName>
    <definedName name="MokuCD">報告書!$BB$3</definedName>
    <definedName name="mokuteki">報告書!$BB$3:$BC$6</definedName>
    <definedName name="Pass">報告書!$AA$7</definedName>
    <definedName name="_xlnm.Print_Area" localSheetId="0">報告書!$B$1:$AN$38</definedName>
    <definedName name="RicNoE1">報告書!$K$9</definedName>
    <definedName name="RicNoE2">報告書!$K$10</definedName>
    <definedName name="RicNoE3">報告書!$K$11</definedName>
    <definedName name="RicNoE4">報告書!$K$12</definedName>
    <definedName name="RicNoE5">報告書!$K$13</definedName>
    <definedName name="RicNoE6">報告書!$K$14</definedName>
    <definedName name="RicNoE7">報告書!$K$15</definedName>
    <definedName name="RicNoE8">報告書!$K$16</definedName>
    <definedName name="RicNoS1">報告書!$G$9</definedName>
    <definedName name="RicNoS2">報告書!$G$10</definedName>
    <definedName name="RicNoS3">報告書!$G$11</definedName>
    <definedName name="RicNoS4">報告書!$G$12</definedName>
    <definedName name="RicNoS5">報告書!$G$13</definedName>
    <definedName name="RicNoS6">報告書!$G$14</definedName>
    <definedName name="RicNoS7">報告書!$G$15</definedName>
    <definedName name="RicNoS8">報告書!$G$16</definedName>
    <definedName name="Rireki">改訂履歴!$A$6:$D$105</definedName>
    <definedName name="SaiSoku">報告書!$O$7</definedName>
    <definedName name="SebkNoTB">報告書!$BE$3:$BE$5</definedName>
    <definedName name="SEnKind">報告書!$G$20</definedName>
    <definedName name="SenkNo">報告書!$B$7</definedName>
    <definedName name="SenSyu">報告書!$BB$10:$BB$12</definedName>
    <definedName name="SikiKodo">報告書!$AD$7</definedName>
    <definedName name="SiteiSN1">報告書!$O$9</definedName>
    <definedName name="SiteiSN2">報告書!$O$10</definedName>
    <definedName name="SiteiSN3">報告書!$O$11</definedName>
    <definedName name="SiteiSN4">報告書!$O$12</definedName>
    <definedName name="SiteiSN5">報告書!$O$13</definedName>
    <definedName name="SiteiSN6">報告書!$O$14</definedName>
    <definedName name="SiteiSN7">報告書!$O$15</definedName>
    <definedName name="SiteiSN8">報告書!$O$16</definedName>
    <definedName name="SokDate">報告書!$G$7</definedName>
    <definedName name="SoktCD">報告書!$K$7</definedName>
    <definedName name="SokutSN">報告書!$S$7</definedName>
    <definedName name="Sosi">報告書!$AG$7</definedName>
    <definedName name="SyainTB">報告書!$BF$5:$BF$35</definedName>
    <definedName name="Tani">報告書!$W$7</definedName>
    <definedName name="TuikaMin">報告書!$BB$25</definedName>
    <definedName name="UkeNo1">報告書!$C$9</definedName>
    <definedName name="UkeNo11">報告書!$C$22</definedName>
    <definedName name="UkeNo2">報告書!$C$10</definedName>
    <definedName name="UkeNo22">報告書!$C$23</definedName>
    <definedName name="UkeNo3">報告書!$C$11</definedName>
    <definedName name="UkeNo33">報告書!$C$24</definedName>
    <definedName name="UkeNo4">報告書!$C$12</definedName>
    <definedName name="UkeNo44">報告書!$C$25</definedName>
    <definedName name="UkeNo5">報告書!$C$13</definedName>
    <definedName name="UkeNo55">報告書!$C$26</definedName>
    <definedName name="UkeNo6">報告書!$C$14</definedName>
    <definedName name="UkeNo66">報告書!$C$27</definedName>
    <definedName name="UkeNo7">報告書!$C$15</definedName>
    <definedName name="UkeNo77">報告書!$C$28</definedName>
    <definedName name="UkeNo8">報告書!$C$16</definedName>
    <definedName name="UkeNo88">報告書!$C$29</definedName>
    <definedName name="YousikiName">改訂履歴!$A$4</definedName>
    <definedName name="YousikiNo">改訂履歴!$D$4</definedName>
    <definedName name="Z_483C5E02_A279_4E47_B34C_46BF3C195F01_.wvu.PrintArea" localSheetId="0" hidden="1">報告書!$B$1:$AN$37</definedName>
  </definedNames>
  <calcPr calcId="181029"/>
  <customWorkbookViews>
    <customWorkbookView name="  - 個人用ビュー" guid="{483C5E02-A279-4E47-B34C-46BF3C195F01}" mergeInterval="0" personalView="1" maximized="1" showHorizontalScroll="0" showVerticalScroll="0" windowWidth="1012" windowHeight="591" activeSheetId="1" showFormulaBar="0" showComments="commIndAndComment"/>
  </customWorkbookViews>
</workbook>
</file>

<file path=xl/calcChain.xml><?xml version="1.0" encoding="utf-8"?>
<calcChain xmlns="http://schemas.openxmlformats.org/spreadsheetml/2006/main">
  <c r="B1" i="1" l="1"/>
  <c r="AD29" i="1" l="1"/>
  <c r="AD28" i="1"/>
  <c r="AD27" i="1"/>
  <c r="AD26" i="1"/>
  <c r="AD25" i="1"/>
  <c r="AD24" i="1"/>
  <c r="AD23" i="1"/>
  <c r="AD22" i="1"/>
  <c r="K29" i="1"/>
  <c r="K28" i="1"/>
  <c r="K27" i="1"/>
  <c r="K26" i="1"/>
  <c r="K25" i="1"/>
  <c r="K24" i="1"/>
  <c r="K23" i="1"/>
  <c r="K22" i="1"/>
  <c r="G29" i="1"/>
  <c r="G28" i="1"/>
  <c r="G27" i="1"/>
  <c r="G26" i="1"/>
  <c r="G25" i="1"/>
  <c r="G24" i="1"/>
  <c r="G23" i="1"/>
  <c r="G22" i="1"/>
  <c r="C29" i="1"/>
  <c r="C28" i="1"/>
  <c r="C27" i="1"/>
  <c r="C26" i="1"/>
  <c r="C25" i="1"/>
  <c r="O25" i="1" s="1"/>
  <c r="C24" i="1"/>
  <c r="O24" i="1" s="1"/>
  <c r="C23" i="1"/>
  <c r="O23" i="1" s="1"/>
  <c r="C22" i="1"/>
  <c r="O22" i="1" s="1"/>
  <c r="W24" i="1" l="1"/>
  <c r="AA24" i="1"/>
  <c r="W28" i="1"/>
  <c r="O28" i="1"/>
  <c r="AA28" i="1" s="1"/>
  <c r="W25" i="1"/>
  <c r="AA25" i="1"/>
  <c r="W29" i="1"/>
  <c r="O29" i="1"/>
  <c r="AA29" i="1" s="1"/>
  <c r="W22" i="1"/>
  <c r="AA22" i="1"/>
  <c r="W26" i="1"/>
  <c r="O26" i="1"/>
  <c r="AA26" i="1" s="1"/>
  <c r="W23" i="1"/>
  <c r="AA23" i="1"/>
  <c r="W27" i="1"/>
  <c r="O27" i="1"/>
  <c r="AA27" i="1" s="1"/>
  <c r="BF3" i="1"/>
  <c r="S28" i="1" l="1"/>
  <c r="S24" i="1"/>
  <c r="S27" i="1"/>
  <c r="S23" i="1"/>
  <c r="S26" i="1"/>
  <c r="S25" i="1"/>
  <c r="S29" i="1"/>
  <c r="S22" i="1"/>
  <c r="M3" i="1"/>
  <c r="G19" i="1"/>
  <c r="B24" i="1"/>
  <c r="B43" i="1"/>
  <c r="C43" i="1"/>
  <c r="D43" i="1"/>
  <c r="E43" i="1"/>
  <c r="F43" i="1"/>
  <c r="G43" i="1"/>
  <c r="H43" i="1"/>
  <c r="I43" i="1"/>
  <c r="J43" i="1"/>
  <c r="K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46" i="1"/>
  <c r="AO46" i="1"/>
  <c r="AP46" i="1"/>
  <c r="AQ46" i="1"/>
  <c r="S3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BB24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低線量計・高線量計使用する閾値（ﾃﾞﾌｫﾙﾄ：５ｋGy)</t>
        </r>
      </text>
    </comment>
  </commentList>
</comments>
</file>

<file path=xl/sharedStrings.xml><?xml version="1.0" encoding="utf-8"?>
<sst xmlns="http://schemas.openxmlformats.org/spreadsheetml/2006/main" count="342" uniqueCount="287">
  <si>
    <t>SENKNO</t>
  </si>
  <si>
    <t>SESDATE</t>
  </si>
  <si>
    <t>SOKUTCD</t>
  </si>
  <si>
    <t>SENHFLG</t>
  </si>
  <si>
    <t>SOKUTSN</t>
  </si>
  <si>
    <t>PASS</t>
  </si>
  <si>
    <t>KEISASK</t>
  </si>
  <si>
    <t>ATUSA</t>
  </si>
  <si>
    <t>JITUNO</t>
  </si>
  <si>
    <t>UNO1</t>
  </si>
  <si>
    <t>UNO2</t>
  </si>
  <si>
    <t>UNO4</t>
  </si>
  <si>
    <t>FRICNO1</t>
  </si>
  <si>
    <t>FRICNO2</t>
  </si>
  <si>
    <t>FRICNO3</t>
  </si>
  <si>
    <t>FRICNO4</t>
  </si>
  <si>
    <t>LRICNO1</t>
  </si>
  <si>
    <t>LRICNO2</t>
  </si>
  <si>
    <t>LRICNO3</t>
  </si>
  <si>
    <t>LRICNO4</t>
  </si>
  <si>
    <t>SITEISN1</t>
  </si>
  <si>
    <t>SITEISN2</t>
  </si>
  <si>
    <t>SITEISN3</t>
  </si>
  <si>
    <t>SITEISN4</t>
  </si>
  <si>
    <t>KAGENSN1</t>
  </si>
  <si>
    <t>KAGENSN2</t>
  </si>
  <si>
    <t>KAGENSN3</t>
  </si>
  <si>
    <t>KAGENSN4</t>
  </si>
  <si>
    <t>JYOUGSN1</t>
  </si>
  <si>
    <t>JYOUGSN2</t>
  </si>
  <si>
    <t>JYOUGSN3</t>
  </si>
  <si>
    <t>JYOUGSN4</t>
  </si>
  <si>
    <t>KAISYACD1</t>
  </si>
  <si>
    <t>KAISYACD2</t>
  </si>
  <si>
    <t>KAISYACD3</t>
  </si>
  <si>
    <t>KAISYACD4</t>
  </si>
  <si>
    <t>KAINAME1</t>
  </si>
  <si>
    <t>KAINAME2</t>
  </si>
  <si>
    <t>KAINAME3</t>
  </si>
  <si>
    <t>KAINAME4</t>
  </si>
  <si>
    <t>２号機測定データ</t>
  </si>
  <si>
    <t>ﾁｪｯｸ(測定者）</t>
  </si>
  <si>
    <t>測定日</t>
  </si>
  <si>
    <t>測定者</t>
  </si>
  <si>
    <t>再測定者</t>
  </si>
  <si>
    <t>測定線量</t>
  </si>
  <si>
    <t>指定ﾊﾟｽ</t>
  </si>
  <si>
    <t>計算式</t>
  </si>
  <si>
    <t>厚さ(mm)</t>
  </si>
  <si>
    <t>開始RIC-NO</t>
  </si>
  <si>
    <t>終了RIC-NO</t>
  </si>
  <si>
    <t>指定線量</t>
  </si>
  <si>
    <t>下限線量</t>
  </si>
  <si>
    <t>上限線量</t>
  </si>
  <si>
    <t>実ﾊﾟｽ数</t>
  </si>
  <si>
    <t>会社ｺｰﾄﾞ</t>
  </si>
  <si>
    <t>会社名</t>
  </si>
  <si>
    <t>追加照射データ</t>
  </si>
  <si>
    <t>追加ﾊﾟｽ数</t>
  </si>
  <si>
    <t>作成日/作成者</t>
    <rPh sb="0" eb="3">
      <t>サクセイビ</t>
    </rPh>
    <rPh sb="4" eb="7">
      <t>サクセイシャ</t>
    </rPh>
    <phoneticPr fontId="5"/>
  </si>
  <si>
    <r>
      <t>２</t>
    </r>
    <r>
      <rPr>
        <sz val="20"/>
        <rFont val="ＭＳ Ｐゴシック"/>
        <family val="3"/>
        <charset val="128"/>
      </rPr>
      <t>号機線量不足報告書</t>
    </r>
    <r>
      <rPr>
        <sz val="12"/>
        <rFont val="ＭＳ Ｐゴシック"/>
        <family val="3"/>
        <charset val="128"/>
      </rPr>
      <t>（工程確認･追加照射指示書）</t>
    </r>
    <rPh sb="1" eb="3">
      <t>ゴウキ</t>
    </rPh>
    <rPh sb="3" eb="5">
      <t>センリョウ</t>
    </rPh>
    <rPh sb="5" eb="7">
      <t>フソク</t>
    </rPh>
    <rPh sb="7" eb="9">
      <t>ホウコク</t>
    </rPh>
    <rPh sb="9" eb="10">
      <t>ショ</t>
    </rPh>
    <rPh sb="11" eb="13">
      <t>コウテイ</t>
    </rPh>
    <rPh sb="13" eb="15">
      <t>カクニン</t>
    </rPh>
    <rPh sb="16" eb="18">
      <t>ツイカ</t>
    </rPh>
    <rPh sb="18" eb="20">
      <t>ショウシャ</t>
    </rPh>
    <rPh sb="20" eb="23">
      <t>シジショ</t>
    </rPh>
    <phoneticPr fontId="5"/>
  </si>
  <si>
    <t>線量計厚さ</t>
    <phoneticPr fontId="5"/>
  </si>
  <si>
    <t>計算式ｺｰﾄﾞ</t>
    <rPh sb="0" eb="2">
      <t>ケイサン</t>
    </rPh>
    <rPh sb="2" eb="3">
      <t>シキ</t>
    </rPh>
    <phoneticPr fontId="5"/>
  </si>
  <si>
    <t>目的</t>
    <rPh sb="0" eb="2">
      <t>モクテキ</t>
    </rPh>
    <phoneticPr fontId="2"/>
  </si>
  <si>
    <t>TANI</t>
  </si>
  <si>
    <t>SHANAME</t>
  </si>
  <si>
    <t>Box0</t>
    <phoneticPr fontId="2"/>
  </si>
  <si>
    <t>素子異常</t>
    <rPh sb="2" eb="4">
      <t>イジョウ</t>
    </rPh>
    <phoneticPr fontId="2"/>
  </si>
  <si>
    <t>素子異常</t>
    <rPh sb="0" eb="2">
      <t>ソシ</t>
    </rPh>
    <rPh sb="2" eb="4">
      <t>イジョウ</t>
    </rPh>
    <phoneticPr fontId="2"/>
  </si>
  <si>
    <t>無し</t>
    <rPh sb="0" eb="1">
      <t>ナ</t>
    </rPh>
    <phoneticPr fontId="2"/>
  </si>
  <si>
    <t>有</t>
    <rPh sb="0" eb="1">
      <t>アリ</t>
    </rPh>
    <phoneticPr fontId="2"/>
  </si>
  <si>
    <t>ｺｰﾄﾞ</t>
    <phoneticPr fontId="2"/>
  </si>
  <si>
    <t>No</t>
    <phoneticPr fontId="2"/>
  </si>
  <si>
    <t>検査項目</t>
    <rPh sb="0" eb="2">
      <t>ケンサ</t>
    </rPh>
    <rPh sb="2" eb="4">
      <t>コウモク</t>
    </rPh>
    <phoneticPr fontId="2"/>
  </si>
  <si>
    <t>検査手順</t>
    <rPh sb="0" eb="2">
      <t>ケンサ</t>
    </rPh>
    <rPh sb="2" eb="4">
      <t>テジュン</t>
    </rPh>
    <phoneticPr fontId="2"/>
  </si>
  <si>
    <t>確認方法（判定基準）</t>
    <rPh sb="0" eb="2">
      <t>カクニン</t>
    </rPh>
    <rPh sb="2" eb="4">
      <t>ホウホウ</t>
    </rPh>
    <rPh sb="5" eb="7">
      <t>ハンテイ</t>
    </rPh>
    <rPh sb="7" eb="9">
      <t>キジュン</t>
    </rPh>
    <phoneticPr fontId="2"/>
  </si>
  <si>
    <t>判定</t>
    <rPh sb="0" eb="2">
      <t>ハンテイ</t>
    </rPh>
    <phoneticPr fontId="2"/>
  </si>
  <si>
    <t>起動時</t>
    <rPh sb="0" eb="2">
      <t>キドウ</t>
    </rPh>
    <rPh sb="2" eb="3">
      <t>ジ</t>
    </rPh>
    <phoneticPr fontId="2"/>
  </si>
  <si>
    <t>正常に起動するか</t>
    <rPh sb="0" eb="2">
      <t>セイジョウ</t>
    </rPh>
    <rPh sb="3" eb="5">
      <t>キドウ</t>
    </rPh>
    <phoneticPr fontId="2"/>
  </si>
  <si>
    <t>最新データが取り入られているか</t>
    <rPh sb="0" eb="2">
      <t>サイシン</t>
    </rPh>
    <rPh sb="6" eb="7">
      <t>ト</t>
    </rPh>
    <rPh sb="8" eb="9">
      <t>イ</t>
    </rPh>
    <phoneticPr fontId="2"/>
  </si>
  <si>
    <t>・追加照射データ</t>
    <rPh sb="1" eb="3">
      <t>ツイカ</t>
    </rPh>
    <rPh sb="3" eb="5">
      <t>ショウシャ</t>
    </rPh>
    <phoneticPr fontId="2"/>
  </si>
  <si>
    <t>・社員データ</t>
    <rPh sb="1" eb="3">
      <t>シャイン</t>
    </rPh>
    <phoneticPr fontId="2"/>
  </si>
  <si>
    <t>2号機測定データが正しいか</t>
    <rPh sb="1" eb="3">
      <t>ゴウキ</t>
    </rPh>
    <rPh sb="3" eb="5">
      <t>ソクテイ</t>
    </rPh>
    <rPh sb="9" eb="10">
      <t>タダ</t>
    </rPh>
    <phoneticPr fontId="2"/>
  </si>
  <si>
    <t>・測定日</t>
    <rPh sb="1" eb="3">
      <t>ソクテイ</t>
    </rPh>
    <rPh sb="3" eb="4">
      <t>ビ</t>
    </rPh>
    <phoneticPr fontId="2"/>
  </si>
  <si>
    <t>・測定者</t>
    <rPh sb="1" eb="3">
      <t>ソクテイ</t>
    </rPh>
    <rPh sb="3" eb="4">
      <t>シャ</t>
    </rPh>
    <phoneticPr fontId="2"/>
  </si>
  <si>
    <t>・測定線量</t>
    <rPh sb="1" eb="3">
      <t>ソクテイ</t>
    </rPh>
    <rPh sb="3" eb="5">
      <t>センリョウ</t>
    </rPh>
    <phoneticPr fontId="2"/>
  </si>
  <si>
    <t>・製品</t>
    <rPh sb="1" eb="3">
      <t>セイヒン</t>
    </rPh>
    <phoneticPr fontId="2"/>
  </si>
  <si>
    <t>・指定ﾊﾟｽ</t>
    <rPh sb="1" eb="3">
      <t>シテイ</t>
    </rPh>
    <phoneticPr fontId="2"/>
  </si>
  <si>
    <t>・計算式</t>
    <rPh sb="1" eb="3">
      <t>ケイサン</t>
    </rPh>
    <rPh sb="3" eb="4">
      <t>シキ</t>
    </rPh>
    <phoneticPr fontId="2"/>
  </si>
  <si>
    <t>・厚さ</t>
    <rPh sb="1" eb="2">
      <t>アツ</t>
    </rPh>
    <phoneticPr fontId="2"/>
  </si>
  <si>
    <t>・受付番号</t>
    <rPh sb="1" eb="3">
      <t>ウケツケ</t>
    </rPh>
    <rPh sb="3" eb="5">
      <t>バンゴウ</t>
    </rPh>
    <phoneticPr fontId="2"/>
  </si>
  <si>
    <t>・開始RIC-No</t>
    <rPh sb="1" eb="3">
      <t>カイシ</t>
    </rPh>
    <phoneticPr fontId="2"/>
  </si>
  <si>
    <t>・終了RIC-No</t>
    <rPh sb="1" eb="3">
      <t>シュウリョウ</t>
    </rPh>
    <phoneticPr fontId="2"/>
  </si>
  <si>
    <t>・指定線量</t>
    <rPh sb="1" eb="3">
      <t>シテイ</t>
    </rPh>
    <rPh sb="3" eb="5">
      <t>センリョウ</t>
    </rPh>
    <phoneticPr fontId="2"/>
  </si>
  <si>
    <t>・上限線量</t>
    <rPh sb="1" eb="3">
      <t>ジョウゲン</t>
    </rPh>
    <rPh sb="3" eb="5">
      <t>センリョウ</t>
    </rPh>
    <phoneticPr fontId="2"/>
  </si>
  <si>
    <t>・下限線量</t>
    <rPh sb="1" eb="3">
      <t>カゲン</t>
    </rPh>
    <rPh sb="3" eb="5">
      <t>センリョウ</t>
    </rPh>
    <phoneticPr fontId="2"/>
  </si>
  <si>
    <t>・実ﾊﾟｽ数</t>
    <rPh sb="1" eb="2">
      <t>ジツ</t>
    </rPh>
    <rPh sb="5" eb="6">
      <t>スウ</t>
    </rPh>
    <phoneticPr fontId="2"/>
  </si>
  <si>
    <t>・会社ｺｰﾄﾞ</t>
    <rPh sb="1" eb="3">
      <t>カイシャ</t>
    </rPh>
    <phoneticPr fontId="2"/>
  </si>
  <si>
    <t>・会社名</t>
    <rPh sb="1" eb="3">
      <t>カイシャ</t>
    </rPh>
    <rPh sb="3" eb="4">
      <t>メイ</t>
    </rPh>
    <phoneticPr fontId="2"/>
  </si>
  <si>
    <t>追加照射データが正しいか</t>
    <rPh sb="0" eb="2">
      <t>ツイカ</t>
    </rPh>
    <rPh sb="2" eb="4">
      <t>ショウシャ</t>
    </rPh>
    <rPh sb="8" eb="9">
      <t>タダ</t>
    </rPh>
    <phoneticPr fontId="2"/>
  </si>
  <si>
    <t>・追加ﾊﾟｽ数</t>
    <rPh sb="1" eb="3">
      <t>ツイカ</t>
    </rPh>
    <rPh sb="6" eb="7">
      <t>スウ</t>
    </rPh>
    <phoneticPr fontId="2"/>
  </si>
  <si>
    <t>印刷</t>
    <rPh sb="0" eb="2">
      <t>インサツ</t>
    </rPh>
    <phoneticPr fontId="2"/>
  </si>
  <si>
    <t>正しく印刷されているか</t>
    <rPh sb="0" eb="1">
      <t>タダ</t>
    </rPh>
    <rPh sb="3" eb="5">
      <t>インサツ</t>
    </rPh>
    <phoneticPr fontId="2"/>
  </si>
  <si>
    <t>終了</t>
    <rPh sb="0" eb="2">
      <t>シュウリョウ</t>
    </rPh>
    <phoneticPr fontId="2"/>
  </si>
  <si>
    <t>正常に終了する</t>
    <rPh sb="0" eb="2">
      <t>セイジョウ</t>
    </rPh>
    <rPh sb="3" eb="5">
      <t>シュウリョウ</t>
    </rPh>
    <phoneticPr fontId="2"/>
  </si>
  <si>
    <t>画面表示の内容</t>
    <rPh sb="0" eb="2">
      <t>ガメン</t>
    </rPh>
    <rPh sb="2" eb="4">
      <t>ヒョウジ</t>
    </rPh>
    <rPh sb="5" eb="7">
      <t>ナイヨウ</t>
    </rPh>
    <phoneticPr fontId="2"/>
  </si>
  <si>
    <t>線量不足でない線量計番号の入力</t>
    <rPh sb="0" eb="2">
      <t>センリョウ</t>
    </rPh>
    <rPh sb="2" eb="4">
      <t>フソク</t>
    </rPh>
    <rPh sb="7" eb="10">
      <t>センリョウケイ</t>
    </rPh>
    <rPh sb="10" eb="12">
      <t>バンゴウ</t>
    </rPh>
    <rPh sb="13" eb="15">
      <t>ニュウリョク</t>
    </rPh>
    <phoneticPr fontId="2"/>
  </si>
  <si>
    <t>2号機測定データが表示されない</t>
    <rPh sb="1" eb="3">
      <t>ゴウキ</t>
    </rPh>
    <rPh sb="3" eb="5">
      <t>ソクテイ</t>
    </rPh>
    <rPh sb="9" eb="11">
      <t>ヒョウジ</t>
    </rPh>
    <phoneticPr fontId="2"/>
  </si>
  <si>
    <t>線量不足の線量計番号の入力</t>
    <rPh sb="0" eb="2">
      <t>センリョウ</t>
    </rPh>
    <rPh sb="2" eb="4">
      <t>フソク</t>
    </rPh>
    <rPh sb="5" eb="8">
      <t>センリョウケイ</t>
    </rPh>
    <rPh sb="8" eb="10">
      <t>バンゴウ</t>
    </rPh>
    <rPh sb="11" eb="13">
      <t>ニュウリョク</t>
    </rPh>
    <phoneticPr fontId="2"/>
  </si>
  <si>
    <t>機能確認の判定（判定基準：全て異常ないこと）</t>
    <rPh sb="0" eb="2">
      <t>キノウ</t>
    </rPh>
    <rPh sb="2" eb="4">
      <t>カクニン</t>
    </rPh>
    <rPh sb="5" eb="7">
      <t>ハンテイ</t>
    </rPh>
    <rPh sb="8" eb="10">
      <t>ハンテイ</t>
    </rPh>
    <rPh sb="10" eb="12">
      <t>キジュン</t>
    </rPh>
    <rPh sb="13" eb="14">
      <t>スベ</t>
    </rPh>
    <rPh sb="15" eb="17">
      <t>イジョウ</t>
    </rPh>
    <phoneticPr fontId="2"/>
  </si>
  <si>
    <t>確認日</t>
    <rPh sb="0" eb="2">
      <t>カクニン</t>
    </rPh>
    <rPh sb="2" eb="3">
      <t>ビ</t>
    </rPh>
    <phoneticPr fontId="2"/>
  </si>
  <si>
    <t>確認者</t>
    <rPh sb="0" eb="2">
      <t>カクニン</t>
    </rPh>
    <rPh sb="2" eb="3">
      <t>シャ</t>
    </rPh>
    <phoneticPr fontId="2"/>
  </si>
  <si>
    <t>判定結果　合格　　不合格</t>
    <rPh sb="0" eb="2">
      <t>ハンテイ</t>
    </rPh>
    <rPh sb="2" eb="4">
      <t>ケッカ</t>
    </rPh>
    <rPh sb="5" eb="7">
      <t>ゴウカク</t>
    </rPh>
    <rPh sb="9" eb="12">
      <t>フゴウカク</t>
    </rPh>
    <phoneticPr fontId="2"/>
  </si>
  <si>
    <t>合</t>
    <rPh sb="0" eb="1">
      <t>ゴウ</t>
    </rPh>
    <phoneticPr fontId="2"/>
  </si>
  <si>
    <t>否</t>
    <rPh sb="0" eb="1">
      <t>ヒ</t>
    </rPh>
    <phoneticPr fontId="2"/>
  </si>
  <si>
    <t>印字内容と画面内容が一致していること</t>
    <rPh sb="0" eb="2">
      <t>インジ</t>
    </rPh>
    <rPh sb="2" eb="4">
      <t>ナイヨウ</t>
    </rPh>
    <rPh sb="5" eb="7">
      <t>ガメン</t>
    </rPh>
    <rPh sb="7" eb="9">
      <t>ナイヨウ</t>
    </rPh>
    <rPh sb="10" eb="12">
      <t>イッチ</t>
    </rPh>
    <phoneticPr fontId="2"/>
  </si>
  <si>
    <t>１／１</t>
    <phoneticPr fontId="2"/>
  </si>
  <si>
    <t>ページ</t>
    <phoneticPr fontId="2"/>
  </si>
  <si>
    <t>起動させる</t>
    <rPh sb="0" eb="2">
      <t>キドウ</t>
    </rPh>
    <phoneticPr fontId="2"/>
  </si>
  <si>
    <t>印刷する</t>
    <rPh sb="0" eb="2">
      <t>インサツ</t>
    </rPh>
    <phoneticPr fontId="2"/>
  </si>
  <si>
    <t>終了させる</t>
    <rPh sb="0" eb="2">
      <t>シュウリョウ</t>
    </rPh>
    <phoneticPr fontId="2"/>
  </si>
  <si>
    <t>２号機線量不足報告書確認試験成績書</t>
    <rPh sb="1" eb="3">
      <t>ゴウキ</t>
    </rPh>
    <rPh sb="3" eb="5">
      <t>センリョウ</t>
    </rPh>
    <rPh sb="5" eb="7">
      <t>フソク</t>
    </rPh>
    <rPh sb="7" eb="10">
      <t>ホウコクショ</t>
    </rPh>
    <rPh sb="10" eb="12">
      <t>カクニン</t>
    </rPh>
    <rPh sb="12" eb="14">
      <t>シケン</t>
    </rPh>
    <rPh sb="14" eb="16">
      <t>セイセキ</t>
    </rPh>
    <rPh sb="16" eb="17">
      <t>ショ</t>
    </rPh>
    <phoneticPr fontId="2"/>
  </si>
  <si>
    <t>本紙は照射計画作成後、作業指図書に貼付すること</t>
    <rPh sb="0" eb="2">
      <t>ホンシ</t>
    </rPh>
    <rPh sb="3" eb="5">
      <t>ショウシャ</t>
    </rPh>
    <rPh sb="5" eb="7">
      <t>ケイカク</t>
    </rPh>
    <rPh sb="7" eb="10">
      <t>サクセイゴ</t>
    </rPh>
    <rPh sb="11" eb="13">
      <t>サギョウ</t>
    </rPh>
    <rPh sb="13" eb="15">
      <t>サシズ</t>
    </rPh>
    <rPh sb="15" eb="16">
      <t>ショ</t>
    </rPh>
    <rPh sb="17" eb="19">
      <t>テンプ</t>
    </rPh>
    <phoneticPr fontId="5"/>
  </si>
  <si>
    <t>線量計の種類</t>
    <rPh sb="0" eb="3">
      <t>センリョウケイ</t>
    </rPh>
    <rPh sb="4" eb="6">
      <t>シュルイ</t>
    </rPh>
    <phoneticPr fontId="2"/>
  </si>
  <si>
    <t>追加照射データ数</t>
    <rPh sb="0" eb="2">
      <t>ツイカ</t>
    </rPh>
    <rPh sb="2" eb="4">
      <t>ショウシャ</t>
    </rPh>
    <rPh sb="7" eb="8">
      <t>スウ</t>
    </rPh>
    <phoneticPr fontId="2"/>
  </si>
  <si>
    <t>Max件数</t>
    <rPh sb="3" eb="5">
      <t>ケンスウ</t>
    </rPh>
    <phoneticPr fontId="2"/>
  </si>
  <si>
    <t>※版数</t>
    <rPh sb="1" eb="3">
      <t>ハンスウ</t>
    </rPh>
    <phoneticPr fontId="5"/>
  </si>
  <si>
    <t>制定／改定日</t>
    <rPh sb="0" eb="2">
      <t>セイテイ</t>
    </rPh>
    <rPh sb="3" eb="6">
      <t>カイテイビ</t>
    </rPh>
    <phoneticPr fontId="5"/>
  </si>
  <si>
    <t>改訂箇所／理由</t>
    <phoneticPr fontId="5"/>
  </si>
  <si>
    <t>登録者</t>
    <rPh sb="0" eb="3">
      <t>トウロクシャ</t>
    </rPh>
    <phoneticPr fontId="5"/>
  </si>
  <si>
    <t>新規制定</t>
    <rPh sb="0" eb="2">
      <t>シンキ</t>
    </rPh>
    <rPh sb="2" eb="4">
      <t>セイテイ</t>
    </rPh>
    <phoneticPr fontId="5"/>
  </si>
  <si>
    <t>阪井</t>
    <rPh sb="0" eb="2">
      <t>サカイ</t>
    </rPh>
    <phoneticPr fontId="5"/>
  </si>
  <si>
    <t>1997/02/07</t>
    <phoneticPr fontId="5"/>
  </si>
  <si>
    <t>不足時の計算方法の追加</t>
    <rPh sb="0" eb="2">
      <t>フソク</t>
    </rPh>
    <rPh sb="2" eb="3">
      <t>ジ</t>
    </rPh>
    <rPh sb="4" eb="5">
      <t>ケイ</t>
    </rPh>
    <rPh sb="5" eb="6">
      <t>サン</t>
    </rPh>
    <rPh sb="6" eb="8">
      <t>ホウホウ</t>
    </rPh>
    <rPh sb="9" eb="11">
      <t>ツイカ</t>
    </rPh>
    <phoneticPr fontId="5"/>
  </si>
  <si>
    <t>2001/11/29</t>
    <phoneticPr fontId="5"/>
  </si>
  <si>
    <t>追加照射の上下限を追加</t>
    <rPh sb="0" eb="2">
      <t>ツイカ</t>
    </rPh>
    <rPh sb="2" eb="4">
      <t>ショウシャ</t>
    </rPh>
    <rPh sb="5" eb="8">
      <t>ジョウカゲン</t>
    </rPh>
    <rPh sb="9" eb="11">
      <t>ツイカ</t>
    </rPh>
    <phoneticPr fontId="5"/>
  </si>
  <si>
    <t>2002/10/22</t>
    <phoneticPr fontId="5"/>
  </si>
  <si>
    <t>追加製造判定を出荷判定に変更</t>
    <rPh sb="0" eb="2">
      <t>ツイカ</t>
    </rPh>
    <rPh sb="2" eb="4">
      <t>セイゾウ</t>
    </rPh>
    <rPh sb="4" eb="5">
      <t>ハン</t>
    </rPh>
    <rPh sb="5" eb="6">
      <t>テイ</t>
    </rPh>
    <rPh sb="7" eb="9">
      <t>シュッカ</t>
    </rPh>
    <rPh sb="9" eb="10">
      <t>ハン</t>
    </rPh>
    <rPh sb="10" eb="11">
      <t>テイ</t>
    </rPh>
    <rPh sb="12" eb="14">
      <t>ヘンコウ</t>
    </rPh>
    <phoneticPr fontId="5"/>
  </si>
  <si>
    <t>2005/06/15</t>
    <phoneticPr fontId="5"/>
  </si>
  <si>
    <t>一般品と医療機器を分けた</t>
    <rPh sb="0" eb="2">
      <t>イッパン</t>
    </rPh>
    <rPh sb="2" eb="3">
      <t>ヒン</t>
    </rPh>
    <rPh sb="4" eb="6">
      <t>イリョウ</t>
    </rPh>
    <rPh sb="6" eb="7">
      <t>キ</t>
    </rPh>
    <rPh sb="7" eb="8">
      <t>キ</t>
    </rPh>
    <rPh sb="9" eb="10">
      <t>ワ</t>
    </rPh>
    <phoneticPr fontId="5"/>
  </si>
  <si>
    <t>2006/08/30</t>
    <phoneticPr fontId="5"/>
  </si>
  <si>
    <t>見直し</t>
    <rPh sb="0" eb="2">
      <t>ミナオ</t>
    </rPh>
    <phoneticPr fontId="5"/>
  </si>
  <si>
    <t>2006/10/16</t>
    <phoneticPr fontId="5"/>
  </si>
  <si>
    <t>課責任者に再確認を求めるに変更</t>
    <rPh sb="0" eb="1">
      <t>カ</t>
    </rPh>
    <rPh sb="1" eb="4">
      <t>セキニンシャ</t>
    </rPh>
    <rPh sb="5" eb="8">
      <t>サイカクニン</t>
    </rPh>
    <rPh sb="9" eb="10">
      <t>モト</t>
    </rPh>
    <rPh sb="13" eb="15">
      <t>ヘンコウ</t>
    </rPh>
    <phoneticPr fontId="5"/>
  </si>
  <si>
    <t>2007/09/04</t>
    <phoneticPr fontId="5"/>
  </si>
  <si>
    <t>線量計Ambを削除</t>
    <rPh sb="0" eb="2">
      <t>センリョウ</t>
    </rPh>
    <rPh sb="2" eb="3">
      <t>ケイ</t>
    </rPh>
    <rPh sb="7" eb="9">
      <t>サクジョ</t>
    </rPh>
    <phoneticPr fontId="5"/>
  </si>
  <si>
    <t>2007/11/28</t>
    <phoneticPr fontId="5"/>
  </si>
  <si>
    <t>線量計種類を変更</t>
    <rPh sb="0" eb="2">
      <t>センリョウ</t>
    </rPh>
    <rPh sb="2" eb="3">
      <t>ケイ</t>
    </rPh>
    <rPh sb="3" eb="5">
      <t>シュルイ</t>
    </rPh>
    <rPh sb="6" eb="8">
      <t>ヘンコウ</t>
    </rPh>
    <phoneticPr fontId="5"/>
  </si>
  <si>
    <t>2008/04/11</t>
    <phoneticPr fontId="5"/>
  </si>
  <si>
    <t>全面改訂</t>
    <rPh sb="0" eb="2">
      <t>ゼンメン</t>
    </rPh>
    <rPh sb="2" eb="4">
      <t>カイテイ</t>
    </rPh>
    <phoneticPr fontId="5"/>
  </si>
  <si>
    <t>小池</t>
    <rPh sb="0" eb="2">
      <t>コイケ</t>
    </rPh>
    <phoneticPr fontId="5"/>
  </si>
  <si>
    <t>2008/10/02</t>
    <phoneticPr fontId="5"/>
  </si>
  <si>
    <t>2014/11/12</t>
    <phoneticPr fontId="5"/>
  </si>
  <si>
    <t>一部変更</t>
    <rPh sb="0" eb="2">
      <t>イチブ</t>
    </rPh>
    <rPh sb="2" eb="4">
      <t>ヘンコウ</t>
    </rPh>
    <phoneticPr fontId="5"/>
  </si>
  <si>
    <t>小笠原</t>
    <rPh sb="0" eb="3">
      <t>オガサワラ</t>
    </rPh>
    <phoneticPr fontId="5"/>
  </si>
  <si>
    <t>線量不足線量計番号</t>
    <rPh sb="0" eb="2">
      <t>センリョウ</t>
    </rPh>
    <rPh sb="2" eb="4">
      <t>ブソク</t>
    </rPh>
    <rPh sb="4" eb="6">
      <t>センリョウ</t>
    </rPh>
    <rPh sb="6" eb="7">
      <t>ケイ</t>
    </rPh>
    <rPh sb="7" eb="9">
      <t>バンゴウ</t>
    </rPh>
    <phoneticPr fontId="2"/>
  </si>
  <si>
    <t>1.47</t>
  </si>
  <si>
    <t>W2K</t>
  </si>
  <si>
    <t>0001</t>
  </si>
  <si>
    <t>1</t>
  </si>
  <si>
    <t>2</t>
  </si>
  <si>
    <t>社員名</t>
    <rPh sb="0" eb="2">
      <t>シャイン</t>
    </rPh>
    <rPh sb="2" eb="3">
      <t>メイ</t>
    </rPh>
    <phoneticPr fontId="2"/>
  </si>
  <si>
    <t>医療機器</t>
  </si>
  <si>
    <t>一般品</t>
  </si>
  <si>
    <t>試験照射</t>
  </si>
  <si>
    <t>製品</t>
    <phoneticPr fontId="2"/>
  </si>
  <si>
    <t>0605</t>
  </si>
  <si>
    <t xml:space="preserve">栗原健太            </t>
  </si>
  <si>
    <t>24</t>
  </si>
  <si>
    <t>0</t>
    <phoneticPr fontId="2"/>
  </si>
  <si>
    <t>1</t>
    <phoneticPr fontId="2"/>
  </si>
  <si>
    <t>3</t>
  </si>
  <si>
    <t>4</t>
  </si>
  <si>
    <t>5</t>
  </si>
  <si>
    <t>6</t>
  </si>
  <si>
    <t>7</t>
  </si>
  <si>
    <t>8</t>
  </si>
  <si>
    <t>9</t>
  </si>
  <si>
    <t>10</t>
  </si>
  <si>
    <t>0009</t>
  </si>
  <si>
    <t>0008</t>
  </si>
  <si>
    <t>0016</t>
  </si>
  <si>
    <t xml:space="preserve">  30.000</t>
  </si>
  <si>
    <t xml:space="preserve">  39.000</t>
  </si>
  <si>
    <t>オリエンタル酵母工業</t>
  </si>
  <si>
    <t>0226</t>
  </si>
  <si>
    <t>TO_NUMBER(UNO1)</t>
    <phoneticPr fontId="2"/>
  </si>
  <si>
    <t>FRICNO1</t>
    <phoneticPr fontId="2"/>
  </si>
  <si>
    <t>LRICNO1</t>
    <phoneticPr fontId="2"/>
  </si>
  <si>
    <t>SITEISN1</t>
    <phoneticPr fontId="2"/>
  </si>
  <si>
    <t>KAGENSN1</t>
    <phoneticPr fontId="2"/>
  </si>
  <si>
    <t>JYOUGSN1</t>
    <phoneticPr fontId="2"/>
  </si>
  <si>
    <t>KAISYACD1</t>
    <phoneticPr fontId="2"/>
  </si>
  <si>
    <t>KAINAME1</t>
    <phoneticPr fontId="2"/>
  </si>
  <si>
    <t>TO_NUMBER(UNO2)</t>
    <phoneticPr fontId="2"/>
  </si>
  <si>
    <t>FRICNO2</t>
    <phoneticPr fontId="2"/>
  </si>
  <si>
    <t>LRICNO2</t>
    <phoneticPr fontId="2"/>
  </si>
  <si>
    <t>SITEISN2</t>
    <phoneticPr fontId="2"/>
  </si>
  <si>
    <t>KAGENSN2</t>
    <phoneticPr fontId="2"/>
  </si>
  <si>
    <t>JYOUGSN2</t>
    <phoneticPr fontId="2"/>
  </si>
  <si>
    <t>KAISYACD2</t>
    <phoneticPr fontId="2"/>
  </si>
  <si>
    <t>KAINAME2</t>
    <phoneticPr fontId="2"/>
  </si>
  <si>
    <t>TO_NUMBER(UNO3)</t>
    <phoneticPr fontId="2"/>
  </si>
  <si>
    <t>FRICNO3</t>
    <phoneticPr fontId="2"/>
  </si>
  <si>
    <t>LRICNO3</t>
    <phoneticPr fontId="2"/>
  </si>
  <si>
    <t>SITEISN3</t>
    <phoneticPr fontId="2"/>
  </si>
  <si>
    <t>KAGENSN3</t>
    <phoneticPr fontId="2"/>
  </si>
  <si>
    <t>JYOUGSN3</t>
    <phoneticPr fontId="2"/>
  </si>
  <si>
    <t>KAISYACD3</t>
    <phoneticPr fontId="2"/>
  </si>
  <si>
    <t>KAINAME3</t>
    <phoneticPr fontId="2"/>
  </si>
  <si>
    <t>TO_NUMBER(UNO4)</t>
    <phoneticPr fontId="2"/>
  </si>
  <si>
    <t>FRICNO4</t>
    <phoneticPr fontId="2"/>
  </si>
  <si>
    <t>LRICNO4</t>
    <phoneticPr fontId="2"/>
  </si>
  <si>
    <t>SITEISN4</t>
    <phoneticPr fontId="2"/>
  </si>
  <si>
    <t>KAGENSN4</t>
    <phoneticPr fontId="2"/>
  </si>
  <si>
    <t>JYOUGSN4</t>
    <phoneticPr fontId="2"/>
  </si>
  <si>
    <t>KAISYACD4</t>
    <phoneticPr fontId="2"/>
  </si>
  <si>
    <t>KAINAME4</t>
    <phoneticPr fontId="2"/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</si>
  <si>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</si>
  <si>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</si>
  <si>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</si>
  <si>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</si>
  <si>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</si>
  <si>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</si>
  <si>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</si>
  <si>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</si>
  <si>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</si>
  <si>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</si>
  <si>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</si>
  <si>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</si>
  <si>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</si>
  <si>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</si>
  <si>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</si>
  <si>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</si>
  <si>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</si>
  <si>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29</t>
  </si>
  <si>
    <t>30</t>
  </si>
  <si>
    <t>31</t>
  </si>
  <si>
    <t/>
  </si>
  <si>
    <t>28.123</t>
    <phoneticPr fontId="2"/>
  </si>
  <si>
    <t>1234567890</t>
    <phoneticPr fontId="2"/>
  </si>
  <si>
    <t>11</t>
    <phoneticPr fontId="2"/>
  </si>
  <si>
    <t>22</t>
    <phoneticPr fontId="2"/>
  </si>
  <si>
    <t>32</t>
    <phoneticPr fontId="2"/>
  </si>
  <si>
    <t>32.5</t>
    <phoneticPr fontId="2"/>
  </si>
  <si>
    <t>38.2</t>
    <phoneticPr fontId="2"/>
  </si>
  <si>
    <t>9999</t>
    <phoneticPr fontId="2"/>
  </si>
  <si>
    <t>ああああ</t>
    <phoneticPr fontId="2"/>
  </si>
  <si>
    <t>1234567893</t>
    <phoneticPr fontId="2"/>
  </si>
  <si>
    <t>33</t>
    <phoneticPr fontId="2"/>
  </si>
  <si>
    <t>39.5</t>
    <phoneticPr fontId="2"/>
  </si>
  <si>
    <t>1234567894</t>
    <phoneticPr fontId="2"/>
  </si>
  <si>
    <t>444</t>
    <phoneticPr fontId="2"/>
  </si>
  <si>
    <t>34</t>
    <phoneticPr fontId="2"/>
  </si>
  <si>
    <t>39.4</t>
    <phoneticPr fontId="2"/>
  </si>
  <si>
    <t>4444</t>
    <phoneticPr fontId="2"/>
  </si>
  <si>
    <t>いいいい</t>
    <phoneticPr fontId="2"/>
  </si>
  <si>
    <t>印刷</t>
    <rPh sb="0" eb="2">
      <t>インサツ</t>
    </rPh>
    <phoneticPr fontId="2"/>
  </si>
  <si>
    <t>新規印刷</t>
    <phoneticPr fontId="2"/>
  </si>
  <si>
    <t>線量計高・低閾値</t>
    <rPh sb="0" eb="2">
      <t>センリョウ</t>
    </rPh>
    <rPh sb="2" eb="3">
      <t>ケイ</t>
    </rPh>
    <rPh sb="3" eb="4">
      <t>コウ</t>
    </rPh>
    <rPh sb="5" eb="6">
      <t>テイ</t>
    </rPh>
    <rPh sb="6" eb="8">
      <t>シキイチ</t>
    </rPh>
    <phoneticPr fontId="2"/>
  </si>
  <si>
    <t>品質記録（品証課保管）</t>
    <rPh sb="0" eb="2">
      <t>ヒンシツ</t>
    </rPh>
    <rPh sb="2" eb="4">
      <t>キロク</t>
    </rPh>
    <rPh sb="5" eb="6">
      <t>ヒン</t>
    </rPh>
    <rPh sb="6" eb="7">
      <t>ショウ</t>
    </rPh>
    <rPh sb="7" eb="8">
      <t>カ</t>
    </rPh>
    <rPh sb="8" eb="10">
      <t>ホカン</t>
    </rPh>
    <phoneticPr fontId="2"/>
  </si>
  <si>
    <t>インサートボックス4受付番号まで積載可能に伴う変更</t>
    <rPh sb="10" eb="12">
      <t>ウケツケ</t>
    </rPh>
    <rPh sb="12" eb="14">
      <t>バンゴウ</t>
    </rPh>
    <rPh sb="16" eb="18">
      <t>セキサイ</t>
    </rPh>
    <rPh sb="18" eb="20">
      <t>カノウ</t>
    </rPh>
    <rPh sb="21" eb="22">
      <t>トモナ</t>
    </rPh>
    <rPh sb="23" eb="25">
      <t>ヘンコウ</t>
    </rPh>
    <phoneticPr fontId="2"/>
  </si>
  <si>
    <t>小池</t>
    <rPh sb="0" eb="2">
      <t>コイケ</t>
    </rPh>
    <phoneticPr fontId="2"/>
  </si>
  <si>
    <t>Box1</t>
    <phoneticPr fontId="2"/>
  </si>
  <si>
    <t>Box0</t>
    <phoneticPr fontId="2"/>
  </si>
  <si>
    <t>Box1</t>
    <phoneticPr fontId="2"/>
  </si>
  <si>
    <t>チェック</t>
    <phoneticPr fontId="2"/>
  </si>
  <si>
    <t>線量計種類→</t>
    <phoneticPr fontId="2"/>
  </si>
  <si>
    <t>線量計番号→</t>
    <phoneticPr fontId="2"/>
  </si>
  <si>
    <t>受付番号↓</t>
    <phoneticPr fontId="2"/>
  </si>
  <si>
    <t>線量計番号↓</t>
    <phoneticPr fontId="2"/>
  </si>
  <si>
    <t>テスト目的：1インサートボックスに4受付番号割り当て可能になった変更に伴うテスト</t>
    <rPh sb="3" eb="5">
      <t>モクテキ</t>
    </rPh>
    <rPh sb="18" eb="20">
      <t>ウケツケ</t>
    </rPh>
    <rPh sb="20" eb="22">
      <t>バンゴウ</t>
    </rPh>
    <rPh sb="22" eb="23">
      <t>ワ</t>
    </rPh>
    <rPh sb="24" eb="25">
      <t>ア</t>
    </rPh>
    <rPh sb="26" eb="28">
      <t>カノウ</t>
    </rPh>
    <rPh sb="32" eb="34">
      <t>ヘンコウ</t>
    </rPh>
    <rPh sb="35" eb="36">
      <t>トモナ</t>
    </rPh>
    <phoneticPr fontId="2"/>
  </si>
  <si>
    <t>2019/1/9</t>
    <phoneticPr fontId="5"/>
  </si>
  <si>
    <t>2019/10/28</t>
    <phoneticPr fontId="5"/>
  </si>
  <si>
    <t>小池</t>
    <rPh sb="0" eb="2">
      <t>コイケ</t>
    </rPh>
    <phoneticPr fontId="2"/>
  </si>
  <si>
    <t>2020/04/24</t>
    <phoneticPr fontId="2"/>
  </si>
  <si>
    <t>注意事項変更</t>
    <rPh sb="0" eb="2">
      <t>チュウイ</t>
    </rPh>
    <rPh sb="2" eb="4">
      <t>ジコウ</t>
    </rPh>
    <rPh sb="4" eb="6">
      <t>ヘンコウ</t>
    </rPh>
    <phoneticPr fontId="2"/>
  </si>
  <si>
    <t>木暮</t>
    <rPh sb="0" eb="2">
      <t>コグレ</t>
    </rPh>
    <phoneticPr fontId="2"/>
  </si>
  <si>
    <t>以下余白</t>
    <rPh sb="0" eb="2">
      <t>イカ</t>
    </rPh>
    <rPh sb="2" eb="4">
      <t>ヨハク</t>
    </rPh>
    <phoneticPr fontId="2"/>
  </si>
  <si>
    <t>様式 G2-12の改訂履歴</t>
    <rPh sb="9" eb="11">
      <t>カイテイ</t>
    </rPh>
    <rPh sb="11" eb="13">
      <t>リレキ</t>
    </rPh>
    <phoneticPr fontId="5"/>
  </si>
  <si>
    <t>様式番号</t>
  </si>
  <si>
    <t>G2-12</t>
  </si>
  <si>
    <t>2号機線量不足報告書</t>
  </si>
  <si>
    <t>様式名</t>
    <rPh sb="0" eb="2">
      <t>ヨウシキ</t>
    </rPh>
    <rPh sb="2" eb="3">
      <t>メイ</t>
    </rPh>
    <phoneticPr fontId="5"/>
  </si>
  <si>
    <t>※改訂後の版数を記入</t>
  </si>
  <si>
    <t>2025/01/28</t>
    <phoneticPr fontId="2"/>
  </si>
  <si>
    <t>真塩</t>
    <rPh sb="0" eb="2">
      <t>マシオ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</si>
</sst>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/d;@"/>
    <numFmt numFmtId="177" formatCode="0.000_ "/>
    <numFmt numFmtId="178" formatCode="000000&quot;-&quot;0000"/>
    <numFmt numFmtId="179" formatCode="0000"/>
    <numFmt numFmtId="180" formatCode="0.00&quot;mm&quot;"/>
    <numFmt numFmtId="181" formatCode="0.000_);[Red]\(0.000\)"/>
  </numFmts>
  <fonts count="18" x14ac:knownFonts="1">
    <font>
      <sz val="12"/>
      <name val="ＭＳ ゴシック"/>
      <family val="3"/>
      <charset val="128"/>
    </font>
    <font>
      <sz val="12"/>
      <name val="ＭＳ ゴシック"/>
      <family val="3"/>
      <charset val="128"/>
    </font>
    <font>
      <sz val="6"/>
      <name val="ＭＳ ゴシック"/>
      <family val="3"/>
      <charset val="128"/>
    </font>
    <font>
      <sz val="20"/>
      <name val="ＭＳ Ｐゴシック"/>
      <family val="3"/>
      <charset val="128"/>
    </font>
    <font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sz val="22"/>
      <name val="ＭＳ Ｐゴシック"/>
      <family val="3"/>
      <charset val="128"/>
    </font>
    <font>
      <sz val="10"/>
      <name val="ＭＳ Ｐゴシック"/>
      <family val="3"/>
      <charset val="128"/>
    </font>
    <font>
      <sz val="14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sz val="12"/>
      <name val="ＭＳ 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ゴシック"/>
      <family val="3"/>
      <charset val="128"/>
    </font>
    <font>
      <sz val="11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23"/>
      </right>
      <top style="hair">
        <color indexed="64"/>
      </top>
      <bottom style="thin">
        <color indexed="64"/>
      </bottom>
      <diagonal/>
    </border>
    <border>
      <left style="thin">
        <color indexed="23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23"/>
      </right>
      <top style="hair">
        <color indexed="64"/>
      </top>
      <bottom style="thin">
        <color indexed="64"/>
      </bottom>
      <diagonal/>
    </border>
    <border>
      <left/>
      <right style="hair">
        <color indexed="23"/>
      </right>
      <top style="hair">
        <color indexed="64"/>
      </top>
      <bottom style="thin">
        <color indexed="64"/>
      </bottom>
      <diagonal/>
    </border>
    <border>
      <left style="hair">
        <color indexed="23"/>
      </left>
      <right style="thin">
        <color indexed="23"/>
      </right>
      <top style="hair">
        <color indexed="64"/>
      </top>
      <bottom style="thin">
        <color indexed="64"/>
      </bottom>
      <diagonal/>
    </border>
    <border>
      <left style="hair">
        <color indexed="23"/>
      </left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1">
    <xf numFmtId="0" fontId="0" fillId="0" borderId="0" xfId="0">
      <alignment vertical="center"/>
    </xf>
    <xf numFmtId="0" fontId="16" fillId="0" borderId="0" xfId="0" applyFont="1">
      <alignment vertical="center"/>
    </xf>
    <xf numFmtId="0" fontId="16" fillId="0" borderId="4" xfId="0" applyFont="1" applyBorder="1">
      <alignment vertical="center"/>
    </xf>
    <xf numFmtId="0" fontId="16" fillId="0" borderId="5" xfId="0" applyFont="1" applyBorder="1">
      <alignment vertical="center"/>
    </xf>
    <xf numFmtId="0" fontId="16" fillId="0" borderId="6" xfId="0" applyFont="1" applyBorder="1">
      <alignment vertical="center"/>
    </xf>
    <xf numFmtId="0" fontId="16" fillId="0" borderId="7" xfId="0" applyFont="1" applyBorder="1">
      <alignment vertical="center"/>
    </xf>
    <xf numFmtId="0" fontId="16" fillId="0" borderId="1" xfId="0" applyFont="1" applyBorder="1">
      <alignment vertical="center"/>
    </xf>
    <xf numFmtId="0" fontId="16" fillId="0" borderId="8" xfId="0" applyFont="1" applyBorder="1">
      <alignment vertical="center"/>
    </xf>
    <xf numFmtId="0" fontId="16" fillId="0" borderId="9" xfId="0" applyFont="1" applyBorder="1">
      <alignment vertical="center"/>
    </xf>
    <xf numFmtId="0" fontId="16" fillId="0" borderId="10" xfId="0" applyFont="1" applyBorder="1">
      <alignment vertical="center"/>
    </xf>
    <xf numFmtId="0" fontId="16" fillId="0" borderId="0" xfId="0" applyFont="1" applyAlignment="1">
      <alignment vertical="top" wrapText="1"/>
    </xf>
    <xf numFmtId="0" fontId="16" fillId="0" borderId="1" xfId="0" applyFont="1" applyBorder="1" applyAlignment="1">
      <alignment vertical="top" wrapText="1"/>
    </xf>
    <xf numFmtId="0" fontId="16" fillId="0" borderId="0" xfId="0" applyFont="1" applyAlignment="1">
      <alignment horizontal="center" vertical="center"/>
    </xf>
    <xf numFmtId="0" fontId="16" fillId="0" borderId="11" xfId="0" applyFont="1" applyBorder="1">
      <alignment vertical="center"/>
    </xf>
    <xf numFmtId="0" fontId="16" fillId="0" borderId="12" xfId="0" applyFont="1" applyBorder="1">
      <alignment vertical="center"/>
    </xf>
    <xf numFmtId="0" fontId="16" fillId="0" borderId="13" xfId="0" applyFont="1" applyBorder="1">
      <alignment vertical="center"/>
    </xf>
    <xf numFmtId="0" fontId="16" fillId="0" borderId="14" xfId="0" applyFont="1" applyBorder="1">
      <alignment vertical="center"/>
    </xf>
    <xf numFmtId="0" fontId="16" fillId="0" borderId="15" xfId="0" applyFont="1" applyBorder="1">
      <alignment vertical="center"/>
    </xf>
    <xf numFmtId="0" fontId="16" fillId="0" borderId="16" xfId="0" applyFont="1" applyBorder="1">
      <alignment vertical="center"/>
    </xf>
    <xf numFmtId="0" fontId="16" fillId="0" borderId="0" xfId="0" quotePrefix="1" applyFont="1">
      <alignment vertical="center"/>
    </xf>
    <xf numFmtId="0" fontId="16" fillId="0" borderId="17" xfId="0" applyFont="1" applyBorder="1">
      <alignment vertical="center"/>
    </xf>
    <xf numFmtId="0" fontId="16" fillId="0" borderId="18" xfId="0" applyFont="1" applyBorder="1">
      <alignment vertical="center"/>
    </xf>
    <xf numFmtId="0" fontId="16" fillId="0" borderId="19" xfId="0" applyFont="1" applyBorder="1">
      <alignment vertical="center"/>
    </xf>
    <xf numFmtId="0" fontId="16" fillId="0" borderId="20" xfId="0" applyFont="1" applyBorder="1">
      <alignment vertical="center"/>
    </xf>
    <xf numFmtId="0" fontId="16" fillId="0" borderId="21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23" xfId="0" applyFont="1" applyBorder="1">
      <alignment vertical="center"/>
    </xf>
    <xf numFmtId="0" fontId="16" fillId="0" borderId="24" xfId="0" applyFont="1" applyBorder="1">
      <alignment vertical="center"/>
    </xf>
    <xf numFmtId="0" fontId="16" fillId="0" borderId="25" xfId="0" applyFont="1" applyBorder="1">
      <alignment vertical="center"/>
    </xf>
    <xf numFmtId="0" fontId="16" fillId="0" borderId="26" xfId="0" applyFont="1" applyBorder="1">
      <alignment vertical="center"/>
    </xf>
    <xf numFmtId="0" fontId="16" fillId="0" borderId="27" xfId="0" applyFont="1" applyBorder="1">
      <alignment vertical="center"/>
    </xf>
    <xf numFmtId="0" fontId="16" fillId="0" borderId="28" xfId="0" applyFont="1" applyBorder="1">
      <alignment vertical="center"/>
    </xf>
    <xf numFmtId="0" fontId="1" fillId="0" borderId="0" xfId="0" applyFont="1">
      <alignment vertical="center"/>
    </xf>
    <xf numFmtId="0" fontId="9" fillId="0" borderId="29" xfId="0" applyFont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49" fontId="8" fillId="0" borderId="29" xfId="0" applyNumberFormat="1" applyFont="1" applyBorder="1" applyAlignment="1">
      <alignment horizontal="center" vertical="center"/>
    </xf>
    <xf numFmtId="0" fontId="4" fillId="0" borderId="0" xfId="0" applyFont="1">
      <alignment vertical="center"/>
    </xf>
    <xf numFmtId="0" fontId="13" fillId="0" borderId="0" xfId="0" applyFont="1">
      <alignment vertical="center"/>
    </xf>
    <xf numFmtId="0" fontId="11" fillId="0" borderId="0" xfId="0" applyFont="1">
      <alignment vertical="center"/>
    </xf>
    <xf numFmtId="0" fontId="7" fillId="0" borderId="29" xfId="0" applyFont="1" applyBorder="1">
      <alignment vertical="center"/>
    </xf>
    <xf numFmtId="0" fontId="9" fillId="0" borderId="29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30" xfId="0" applyFont="1" applyBorder="1">
      <alignment vertical="center"/>
    </xf>
    <xf numFmtId="49" fontId="0" fillId="0" borderId="0" xfId="0" applyNumberFormat="1">
      <alignment vertical="center"/>
    </xf>
    <xf numFmtId="0" fontId="8" fillId="0" borderId="2" xfId="0" applyFont="1" applyBorder="1">
      <alignment vertical="center"/>
    </xf>
    <xf numFmtId="0" fontId="8" fillId="0" borderId="29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0" fillId="0" borderId="29" xfId="0" applyNumberFormat="1" applyBorder="1">
      <alignment vertical="center"/>
    </xf>
    <xf numFmtId="49" fontId="8" fillId="0" borderId="7" xfId="0" applyNumberFormat="1" applyFont="1" applyBorder="1">
      <alignment vertical="center"/>
    </xf>
    <xf numFmtId="49" fontId="8" fillId="0" borderId="7" xfId="0" applyNumberFormat="1" applyFont="1" applyBorder="1" applyAlignment="1">
      <alignment horizontal="center" vertical="center"/>
    </xf>
    <xf numFmtId="0" fontId="0" fillId="0" borderId="29" xfId="0" applyBorder="1">
      <alignment vertical="center"/>
    </xf>
    <xf numFmtId="0" fontId="7" fillId="0" borderId="2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29" xfId="0" applyFont="1" applyBorder="1">
      <alignment vertical="center"/>
    </xf>
    <xf numFmtId="49" fontId="0" fillId="0" borderId="29" xfId="0" applyNumberForma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176" fontId="0" fillId="0" borderId="0" xfId="0" applyNumberFormat="1">
      <alignment vertical="center"/>
    </xf>
    <xf numFmtId="0" fontId="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9" fillId="0" borderId="2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5" xfId="0" applyFont="1" applyBorder="1">
      <alignment vertical="center"/>
    </xf>
    <xf numFmtId="0" fontId="15" fillId="0" borderId="0" xfId="0" applyFont="1">
      <alignment vertical="center"/>
    </xf>
    <xf numFmtId="0" fontId="7" fillId="0" borderId="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Protection="1">
      <alignment vertical="center"/>
      <protection locked="0"/>
    </xf>
    <xf numFmtId="0" fontId="0" fillId="0" borderId="7" xfId="0" applyBorder="1">
      <alignment vertical="center"/>
    </xf>
    <xf numFmtId="49" fontId="8" fillId="0" borderId="0" xfId="0" applyNumberFormat="1" applyFont="1" applyAlignment="1">
      <alignment horizontal="center" vertical="center"/>
    </xf>
    <xf numFmtId="0" fontId="9" fillId="0" borderId="29" xfId="0" applyFont="1" applyBorder="1" applyAlignment="1">
      <alignment vertical="center" shrinkToFit="1"/>
    </xf>
    <xf numFmtId="0" fontId="0" fillId="0" borderId="2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5" xfId="0" applyFont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12" fillId="2" borderId="36" xfId="0" applyFont="1" applyFill="1" applyBorder="1" applyAlignment="1">
      <alignment horizontal="center" vertical="center" wrapText="1"/>
    </xf>
    <xf numFmtId="0" fontId="8" fillId="0" borderId="51" xfId="0" applyFont="1" applyBorder="1" applyAlignment="1">
      <alignment wrapText="1"/>
    </xf>
    <xf numFmtId="0" fontId="8" fillId="0" borderId="53" xfId="0" applyFont="1" applyBorder="1" applyAlignment="1">
      <alignment wrapText="1"/>
    </xf>
    <xf numFmtId="0" fontId="4" fillId="0" borderId="29" xfId="0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14" fontId="4" fillId="0" borderId="29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29" xfId="0" applyFont="1" applyBorder="1">
      <alignment vertical="center"/>
    </xf>
    <xf numFmtId="0" fontId="4" fillId="0" borderId="29" xfId="0" applyFont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78" fontId="8" fillId="0" borderId="38" xfId="0" applyNumberFormat="1" applyFont="1" applyBorder="1" applyAlignment="1">
      <alignment horizontal="center"/>
    </xf>
    <xf numFmtId="179" fontId="8" fillId="0" borderId="38" xfId="0" applyNumberFormat="1" applyFont="1" applyBorder="1" applyAlignment="1">
      <alignment horizontal="center"/>
    </xf>
    <xf numFmtId="181" fontId="8" fillId="0" borderId="38" xfId="0" applyNumberFormat="1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1" fillId="0" borderId="38" xfId="0" applyFont="1" applyBorder="1" applyAlignment="1"/>
    <xf numFmtId="0" fontId="1" fillId="0" borderId="28" xfId="0" applyFont="1" applyBorder="1" applyAlignment="1"/>
    <xf numFmtId="0" fontId="12" fillId="0" borderId="25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178" fontId="8" fillId="0" borderId="35" xfId="0" applyNumberFormat="1" applyFont="1" applyBorder="1" applyAlignment="1">
      <alignment horizontal="center"/>
    </xf>
    <xf numFmtId="179" fontId="8" fillId="0" borderId="35" xfId="0" applyNumberFormat="1" applyFont="1" applyBorder="1" applyAlignment="1">
      <alignment horizontal="center"/>
    </xf>
    <xf numFmtId="181" fontId="8" fillId="0" borderId="35" xfId="0" applyNumberFormat="1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" fillId="0" borderId="35" xfId="0" applyFont="1" applyBorder="1" applyAlignment="1"/>
    <xf numFmtId="0" fontId="1" fillId="0" borderId="36" xfId="0" applyFont="1" applyBorder="1" applyAlignment="1"/>
    <xf numFmtId="178" fontId="8" fillId="0" borderId="37" xfId="0" applyNumberFormat="1" applyFont="1" applyBorder="1" applyAlignment="1">
      <alignment horizontal="center"/>
    </xf>
    <xf numFmtId="179" fontId="8" fillId="0" borderId="37" xfId="0" applyNumberFormat="1" applyFont="1" applyBorder="1" applyAlignment="1">
      <alignment horizontal="center"/>
    </xf>
    <xf numFmtId="181" fontId="8" fillId="0" borderId="37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4" fillId="0" borderId="37" xfId="0" applyFont="1" applyBorder="1" applyAlignment="1"/>
    <xf numFmtId="0" fontId="4" fillId="0" borderId="24" xfId="0" applyFont="1" applyBorder="1" applyAlignment="1"/>
    <xf numFmtId="0" fontId="8" fillId="0" borderId="38" xfId="0" applyFont="1" applyBorder="1" applyAlignment="1">
      <alignment horizontal="center"/>
    </xf>
    <xf numFmtId="0" fontId="4" fillId="0" borderId="38" xfId="0" applyFont="1" applyBorder="1" applyAlignment="1"/>
    <xf numFmtId="0" fontId="4" fillId="0" borderId="28" xfId="0" applyFont="1" applyBorder="1" applyAlignment="1"/>
    <xf numFmtId="0" fontId="7" fillId="2" borderId="2" xfId="0" applyFont="1" applyFill="1" applyBorder="1" applyAlignment="1">
      <alignment horizontal="center" vertical="center" shrinkToFit="1"/>
    </xf>
    <xf numFmtId="0" fontId="7" fillId="2" borderId="3" xfId="0" applyFont="1" applyFill="1" applyBorder="1" applyAlignment="1">
      <alignment horizontal="center" vertical="center" shrinkToFit="1"/>
    </xf>
    <xf numFmtId="0" fontId="7" fillId="2" borderId="31" xfId="0" applyFont="1" applyFill="1" applyBorder="1" applyAlignment="1">
      <alignment horizontal="center" vertical="center" shrinkToFit="1"/>
    </xf>
    <xf numFmtId="0" fontId="8" fillId="0" borderId="35" xfId="0" applyFont="1" applyBorder="1" applyAlignment="1">
      <alignment horizontal="center"/>
    </xf>
    <xf numFmtId="0" fontId="4" fillId="0" borderId="35" xfId="0" applyFont="1" applyBorder="1" applyAlignment="1"/>
    <xf numFmtId="0" fontId="4" fillId="0" borderId="36" xfId="0" applyFont="1" applyBorder="1" applyAlignment="1"/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1" xfId="0" applyFont="1" applyFill="1" applyBorder="1" applyAlignment="1">
      <alignment horizontal="center" vertical="center"/>
    </xf>
    <xf numFmtId="179" fontId="14" fillId="0" borderId="2" xfId="0" applyNumberFormat="1" applyFont="1" applyBorder="1" applyAlignment="1">
      <alignment horizontal="center" vertical="center"/>
    </xf>
    <xf numFmtId="179" fontId="14" fillId="0" borderId="3" xfId="0" applyNumberFormat="1" applyFont="1" applyBorder="1" applyAlignment="1">
      <alignment horizontal="center" vertical="center"/>
    </xf>
    <xf numFmtId="179" fontId="14" fillId="0" borderId="31" xfId="0" applyNumberFormat="1" applyFont="1" applyBorder="1" applyAlignment="1">
      <alignment horizontal="center" vertical="center"/>
    </xf>
    <xf numFmtId="0" fontId="10" fillId="3" borderId="2" xfId="0" applyFont="1" applyFill="1" applyBorder="1" applyAlignment="1" applyProtection="1">
      <alignment horizontal="center" vertical="center"/>
      <protection locked="0"/>
    </xf>
    <xf numFmtId="0" fontId="10" fillId="3" borderId="3" xfId="0" applyFont="1" applyFill="1" applyBorder="1" applyAlignment="1" applyProtection="1">
      <alignment horizontal="center" vertical="center"/>
      <protection locked="0"/>
    </xf>
    <xf numFmtId="0" fontId="10" fillId="3" borderId="31" xfId="0" applyFont="1" applyFill="1" applyBorder="1" applyAlignment="1" applyProtection="1">
      <alignment horizontal="center" vertical="center"/>
      <protection locked="0"/>
    </xf>
    <xf numFmtId="0" fontId="0" fillId="0" borderId="0" xfId="0">
      <alignment vertical="center"/>
    </xf>
    <xf numFmtId="0" fontId="7" fillId="2" borderId="42" xfId="0" applyFont="1" applyFill="1" applyBorder="1" applyAlignment="1">
      <alignment horizontal="center" vertical="center" shrinkToFit="1"/>
    </xf>
    <xf numFmtId="0" fontId="7" fillId="2" borderId="40" xfId="0" applyFont="1" applyFill="1" applyBorder="1" applyAlignment="1">
      <alignment horizontal="center" vertical="center" shrinkToFit="1"/>
    </xf>
    <xf numFmtId="0" fontId="7" fillId="2" borderId="43" xfId="0" applyFont="1" applyFill="1" applyBorder="1" applyAlignment="1">
      <alignment horizontal="center" vertical="center" shrinkToFit="1"/>
    </xf>
    <xf numFmtId="0" fontId="4" fillId="0" borderId="49" xfId="0" applyFont="1" applyBorder="1" applyAlignment="1">
      <alignment horizontal="center" shrinkToFit="1"/>
    </xf>
    <xf numFmtId="0" fontId="4" fillId="0" borderId="46" xfId="0" applyFont="1" applyBorder="1" applyAlignment="1">
      <alignment horizontal="center" shrinkToFit="1"/>
    </xf>
    <xf numFmtId="0" fontId="4" fillId="0" borderId="48" xfId="0" applyFont="1" applyBorder="1" applyAlignment="1">
      <alignment horizontal="center" shrinkToFit="1"/>
    </xf>
    <xf numFmtId="0" fontId="4" fillId="3" borderId="49" xfId="0" applyFont="1" applyFill="1" applyBorder="1" applyAlignment="1" applyProtection="1">
      <alignment horizontal="center" shrinkToFit="1"/>
      <protection locked="0"/>
    </xf>
    <xf numFmtId="0" fontId="4" fillId="3" borderId="46" xfId="0" applyFont="1" applyFill="1" applyBorder="1" applyAlignment="1" applyProtection="1">
      <alignment horizontal="center" shrinkToFit="1"/>
      <protection locked="0"/>
    </xf>
    <xf numFmtId="0" fontId="4" fillId="3" borderId="48" xfId="0" applyFont="1" applyFill="1" applyBorder="1" applyAlignment="1" applyProtection="1">
      <alignment horizontal="center" shrinkToFit="1"/>
      <protection locked="0"/>
    </xf>
    <xf numFmtId="0" fontId="4" fillId="0" borderId="47" xfId="0" applyFont="1" applyBorder="1" applyAlignment="1">
      <alignment horizontal="center" shrinkToFit="1"/>
    </xf>
    <xf numFmtId="177" fontId="8" fillId="0" borderId="49" xfId="0" applyNumberFormat="1" applyFont="1" applyBorder="1" applyAlignment="1">
      <alignment horizontal="center" shrinkToFit="1"/>
    </xf>
    <xf numFmtId="177" fontId="8" fillId="0" borderId="46" xfId="0" applyNumberFormat="1" applyFont="1" applyBorder="1" applyAlignment="1">
      <alignment horizontal="center" shrinkToFit="1"/>
    </xf>
    <xf numFmtId="177" fontId="8" fillId="0" borderId="48" xfId="0" applyNumberFormat="1" applyFont="1" applyBorder="1" applyAlignment="1">
      <alignment horizontal="center" shrinkToFit="1"/>
    </xf>
    <xf numFmtId="0" fontId="4" fillId="0" borderId="2" xfId="0" applyFont="1" applyBorder="1" applyAlignment="1">
      <alignment horizontal="distributed" vertical="center" indent="4"/>
    </xf>
    <xf numFmtId="0" fontId="4" fillId="0" borderId="3" xfId="0" applyFont="1" applyBorder="1" applyAlignment="1">
      <alignment horizontal="distributed" vertical="center" indent="4"/>
    </xf>
    <xf numFmtId="0" fontId="4" fillId="0" borderId="31" xfId="0" applyFont="1" applyBorder="1" applyAlignment="1">
      <alignment horizontal="distributed" vertical="center" indent="4"/>
    </xf>
    <xf numFmtId="49" fontId="8" fillId="0" borderId="45" xfId="0" applyNumberFormat="1" applyFont="1" applyBorder="1" applyAlignment="1">
      <alignment horizontal="center" shrinkToFit="1"/>
    </xf>
    <xf numFmtId="49" fontId="8" fillId="0" borderId="46" xfId="0" applyNumberFormat="1" applyFont="1" applyBorder="1" applyAlignment="1">
      <alignment horizontal="center" shrinkToFit="1"/>
    </xf>
    <xf numFmtId="49" fontId="8" fillId="0" borderId="48" xfId="0" applyNumberFormat="1" applyFont="1" applyBorder="1" applyAlignment="1">
      <alignment horizontal="center" shrinkToFit="1"/>
    </xf>
    <xf numFmtId="0" fontId="10" fillId="3" borderId="45" xfId="0" applyFont="1" applyFill="1" applyBorder="1" applyAlignment="1" applyProtection="1">
      <alignment horizontal="center" shrinkToFit="1"/>
      <protection locked="0"/>
    </xf>
    <xf numFmtId="0" fontId="10" fillId="3" borderId="46" xfId="0" applyFont="1" applyFill="1" applyBorder="1" applyAlignment="1" applyProtection="1">
      <alignment horizontal="center" shrinkToFit="1"/>
      <protection locked="0"/>
    </xf>
    <xf numFmtId="0" fontId="10" fillId="3" borderId="47" xfId="0" applyFont="1" applyFill="1" applyBorder="1" applyAlignment="1" applyProtection="1">
      <alignment horizontal="center" shrinkToFit="1"/>
      <protection locked="0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2" xfId="0" applyFont="1" applyBorder="1" applyAlignment="1">
      <alignment horizontal="distributed" vertical="center" indent="3"/>
    </xf>
    <xf numFmtId="0" fontId="4" fillId="0" borderId="3" xfId="0" applyFont="1" applyBorder="1" applyAlignment="1">
      <alignment horizontal="distributed" vertical="center" indent="3"/>
    </xf>
    <xf numFmtId="0" fontId="4" fillId="0" borderId="31" xfId="0" applyFont="1" applyBorder="1" applyAlignment="1">
      <alignment horizontal="distributed" vertical="center" indent="3"/>
    </xf>
    <xf numFmtId="0" fontId="8" fillId="0" borderId="54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7" fillId="2" borderId="44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12" fillId="2" borderId="35" xfId="0" applyFont="1" applyFill="1" applyBorder="1" applyAlignment="1">
      <alignment horizontal="center" vertical="center" wrapText="1"/>
    </xf>
    <xf numFmtId="0" fontId="12" fillId="2" borderId="3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3" borderId="49" xfId="0" applyFont="1" applyFill="1" applyBorder="1" applyAlignment="1" applyProtection="1">
      <alignment horizontal="center" wrapText="1"/>
      <protection locked="0"/>
    </xf>
    <xf numFmtId="0" fontId="8" fillId="3" borderId="46" xfId="0" applyFont="1" applyFill="1" applyBorder="1" applyAlignment="1" applyProtection="1">
      <alignment horizontal="center" wrapText="1"/>
      <protection locked="0"/>
    </xf>
    <xf numFmtId="0" fontId="8" fillId="3" borderId="48" xfId="0" applyFont="1" applyFill="1" applyBorder="1" applyAlignment="1" applyProtection="1">
      <alignment horizontal="center" wrapText="1"/>
      <protection locked="0"/>
    </xf>
    <xf numFmtId="0" fontId="7" fillId="2" borderId="2" xfId="0" applyFont="1" applyFill="1" applyBorder="1" applyAlignment="1">
      <alignment horizontal="distributed" vertical="center" shrinkToFit="1"/>
    </xf>
    <xf numFmtId="0" fontId="7" fillId="2" borderId="3" xfId="0" applyFont="1" applyFill="1" applyBorder="1" applyAlignment="1">
      <alignment horizontal="distributed" vertical="center"/>
    </xf>
    <xf numFmtId="0" fontId="7" fillId="2" borderId="31" xfId="0" applyFont="1" applyFill="1" applyBorder="1" applyAlignment="1">
      <alignment horizontal="distributed" vertical="center"/>
    </xf>
    <xf numFmtId="0" fontId="8" fillId="0" borderId="49" xfId="0" applyFont="1" applyBorder="1" applyAlignment="1">
      <alignment horizontal="center" wrapText="1"/>
    </xf>
    <xf numFmtId="0" fontId="8" fillId="0" borderId="46" xfId="0" applyFont="1" applyBorder="1" applyAlignment="1">
      <alignment horizontal="center" wrapText="1"/>
    </xf>
    <xf numFmtId="0" fontId="8" fillId="0" borderId="52" xfId="0" applyFont="1" applyBorder="1" applyAlignment="1">
      <alignment horizontal="center" wrapText="1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180" fontId="10" fillId="3" borderId="2" xfId="0" applyNumberFormat="1" applyFont="1" applyFill="1" applyBorder="1" applyAlignment="1" applyProtection="1">
      <alignment horizontal="center" vertical="center"/>
      <protection locked="0"/>
    </xf>
    <xf numFmtId="180" fontId="10" fillId="3" borderId="3" xfId="0" applyNumberFormat="1" applyFont="1" applyFill="1" applyBorder="1" applyAlignment="1" applyProtection="1">
      <alignment horizontal="center" vertical="center"/>
      <protection locked="0"/>
    </xf>
    <xf numFmtId="180" fontId="10" fillId="3" borderId="31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 vertical="center"/>
    </xf>
    <xf numFmtId="0" fontId="8" fillId="0" borderId="45" xfId="0" applyFont="1" applyBorder="1" applyAlignment="1">
      <alignment horizontal="center" wrapText="1"/>
    </xf>
    <xf numFmtId="0" fontId="8" fillId="0" borderId="50" xfId="0" applyFont="1" applyBorder="1" applyAlignment="1">
      <alignment horizontal="center" wrapText="1"/>
    </xf>
    <xf numFmtId="0" fontId="1" fillId="0" borderId="37" xfId="0" applyFont="1" applyBorder="1" applyAlignment="1"/>
    <xf numFmtId="0" fontId="1" fillId="0" borderId="24" xfId="0" applyFont="1" applyBorder="1" applyAlignment="1"/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distributed" vertical="center"/>
    </xf>
    <xf numFmtId="0" fontId="10" fillId="0" borderId="39" xfId="0" applyFont="1" applyBorder="1" applyAlignment="1">
      <alignment horizontal="center"/>
    </xf>
    <xf numFmtId="0" fontId="10" fillId="0" borderId="40" xfId="0" applyFont="1" applyBorder="1" applyAlignment="1">
      <alignment horizontal="center"/>
    </xf>
    <xf numFmtId="0" fontId="10" fillId="0" borderId="41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7" xfId="0" applyFont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1" xfId="0" applyFont="1" applyBorder="1" applyAlignment="1">
      <alignment vertical="top" wrapText="1"/>
    </xf>
    <xf numFmtId="0" fontId="16" fillId="0" borderId="8" xfId="0" applyFont="1" applyBorder="1" applyAlignment="1">
      <alignment vertical="top" wrapText="1"/>
    </xf>
    <xf numFmtId="0" fontId="16" fillId="0" borderId="9" xfId="0" applyFont="1" applyBorder="1" applyAlignment="1">
      <alignment vertical="top" wrapText="1"/>
    </xf>
    <xf numFmtId="0" fontId="16" fillId="0" borderId="10" xfId="0" applyFont="1" applyBorder="1" applyAlignment="1">
      <alignment vertical="top" wrapText="1"/>
    </xf>
    <xf numFmtId="0" fontId="16" fillId="0" borderId="11" xfId="0" applyFont="1" applyBorder="1" applyAlignment="1">
      <alignment vertical="top"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1" xfId="0" applyFont="1" applyBorder="1" applyAlignment="1">
      <alignment horizontal="center" vertical="top" wrapText="1"/>
    </xf>
    <xf numFmtId="0" fontId="16" fillId="0" borderId="12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1"/>
      </font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113601</xdr:colOff>
      <xdr:row>30</xdr:row>
      <xdr:rowOff>0</xdr:rowOff>
    </xdr:from>
    <xdr:to>
      <xdr:col>8</xdr:col>
      <xdr:colOff>80590</xdr:colOff>
      <xdr:row>35</xdr:row>
      <xdr:rowOff>0</xdr:rowOff>
    </xdr:to>
    <xdr:grpSp>
      <xdr:nvGrpSpPr>
        <xdr:cNvPr id="1475" name="Group 7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GrpSpPr>
          <a:grpSpLocks/>
        </xdr:cNvGrpSpPr>
      </xdr:nvGrpSpPr>
      <xdr:grpSpPr bwMode="auto">
        <a:xfrm>
          <a:off x="1410622" y="5481941"/>
          <a:ext cx="878957" cy="871437"/>
          <a:chOff x="475" y="512"/>
          <a:chExt cx="130" cy="115"/>
        </a:xfrm>
      </xdr:grpSpPr>
      <xdr:sp macro="" textlink="">
        <xdr:nvSpPr>
          <xdr:cNvPr id="1486" name="Rectangle 8">
            <a:extLst>
              <a:ext uri="{FF2B5EF4-FFF2-40B4-BE49-F238E27FC236}">
                <a16:creationId xmlns:a16="http://schemas.microsoft.com/office/drawing/2014/main" id="{00000000-0008-0000-0000-0000CE050000}"/>
              </a:ext>
            </a:extLst>
          </xdr:cNvPr>
          <xdr:cNvSpPr>
            <a:spLocks noChangeArrowheads="1"/>
          </xdr:cNvSpPr>
        </xdr:nvSpPr>
        <xdr:spPr bwMode="auto">
          <a:xfrm>
            <a:off x="475" y="535"/>
            <a:ext cx="130" cy="92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3" name="Rectangle 9">
            <a:extLst>
              <a:ext uri="{FF2B5EF4-FFF2-40B4-BE49-F238E27FC236}">
                <a16:creationId xmlns:a16="http://schemas.microsoft.com/office/drawing/2014/main" id="{00000000-0008-0000-0000-000009040000}"/>
              </a:ext>
            </a:extLst>
          </xdr:cNvPr>
          <xdr:cNvSpPr>
            <a:spLocks noChangeArrowheads="1"/>
          </xdr:cNvSpPr>
        </xdr:nvSpPr>
        <xdr:spPr bwMode="auto">
          <a:xfrm>
            <a:off x="475" y="512"/>
            <a:ext cx="130" cy="2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追加照射計画者</a:t>
            </a:r>
          </a:p>
        </xdr:txBody>
      </xdr:sp>
    </xdr:grpSp>
    <xdr:clientData/>
  </xdr:twoCellAnchor>
  <xdr:twoCellAnchor>
    <xdr:from>
      <xdr:col>1</xdr:col>
      <xdr:colOff>133350</xdr:colOff>
      <xdr:row>30</xdr:row>
      <xdr:rowOff>0</xdr:rowOff>
    </xdr:from>
    <xdr:to>
      <xdr:col>4</xdr:col>
      <xdr:colOff>238125</xdr:colOff>
      <xdr:row>35</xdr:row>
      <xdr:rowOff>0</xdr:rowOff>
    </xdr:to>
    <xdr:grpSp>
      <xdr:nvGrpSpPr>
        <xdr:cNvPr id="1476" name="Group 10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GrpSpPr>
          <a:grpSpLocks/>
        </xdr:cNvGrpSpPr>
      </xdr:nvGrpSpPr>
      <xdr:grpSpPr bwMode="auto">
        <a:xfrm>
          <a:off x="305611" y="5481941"/>
          <a:ext cx="986344" cy="871437"/>
          <a:chOff x="475" y="512"/>
          <a:chExt cx="130" cy="115"/>
        </a:xfrm>
      </xdr:grpSpPr>
      <xdr:sp macro="" textlink="">
        <xdr:nvSpPr>
          <xdr:cNvPr id="1484" name="Rectangle 11">
            <a:extLst>
              <a:ext uri="{FF2B5EF4-FFF2-40B4-BE49-F238E27FC236}">
                <a16:creationId xmlns:a16="http://schemas.microsoft.com/office/drawing/2014/main" id="{00000000-0008-0000-0000-0000CC050000}"/>
              </a:ext>
            </a:extLst>
          </xdr:cNvPr>
          <xdr:cNvSpPr>
            <a:spLocks noChangeArrowheads="1"/>
          </xdr:cNvSpPr>
        </xdr:nvSpPr>
        <xdr:spPr bwMode="auto">
          <a:xfrm>
            <a:off x="475" y="535"/>
            <a:ext cx="130" cy="92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6" name="Rectangle 12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SpPr>
            <a:spLocks noChangeArrowheads="1"/>
          </xdr:cNvSpPr>
        </xdr:nvSpPr>
        <xdr:spPr bwMode="auto">
          <a:xfrm>
            <a:off x="475" y="512"/>
            <a:ext cx="130" cy="2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追加照射指示者</a:t>
            </a:r>
          </a:p>
        </xdr:txBody>
      </xdr:sp>
    </xdr:grpSp>
    <xdr:clientData/>
  </xdr:twoCellAnchor>
  <xdr:twoCellAnchor>
    <xdr:from>
      <xdr:col>27</xdr:col>
      <xdr:colOff>1303</xdr:colOff>
      <xdr:row>0</xdr:row>
      <xdr:rowOff>67492</xdr:rowOff>
    </xdr:from>
    <xdr:to>
      <xdr:col>34</xdr:col>
      <xdr:colOff>228589</xdr:colOff>
      <xdr:row>1</xdr:row>
      <xdr:rowOff>283019</xdr:rowOff>
    </xdr:to>
    <xdr:sp macro="" textlink="">
      <xdr:nvSpPr>
        <xdr:cNvPr id="1045" name="Text Box 2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 txBox="1">
          <a:spLocks noChangeArrowheads="1"/>
        </xdr:cNvSpPr>
      </xdr:nvSpPr>
      <xdr:spPr bwMode="auto">
        <a:xfrm>
          <a:off x="6545635" y="67492"/>
          <a:ext cx="2017329" cy="44544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200" b="1" i="0" strike="noStrike">
              <a:solidFill>
                <a:srgbClr val="FF0000"/>
              </a:solidFill>
              <a:latin typeface="ＭＳ ゴシック"/>
              <a:ea typeface="ＭＳ ゴシック"/>
            </a:rPr>
            <a:t>印字後 内容を確認し</a:t>
          </a:r>
        </a:p>
        <a:p>
          <a:pPr algn="l" rtl="0">
            <a:defRPr sz="1000"/>
          </a:pPr>
          <a:r>
            <a:rPr lang="ja-JP" altLang="en-US" sz="1200" b="1" i="0" strike="noStrike">
              <a:solidFill>
                <a:srgbClr val="FF0000"/>
              </a:solidFill>
              <a:latin typeface="ＭＳ ゴシック"/>
              <a:ea typeface="ＭＳ ゴシック"/>
            </a:rPr>
            <a:t>正しければ「レ」点を記入</a:t>
          </a:r>
        </a:p>
      </xdr:txBody>
    </xdr:sp>
    <xdr:clientData fPrintsWithSheet="0"/>
  </xdr:twoCellAnchor>
  <xdr:twoCellAnchor>
    <xdr:from>
      <xdr:col>28</xdr:col>
      <xdr:colOff>121015</xdr:colOff>
      <xdr:row>1</xdr:row>
      <xdr:rowOff>261807</xdr:rowOff>
    </xdr:from>
    <xdr:to>
      <xdr:col>30</xdr:col>
      <xdr:colOff>26621</xdr:colOff>
      <xdr:row>5</xdr:row>
      <xdr:rowOff>15000</xdr:rowOff>
    </xdr:to>
    <xdr:sp macro="" textlink="">
      <xdr:nvSpPr>
        <xdr:cNvPr id="1481" name="Line 22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>
          <a:spLocks noChangeShapeType="1"/>
        </xdr:cNvSpPr>
      </xdr:nvSpPr>
      <xdr:spPr bwMode="auto">
        <a:xfrm flipH="1">
          <a:off x="6911683" y="491721"/>
          <a:ext cx="431123" cy="41008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oneCellAnchor>
    <xdr:from>
      <xdr:col>14</xdr:col>
      <xdr:colOff>188406</xdr:colOff>
      <xdr:row>29</xdr:row>
      <xdr:rowOff>0</xdr:rowOff>
    </xdr:from>
    <xdr:ext cx="6374423" cy="732692"/>
    <xdr:sp macro="" textlink="">
      <xdr:nvSpPr>
        <xdr:cNvPr id="1051" name="Text Box 27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 txBox="1">
          <a:spLocks noChangeArrowheads="1"/>
        </xdr:cNvSpPr>
      </xdr:nvSpPr>
      <xdr:spPr bwMode="auto">
        <a:xfrm>
          <a:off x="3569258" y="5359121"/>
          <a:ext cx="6374423" cy="7326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0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・追加ﾊﾟｽ数の計算方法：　不足線量（測定線量</a:t>
          </a:r>
          <a:r>
            <a:rPr lang="en-US" altLang="ja-JP" sz="10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-</a:t>
          </a:r>
          <a:r>
            <a:rPr lang="ja-JP" altLang="en-US" sz="10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下限線量）を</a:t>
          </a:r>
          <a:r>
            <a:rPr lang="en-US" altLang="ja-JP" sz="10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</a:t>
          </a:r>
          <a:r>
            <a:rPr lang="ja-JP" altLang="en-US" sz="10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ﾊﾟｽ当たりの線量で割った値より大きく最も近い偶数</a:t>
          </a:r>
        </a:p>
        <a:p>
          <a:pPr algn="l" rtl="0">
            <a:defRPr sz="1000"/>
          </a:pPr>
          <a:r>
            <a:rPr lang="ja-JP" altLang="en-US" sz="10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・追加線量の合格範囲の計算方法：　上限線量</a:t>
          </a:r>
          <a:r>
            <a:rPr lang="en-US" altLang="ja-JP" sz="10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=</a:t>
          </a:r>
          <a:r>
            <a:rPr lang="ja-JP" altLang="en-US" sz="10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上限線量</a:t>
          </a:r>
          <a:r>
            <a:rPr lang="en-US" altLang="ja-JP" sz="10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-</a:t>
          </a:r>
          <a:r>
            <a:rPr lang="ja-JP" altLang="en-US" sz="10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測定線量　　下限線量</a:t>
          </a:r>
          <a:r>
            <a:rPr lang="en-US" altLang="ja-JP" sz="10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=</a:t>
          </a:r>
          <a:r>
            <a:rPr lang="ja-JP" altLang="en-US" sz="10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不足線量</a:t>
          </a:r>
        </a:p>
        <a:p>
          <a:pPr algn="l" rtl="0">
            <a:defRPr sz="1000"/>
          </a:pPr>
          <a:r>
            <a:rPr lang="ja-JP" altLang="en-US" sz="1000" b="0" i="0" strike="noStrike">
              <a:solidFill>
                <a:srgbClr val="FF0000"/>
              </a:solidFill>
              <a:latin typeface="ＭＳ Ｐゴシック"/>
              <a:ea typeface="ＭＳ Ｐゴシック"/>
            </a:rPr>
            <a:t>医療機器で休日に追加照射が発生した場合品証課に連絡すること</a:t>
          </a:r>
          <a:endParaRPr lang="en-US" altLang="ja-JP" sz="1000" b="0" i="0" strike="noStrike">
            <a:solidFill>
              <a:srgbClr val="FF0000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r>
            <a:rPr lang="ja-JP" altLang="ja-JP" sz="1000" b="0" i="0">
              <a:solidFill>
                <a:srgbClr val="FF0000"/>
              </a:solidFill>
              <a:latin typeface="+mn-lt"/>
              <a:ea typeface="+mn-ea"/>
              <a:cs typeface="+mn-cs"/>
            </a:rPr>
            <a:t>注：追加照射指示者：その製品の出荷判定資格を有するもの</a:t>
          </a:r>
          <a:endParaRPr lang="ja-JP" altLang="en-US" sz="1000" b="0" i="0" strike="noStrike">
            <a:solidFill>
              <a:srgbClr val="FF0000"/>
            </a:solidFill>
            <a:latin typeface="ＭＳ Ｐゴシック"/>
            <a:ea typeface="ＭＳ Ｐゴシック"/>
          </a:endParaRPr>
        </a:p>
      </xdr:txBody>
    </xdr:sp>
    <xdr:clientData/>
  </xdr:oneCellAnchor>
  <xdr:twoCellAnchor>
    <xdr:from>
      <xdr:col>30</xdr:col>
      <xdr:colOff>24633</xdr:colOff>
      <xdr:row>1</xdr:row>
      <xdr:rowOff>279181</xdr:rowOff>
    </xdr:from>
    <xdr:to>
      <xdr:col>31</xdr:col>
      <xdr:colOff>14267</xdr:colOff>
      <xdr:row>5</xdr:row>
      <xdr:rowOff>56056</xdr:rowOff>
    </xdr:to>
    <xdr:sp macro="" textlink="">
      <xdr:nvSpPr>
        <xdr:cNvPr id="15" name="Line 22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ShapeType="1"/>
        </xdr:cNvSpPr>
      </xdr:nvSpPr>
      <xdr:spPr bwMode="auto">
        <a:xfrm>
          <a:off x="7340818" y="509095"/>
          <a:ext cx="235971" cy="4337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35</xdr:col>
      <xdr:colOff>16424</xdr:colOff>
      <xdr:row>1</xdr:row>
      <xdr:rowOff>303814</xdr:rowOff>
    </xdr:from>
    <xdr:to>
      <xdr:col>38</xdr:col>
      <xdr:colOff>55325</xdr:colOff>
      <xdr:row>5</xdr:row>
      <xdr:rowOff>56056</xdr:rowOff>
    </xdr:to>
    <xdr:sp macro="" textlink="">
      <xdr:nvSpPr>
        <xdr:cNvPr id="16" name="Line 22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ShapeType="1"/>
        </xdr:cNvSpPr>
      </xdr:nvSpPr>
      <xdr:spPr bwMode="auto">
        <a:xfrm>
          <a:off x="8597135" y="533728"/>
          <a:ext cx="777910" cy="40913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0</xdr:col>
      <xdr:colOff>10242</xdr:colOff>
      <xdr:row>1</xdr:row>
      <xdr:rowOff>20483</xdr:rowOff>
    </xdr:from>
    <xdr:to>
      <xdr:col>1</xdr:col>
      <xdr:colOff>61452</xdr:colOff>
      <xdr:row>1</xdr:row>
      <xdr:rowOff>225322</xdr:rowOff>
    </xdr:to>
    <xdr:sp macro="[0]!CTRCls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42" y="245806"/>
          <a:ext cx="358468" cy="20483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7</xdr:col>
      <xdr:colOff>0</xdr:colOff>
      <xdr:row>9</xdr:row>
      <xdr:rowOff>0</xdr:rowOff>
    </xdr:to>
    <xdr:grpSp>
      <xdr:nvGrpSpPr>
        <xdr:cNvPr id="3361" name="Group 3">
          <a:extLst>
            <a:ext uri="{FF2B5EF4-FFF2-40B4-BE49-F238E27FC236}">
              <a16:creationId xmlns:a16="http://schemas.microsoft.com/office/drawing/2014/main" id="{00000000-0008-0000-0200-0000210D0000}"/>
            </a:ext>
          </a:extLst>
        </xdr:cNvPr>
        <xdr:cNvGrpSpPr>
          <a:grpSpLocks/>
        </xdr:cNvGrpSpPr>
      </xdr:nvGrpSpPr>
      <xdr:grpSpPr bwMode="auto">
        <a:xfrm>
          <a:off x="438150" y="723900"/>
          <a:ext cx="1095375" cy="904875"/>
          <a:chOff x="69" y="95"/>
          <a:chExt cx="115" cy="95"/>
        </a:xfrm>
      </xdr:grpSpPr>
      <xdr:sp macro="" textlink="">
        <xdr:nvSpPr>
          <xdr:cNvPr id="3073" name="Rectangle 1">
            <a:extLst>
              <a:ext uri="{FF2B5EF4-FFF2-40B4-BE49-F238E27FC236}">
                <a16:creationId xmlns:a16="http://schemas.microsoft.com/office/drawing/2014/main" id="{00000000-0008-0000-0200-000001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95"/>
            <a:ext cx="115" cy="1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確認試験書作成者</a:t>
            </a:r>
          </a:p>
        </xdr:txBody>
      </xdr:sp>
      <xdr:sp macro="" textlink="">
        <xdr:nvSpPr>
          <xdr:cNvPr id="3369" name="Rectangle 2">
            <a:extLst>
              <a:ext uri="{FF2B5EF4-FFF2-40B4-BE49-F238E27FC236}">
                <a16:creationId xmlns:a16="http://schemas.microsoft.com/office/drawing/2014/main" id="{00000000-0008-0000-0200-0000290D0000}"/>
              </a:ext>
            </a:extLst>
          </xdr:cNvPr>
          <xdr:cNvSpPr>
            <a:spLocks noChangeArrowheads="1"/>
          </xdr:cNvSpPr>
        </xdr:nvSpPr>
        <xdr:spPr bwMode="auto">
          <a:xfrm>
            <a:off x="69" y="114"/>
            <a:ext cx="115" cy="7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8</xdr:col>
      <xdr:colOff>0</xdr:colOff>
      <xdr:row>4</xdr:row>
      <xdr:rowOff>0</xdr:rowOff>
    </xdr:from>
    <xdr:to>
      <xdr:col>13</xdr:col>
      <xdr:colOff>0</xdr:colOff>
      <xdr:row>9</xdr:row>
      <xdr:rowOff>0</xdr:rowOff>
    </xdr:to>
    <xdr:grpSp>
      <xdr:nvGrpSpPr>
        <xdr:cNvPr id="3362" name="Group 4">
          <a:extLst>
            <a:ext uri="{FF2B5EF4-FFF2-40B4-BE49-F238E27FC236}">
              <a16:creationId xmlns:a16="http://schemas.microsoft.com/office/drawing/2014/main" id="{00000000-0008-0000-0200-0000220D0000}"/>
            </a:ext>
          </a:extLst>
        </xdr:cNvPr>
        <xdr:cNvGrpSpPr>
          <a:grpSpLocks/>
        </xdr:cNvGrpSpPr>
      </xdr:nvGrpSpPr>
      <xdr:grpSpPr bwMode="auto">
        <a:xfrm>
          <a:off x="1752600" y="723900"/>
          <a:ext cx="1095375" cy="904875"/>
          <a:chOff x="69" y="95"/>
          <a:chExt cx="115" cy="95"/>
        </a:xfrm>
      </xdr:grpSpPr>
      <xdr:sp macro="" textlink="">
        <xdr:nvSpPr>
          <xdr:cNvPr id="3077" name="Rectangle 5">
            <a:extLst>
              <a:ext uri="{FF2B5EF4-FFF2-40B4-BE49-F238E27FC236}">
                <a16:creationId xmlns:a16="http://schemas.microsoft.com/office/drawing/2014/main" id="{00000000-0008-0000-0200-000005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95"/>
            <a:ext cx="115" cy="1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確認試験者</a:t>
            </a:r>
          </a:p>
        </xdr:txBody>
      </xdr:sp>
      <xdr:sp macro="" textlink="">
        <xdr:nvSpPr>
          <xdr:cNvPr id="3367" name="Rectangle 6">
            <a:extLst>
              <a:ext uri="{FF2B5EF4-FFF2-40B4-BE49-F238E27FC236}">
                <a16:creationId xmlns:a16="http://schemas.microsoft.com/office/drawing/2014/main" id="{00000000-0008-0000-0200-0000270D0000}"/>
              </a:ext>
            </a:extLst>
          </xdr:cNvPr>
          <xdr:cNvSpPr>
            <a:spLocks noChangeArrowheads="1"/>
          </xdr:cNvSpPr>
        </xdr:nvSpPr>
        <xdr:spPr bwMode="auto">
          <a:xfrm>
            <a:off x="69" y="114"/>
            <a:ext cx="115" cy="7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14</xdr:col>
      <xdr:colOff>0</xdr:colOff>
      <xdr:row>4</xdr:row>
      <xdr:rowOff>0</xdr:rowOff>
    </xdr:from>
    <xdr:to>
      <xdr:col>19</xdr:col>
      <xdr:colOff>0</xdr:colOff>
      <xdr:row>9</xdr:row>
      <xdr:rowOff>0</xdr:rowOff>
    </xdr:to>
    <xdr:grpSp>
      <xdr:nvGrpSpPr>
        <xdr:cNvPr id="3363" name="Group 7">
          <a:extLst>
            <a:ext uri="{FF2B5EF4-FFF2-40B4-BE49-F238E27FC236}">
              <a16:creationId xmlns:a16="http://schemas.microsoft.com/office/drawing/2014/main" id="{00000000-0008-0000-0200-0000230D0000}"/>
            </a:ext>
          </a:extLst>
        </xdr:cNvPr>
        <xdr:cNvGrpSpPr>
          <a:grpSpLocks/>
        </xdr:cNvGrpSpPr>
      </xdr:nvGrpSpPr>
      <xdr:grpSpPr bwMode="auto">
        <a:xfrm>
          <a:off x="3067050" y="723900"/>
          <a:ext cx="1095375" cy="904875"/>
          <a:chOff x="69" y="95"/>
          <a:chExt cx="115" cy="95"/>
        </a:xfrm>
      </xdr:grpSpPr>
      <xdr:sp macro="" textlink="">
        <xdr:nvSpPr>
          <xdr:cNvPr id="3080" name="Rectangle 8">
            <a:extLst>
              <a:ext uri="{FF2B5EF4-FFF2-40B4-BE49-F238E27FC236}">
                <a16:creationId xmlns:a16="http://schemas.microsoft.com/office/drawing/2014/main" id="{00000000-0008-0000-0200-0000080C0000}"/>
              </a:ext>
            </a:extLst>
          </xdr:cNvPr>
          <xdr:cNvSpPr>
            <a:spLocks noChangeArrowheads="1"/>
          </xdr:cNvSpPr>
        </xdr:nvSpPr>
        <xdr:spPr bwMode="auto">
          <a:xfrm>
            <a:off x="69" y="95"/>
            <a:ext cx="115" cy="1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0" i="0" strike="noStrike">
                <a:solidFill>
                  <a:srgbClr val="000000"/>
                </a:solidFill>
                <a:latin typeface="ＭＳ ゴシック"/>
                <a:ea typeface="ＭＳ ゴシック"/>
              </a:rPr>
              <a:t>使用承認者</a:t>
            </a:r>
          </a:p>
        </xdr:txBody>
      </xdr:sp>
      <xdr:sp macro="" textlink="">
        <xdr:nvSpPr>
          <xdr:cNvPr id="3365" name="Rectangle 9">
            <a:extLst>
              <a:ext uri="{FF2B5EF4-FFF2-40B4-BE49-F238E27FC236}">
                <a16:creationId xmlns:a16="http://schemas.microsoft.com/office/drawing/2014/main" id="{00000000-0008-0000-0200-0000250D0000}"/>
              </a:ext>
            </a:extLst>
          </xdr:cNvPr>
          <xdr:cNvSpPr>
            <a:spLocks noChangeArrowheads="1"/>
          </xdr:cNvSpPr>
        </xdr:nvSpPr>
        <xdr:spPr bwMode="auto">
          <a:xfrm>
            <a:off x="69" y="114"/>
            <a:ext cx="115" cy="7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3409950</xdr:colOff>
      <xdr:row>0</xdr:row>
      <xdr:rowOff>38100</xdr:rowOff>
    </xdr:from>
    <xdr:to>
      <xdr:col>3</xdr:col>
      <xdr:colOff>190500</xdr:colOff>
      <xdr:row>3</xdr:row>
      <xdr:rowOff>123825</xdr:rowOff>
    </xdr:to>
    <xdr:sp macro="[0]!ブック保存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8DD404E-8C25-4452-B823-1ABC65FA7EA4}"/>
            </a:ext>
          </a:extLst>
        </xdr:cNvPr>
        <xdr:cNvSpPr txBox="1"/>
      </xdr:nvSpPr>
      <xdr:spPr>
        <a:xfrm>
          <a:off x="5562600" y="38100"/>
          <a:ext cx="2000250" cy="9239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 b="1">
              <a:solidFill>
                <a:srgbClr val="0070C0"/>
              </a:solidFill>
            </a:rPr>
            <a:t>改定時の保存の仕方</a:t>
          </a:r>
          <a:endParaRPr kumimoji="1" lang="en-US" altLang="ja-JP" sz="1200" b="1">
            <a:solidFill>
              <a:srgbClr val="0070C0"/>
            </a:solidFill>
          </a:endParaRPr>
        </a:p>
        <a:p>
          <a:r>
            <a:rPr kumimoji="1" lang="en-US" altLang="ja-JP" sz="1200"/>
            <a:t>BOOK</a:t>
          </a:r>
          <a:r>
            <a:rPr kumimoji="1" lang="ja-JP" altLang="en-US" sz="1200"/>
            <a:t>内容変更して改訂履歴に入力後ここをクリックして</a:t>
          </a:r>
          <a:r>
            <a:rPr kumimoji="1" lang="en-US" altLang="ja-JP" sz="1200"/>
            <a:t>Ex</a:t>
          </a:r>
          <a:r>
            <a:rPr kumimoji="1" lang="ja-JP" altLang="en-US" sz="1200"/>
            <a:t>ﾒﾆｭｰを再起動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BI55"/>
  <sheetViews>
    <sheetView showGridLines="0" showZeros="0" tabSelected="1" showOutlineSymbols="0" zoomScale="94" zoomScaleNormal="94" workbookViewId="0">
      <selection activeCell="B1" sqref="B1"/>
    </sheetView>
  </sheetViews>
  <sheetFormatPr defaultColWidth="2.625" defaultRowHeight="14.25" x14ac:dyDescent="0.15"/>
  <cols>
    <col min="1" max="1" width="2.25" customWidth="1"/>
    <col min="2" max="2" width="5.125" customWidth="1"/>
    <col min="3" max="5" width="3.25" customWidth="1"/>
    <col min="6" max="6" width="5.625" customWidth="1"/>
    <col min="7" max="9" width="3.25" customWidth="1"/>
    <col min="10" max="10" width="3.25" hidden="1" customWidth="1"/>
    <col min="11" max="13" width="3.25" customWidth="1"/>
    <col min="14" max="14" width="3.25" hidden="1" customWidth="1"/>
    <col min="15" max="28" width="3.25" customWidth="1"/>
    <col min="29" max="29" width="3.625" customWidth="1"/>
    <col min="30" max="31" width="3.25" customWidth="1"/>
    <col min="32" max="32" width="3.625" customWidth="1"/>
    <col min="33" max="40" width="3.25" customWidth="1"/>
    <col min="41" max="41" width="4.75" customWidth="1"/>
    <col min="42" max="42" width="1.875" customWidth="1"/>
    <col min="43" max="47" width="6" customWidth="1"/>
    <col min="48" max="48" width="6.5" customWidth="1"/>
    <col min="49" max="49" width="7.5" customWidth="1"/>
    <col min="50" max="50" width="19.5" style="38" customWidth="1"/>
    <col min="51" max="51" width="8.625" customWidth="1"/>
    <col min="52" max="52" width="8.75" style="38" customWidth="1"/>
    <col min="53" max="53" width="3.25" customWidth="1"/>
    <col min="54" max="54" width="13.5" customWidth="1"/>
    <col min="55" max="55" width="12.25" customWidth="1"/>
    <col min="56" max="56" width="4.125" customWidth="1"/>
    <col min="57" max="57" width="17.25" customWidth="1"/>
    <col min="58" max="58" width="15.375" customWidth="1"/>
    <col min="59" max="60" width="8.625" customWidth="1"/>
    <col min="61" max="246" width="2.625" customWidth="1"/>
  </cols>
  <sheetData>
    <row r="1" spans="1:61" ht="18" customHeight="1" x14ac:dyDescent="0.15">
      <c r="A1" s="68"/>
      <c r="B1" t="str">
        <f>"様式 G2-12("&amp;MAX(改訂履歴!A6:A105)&amp;")"</f>
        <v>様式 G2-12(15)</v>
      </c>
      <c r="G1" t="s">
        <v>260</v>
      </c>
      <c r="AI1" s="57"/>
      <c r="AJ1" s="57"/>
      <c r="AK1" s="154" t="s">
        <v>59</v>
      </c>
      <c r="AL1" s="155"/>
      <c r="AM1" s="155"/>
      <c r="AN1" s="156"/>
      <c r="AX1" s="32"/>
      <c r="AZ1" s="32"/>
    </row>
    <row r="2" spans="1:61" ht="25.5" x14ac:dyDescent="0.15">
      <c r="B2" s="58" t="s">
        <v>60</v>
      </c>
      <c r="AI2" s="57"/>
      <c r="AJ2" s="57"/>
      <c r="AK2" s="157"/>
      <c r="AL2" s="158"/>
      <c r="AM2" s="158"/>
      <c r="AN2" s="159"/>
      <c r="AX2" s="32"/>
      <c r="BB2" s="46" t="s">
        <v>71</v>
      </c>
      <c r="BC2" s="47" t="s">
        <v>63</v>
      </c>
      <c r="BD2" s="43"/>
      <c r="BE2" s="33" t="s">
        <v>155</v>
      </c>
      <c r="BF2" s="33" t="s">
        <v>124</v>
      </c>
      <c r="BG2" s="33" t="s">
        <v>125</v>
      </c>
    </row>
    <row r="3" spans="1:61" ht="15.75" customHeight="1" x14ac:dyDescent="0.15">
      <c r="M3" s="131" t="str">
        <f>IF(BF3&gt;BG3,"追加照射データが多過ぎるため管理者に連絡","")</f>
        <v/>
      </c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AI3" s="59"/>
      <c r="AJ3" s="57"/>
      <c r="AK3" s="160"/>
      <c r="AL3" s="161"/>
      <c r="AM3" s="161"/>
      <c r="AN3" s="162"/>
      <c r="AX3" s="32"/>
      <c r="BB3" s="46">
        <v>1</v>
      </c>
      <c r="BC3" s="45" t="s">
        <v>162</v>
      </c>
      <c r="BD3" s="69"/>
      <c r="BE3" s="41"/>
      <c r="BF3" s="41">
        <f>COUNTA(SebkNoTB)</f>
        <v>0</v>
      </c>
      <c r="BG3" s="41">
        <v>30</v>
      </c>
    </row>
    <row r="4" spans="1:61" ht="5.25" customHeight="1" x14ac:dyDescent="0.15">
      <c r="AK4" s="163"/>
      <c r="AL4" s="164"/>
      <c r="AM4" s="164"/>
      <c r="AN4" s="165"/>
      <c r="AX4" s="32"/>
      <c r="BB4" s="36">
        <v>2</v>
      </c>
      <c r="BC4" s="45" t="s">
        <v>163</v>
      </c>
      <c r="BD4" s="49"/>
      <c r="BE4" s="61"/>
      <c r="BF4" s="41" t="s">
        <v>161</v>
      </c>
      <c r="BG4" s="35"/>
    </row>
    <row r="5" spans="1:61" ht="15" customHeight="1" x14ac:dyDescent="0.15">
      <c r="A5" s="60"/>
      <c r="B5" s="145" t="s">
        <v>40</v>
      </c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7"/>
      <c r="AA5" s="166" t="s">
        <v>41</v>
      </c>
      <c r="AB5" s="167"/>
      <c r="AC5" s="167"/>
      <c r="AD5" s="167"/>
      <c r="AE5" s="167"/>
      <c r="AF5" s="167"/>
      <c r="AG5" s="167"/>
      <c r="AH5" s="167"/>
      <c r="AI5" s="167"/>
      <c r="AJ5" s="167"/>
      <c r="AK5" s="167"/>
      <c r="AL5" s="167"/>
      <c r="AM5" s="167"/>
      <c r="AN5" s="168"/>
      <c r="AX5" s="32"/>
      <c r="AZ5"/>
      <c r="BB5" s="36">
        <v>3</v>
      </c>
      <c r="BC5" s="45" t="s">
        <v>164</v>
      </c>
      <c r="BD5" s="49"/>
      <c r="BE5" s="41"/>
      <c r="BF5" s="33"/>
      <c r="BG5" s="35"/>
    </row>
    <row r="6" spans="1:61" s="63" customFormat="1" ht="21.75" customHeight="1" x14ac:dyDescent="0.15">
      <c r="A6" s="73"/>
      <c r="B6" s="132" t="s">
        <v>270</v>
      </c>
      <c r="C6" s="133"/>
      <c r="D6" s="133"/>
      <c r="E6" s="133"/>
      <c r="F6" s="134"/>
      <c r="G6" s="132" t="s">
        <v>42</v>
      </c>
      <c r="H6" s="133"/>
      <c r="I6" s="133"/>
      <c r="J6" s="134"/>
      <c r="K6" s="132" t="s">
        <v>43</v>
      </c>
      <c r="L6" s="133"/>
      <c r="M6" s="133"/>
      <c r="N6" s="134"/>
      <c r="O6" s="132" t="s">
        <v>44</v>
      </c>
      <c r="P6" s="133"/>
      <c r="Q6" s="133"/>
      <c r="R6" s="134"/>
      <c r="S6" s="132" t="s">
        <v>45</v>
      </c>
      <c r="T6" s="133"/>
      <c r="U6" s="133"/>
      <c r="V6" s="134"/>
      <c r="W6" s="132" t="s">
        <v>165</v>
      </c>
      <c r="X6" s="133"/>
      <c r="Y6" s="133"/>
      <c r="Z6" s="134"/>
      <c r="AA6" s="171" t="s">
        <v>46</v>
      </c>
      <c r="AB6" s="172"/>
      <c r="AC6" s="80" t="s">
        <v>266</v>
      </c>
      <c r="AD6" s="171" t="s">
        <v>47</v>
      </c>
      <c r="AE6" s="172"/>
      <c r="AF6" s="80" t="s">
        <v>266</v>
      </c>
      <c r="AG6" s="132" t="s">
        <v>67</v>
      </c>
      <c r="AH6" s="133"/>
      <c r="AI6" s="134"/>
      <c r="AJ6" s="171" t="s">
        <v>48</v>
      </c>
      <c r="AK6" s="172"/>
      <c r="AL6" s="172"/>
      <c r="AM6" s="173" t="s">
        <v>266</v>
      </c>
      <c r="AN6" s="174"/>
      <c r="AU6" s="74"/>
      <c r="AZ6" s="75"/>
      <c r="BB6" s="36">
        <v>0</v>
      </c>
      <c r="BC6" s="47">
        <v>0</v>
      </c>
      <c r="BD6" s="50"/>
      <c r="BE6" s="41"/>
      <c r="BF6" s="52"/>
      <c r="BG6" s="76"/>
    </row>
    <row r="7" spans="1:61" s="34" customFormat="1" ht="15" customHeight="1" x14ac:dyDescent="0.2">
      <c r="A7" s="60"/>
      <c r="B7" s="151"/>
      <c r="C7" s="152"/>
      <c r="D7" s="152"/>
      <c r="E7" s="152"/>
      <c r="F7" s="153"/>
      <c r="G7" s="148" t="s">
        <v>238</v>
      </c>
      <c r="H7" s="149"/>
      <c r="I7" s="149"/>
      <c r="J7" s="150"/>
      <c r="K7" s="135" t="s">
        <v>238</v>
      </c>
      <c r="L7" s="136"/>
      <c r="M7" s="136"/>
      <c r="N7" s="137"/>
      <c r="O7" s="138" t="s">
        <v>238</v>
      </c>
      <c r="P7" s="139"/>
      <c r="Q7" s="139"/>
      <c r="R7" s="140"/>
      <c r="S7" s="142" t="s">
        <v>238</v>
      </c>
      <c r="T7" s="143"/>
      <c r="U7" s="143"/>
      <c r="V7" s="144"/>
      <c r="W7" s="135" t="s">
        <v>238</v>
      </c>
      <c r="X7" s="136"/>
      <c r="Y7" s="136"/>
      <c r="Z7" s="141"/>
      <c r="AA7" s="192" t="s">
        <v>238</v>
      </c>
      <c r="AB7" s="193"/>
      <c r="AC7" s="81" t="s">
        <v>238</v>
      </c>
      <c r="AD7" s="182" t="s">
        <v>238</v>
      </c>
      <c r="AE7" s="184"/>
      <c r="AF7" s="82" t="s">
        <v>238</v>
      </c>
      <c r="AG7" s="176" t="s">
        <v>238</v>
      </c>
      <c r="AH7" s="177"/>
      <c r="AI7" s="178"/>
      <c r="AJ7" s="182" t="s">
        <v>238</v>
      </c>
      <c r="AK7" s="183"/>
      <c r="AL7" s="184"/>
      <c r="AM7" s="169" t="s">
        <v>238</v>
      </c>
      <c r="AN7" s="170"/>
      <c r="AU7" s="35"/>
      <c r="AZ7" s="38"/>
      <c r="BB7" s="46">
        <v>0</v>
      </c>
      <c r="BC7" s="46">
        <v>0</v>
      </c>
      <c r="BD7" s="70"/>
      <c r="BE7" s="54"/>
      <c r="BF7" s="40"/>
      <c r="BG7" s="42"/>
    </row>
    <row r="8" spans="1:61" s="34" customFormat="1" ht="15" customHeight="1" x14ac:dyDescent="0.15">
      <c r="A8" s="60"/>
      <c r="B8" s="116" t="s">
        <v>269</v>
      </c>
      <c r="C8" s="117"/>
      <c r="D8" s="117"/>
      <c r="E8" s="117"/>
      <c r="F8" s="118"/>
      <c r="G8" s="116" t="s">
        <v>49</v>
      </c>
      <c r="H8" s="117"/>
      <c r="I8" s="117"/>
      <c r="J8" s="118"/>
      <c r="K8" s="116" t="s">
        <v>50</v>
      </c>
      <c r="L8" s="117"/>
      <c r="M8" s="117"/>
      <c r="N8" s="118"/>
      <c r="O8" s="116" t="s">
        <v>51</v>
      </c>
      <c r="P8" s="117"/>
      <c r="Q8" s="117"/>
      <c r="R8" s="118"/>
      <c r="S8" s="116" t="s">
        <v>52</v>
      </c>
      <c r="T8" s="117"/>
      <c r="U8" s="117"/>
      <c r="V8" s="118"/>
      <c r="W8" s="116" t="s">
        <v>53</v>
      </c>
      <c r="X8" s="117"/>
      <c r="Y8" s="117"/>
      <c r="Z8" s="118"/>
      <c r="AA8" s="116" t="s">
        <v>54</v>
      </c>
      <c r="AB8" s="117"/>
      <c r="AC8" s="118"/>
      <c r="AD8" s="116" t="s">
        <v>55</v>
      </c>
      <c r="AE8" s="117"/>
      <c r="AF8" s="118"/>
      <c r="AG8" s="179" t="s">
        <v>56</v>
      </c>
      <c r="AH8" s="180"/>
      <c r="AI8" s="180"/>
      <c r="AJ8" s="180"/>
      <c r="AK8" s="180"/>
      <c r="AL8" s="180"/>
      <c r="AM8" s="180"/>
      <c r="AN8" s="181"/>
      <c r="AU8" s="35"/>
      <c r="AZ8" s="38"/>
      <c r="BB8" s="77"/>
      <c r="BC8" s="66"/>
      <c r="BE8" s="54"/>
      <c r="BF8" s="40"/>
      <c r="BG8" s="42"/>
    </row>
    <row r="9" spans="1:61" s="34" customFormat="1" ht="15" customHeight="1" x14ac:dyDescent="0.2">
      <c r="A9" s="62"/>
      <c r="B9" s="97" t="s">
        <v>263</v>
      </c>
      <c r="C9" s="100"/>
      <c r="D9" s="100"/>
      <c r="E9" s="100"/>
      <c r="F9" s="100"/>
      <c r="G9" s="101"/>
      <c r="H9" s="101"/>
      <c r="I9" s="101"/>
      <c r="J9" s="101"/>
      <c r="K9" s="101"/>
      <c r="L9" s="101"/>
      <c r="M9" s="101"/>
      <c r="N9" s="101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19"/>
      <c r="AB9" s="119"/>
      <c r="AC9" s="119"/>
      <c r="AD9" s="119"/>
      <c r="AE9" s="119"/>
      <c r="AF9" s="119"/>
      <c r="AG9" s="120"/>
      <c r="AH9" s="120"/>
      <c r="AI9" s="120"/>
      <c r="AJ9" s="120"/>
      <c r="AK9" s="120"/>
      <c r="AL9" s="120"/>
      <c r="AM9" s="120"/>
      <c r="AN9" s="121"/>
      <c r="AU9" s="35"/>
      <c r="AZ9" s="35"/>
      <c r="BB9" s="52" t="s">
        <v>123</v>
      </c>
      <c r="BC9" s="52" t="s">
        <v>257</v>
      </c>
      <c r="BE9" s="41"/>
      <c r="BF9" s="40"/>
      <c r="BG9" s="42"/>
    </row>
    <row r="10" spans="1:61" s="34" customFormat="1" ht="15" customHeight="1" x14ac:dyDescent="0.2">
      <c r="A10" s="62"/>
      <c r="B10" s="98"/>
      <c r="C10" s="106"/>
      <c r="D10" s="106"/>
      <c r="E10" s="106"/>
      <c r="F10" s="106"/>
      <c r="G10" s="107"/>
      <c r="H10" s="107"/>
      <c r="I10" s="107"/>
      <c r="J10" s="107"/>
      <c r="K10" s="107"/>
      <c r="L10" s="107"/>
      <c r="M10" s="107"/>
      <c r="N10" s="107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110"/>
      <c r="AB10" s="110"/>
      <c r="AC10" s="110"/>
      <c r="AD10" s="110"/>
      <c r="AE10" s="110"/>
      <c r="AF10" s="110"/>
      <c r="AG10" s="111"/>
      <c r="AH10" s="111"/>
      <c r="AI10" s="111"/>
      <c r="AJ10" s="111"/>
      <c r="AK10" s="111"/>
      <c r="AL10" s="111"/>
      <c r="AM10" s="111"/>
      <c r="AN10" s="112"/>
      <c r="AU10" s="35"/>
      <c r="AZ10" s="38"/>
      <c r="BB10" s="52"/>
      <c r="BC10" s="52" t="s">
        <v>258</v>
      </c>
      <c r="BE10" s="41"/>
      <c r="BF10" s="40"/>
      <c r="BG10" s="42"/>
      <c r="BI10"/>
    </row>
    <row r="11" spans="1:61" s="34" customFormat="1" ht="15" customHeight="1" x14ac:dyDescent="0.2">
      <c r="A11" s="62"/>
      <c r="B11" s="98"/>
      <c r="C11" s="106"/>
      <c r="D11" s="106"/>
      <c r="E11" s="106"/>
      <c r="F11" s="106"/>
      <c r="G11" s="107"/>
      <c r="H11" s="107"/>
      <c r="I11" s="107"/>
      <c r="J11" s="107"/>
      <c r="K11" s="107"/>
      <c r="L11" s="107"/>
      <c r="M11" s="107"/>
      <c r="N11" s="107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10"/>
      <c r="AB11" s="110"/>
      <c r="AC11" s="110"/>
      <c r="AD11" s="110"/>
      <c r="AE11" s="110"/>
      <c r="AF11" s="110"/>
      <c r="AG11" s="111"/>
      <c r="AH11" s="111"/>
      <c r="AI11" s="111"/>
      <c r="AJ11" s="111"/>
      <c r="AK11" s="111"/>
      <c r="AL11" s="111"/>
      <c r="AM11" s="111"/>
      <c r="AN11" s="112"/>
      <c r="AU11" s="35"/>
      <c r="AZ11" s="38"/>
      <c r="BB11" s="52"/>
      <c r="BC11" s="33" t="s">
        <v>68</v>
      </c>
      <c r="BE11" s="41"/>
      <c r="BF11" s="40"/>
      <c r="BG11" s="42"/>
    </row>
    <row r="12" spans="1:61" s="34" customFormat="1" ht="15" customHeight="1" x14ac:dyDescent="0.2">
      <c r="A12" s="62"/>
      <c r="B12" s="99"/>
      <c r="C12" s="91"/>
      <c r="D12" s="91"/>
      <c r="E12" s="91"/>
      <c r="F12" s="91"/>
      <c r="G12" s="92"/>
      <c r="H12" s="92"/>
      <c r="I12" s="92"/>
      <c r="J12" s="92"/>
      <c r="K12" s="92"/>
      <c r="L12" s="92"/>
      <c r="M12" s="92"/>
      <c r="N12" s="92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113"/>
      <c r="AB12" s="113"/>
      <c r="AC12" s="113"/>
      <c r="AD12" s="113"/>
      <c r="AE12" s="113"/>
      <c r="AF12" s="113"/>
      <c r="AG12" s="114"/>
      <c r="AH12" s="114"/>
      <c r="AI12" s="114"/>
      <c r="AJ12" s="114"/>
      <c r="AK12" s="114"/>
      <c r="AL12" s="114"/>
      <c r="AM12" s="114"/>
      <c r="AN12" s="115"/>
      <c r="AU12" s="35"/>
      <c r="AZ12" s="38"/>
      <c r="BB12" s="52"/>
      <c r="BC12" s="33" t="s">
        <v>69</v>
      </c>
      <c r="BE12" s="41"/>
      <c r="BF12" s="40"/>
      <c r="BG12" s="42"/>
    </row>
    <row r="13" spans="1:61" s="34" customFormat="1" ht="15" customHeight="1" x14ac:dyDescent="0.2">
      <c r="A13" s="63"/>
      <c r="B13" s="97" t="s">
        <v>264</v>
      </c>
      <c r="C13" s="100"/>
      <c r="D13" s="100"/>
      <c r="E13" s="100"/>
      <c r="F13" s="100"/>
      <c r="G13" s="101"/>
      <c r="H13" s="101"/>
      <c r="I13" s="101"/>
      <c r="J13" s="101"/>
      <c r="K13" s="101"/>
      <c r="L13" s="101"/>
      <c r="M13" s="101"/>
      <c r="N13" s="101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19"/>
      <c r="AB13" s="119"/>
      <c r="AC13" s="119"/>
      <c r="AD13" s="119"/>
      <c r="AE13" s="119"/>
      <c r="AF13" s="119"/>
      <c r="AG13" s="120"/>
      <c r="AH13" s="120"/>
      <c r="AI13" s="120"/>
      <c r="AJ13" s="120"/>
      <c r="AK13" s="120"/>
      <c r="AL13" s="120"/>
      <c r="AM13" s="120"/>
      <c r="AN13" s="121"/>
      <c r="AU13" s="35"/>
      <c r="AZ13" s="38"/>
      <c r="BB13" s="52"/>
      <c r="BC13" s="33"/>
      <c r="BE13" s="41"/>
      <c r="BF13" s="40"/>
      <c r="BG13" s="42"/>
    </row>
    <row r="14" spans="1:61" s="34" customFormat="1" ht="15" customHeight="1" x14ac:dyDescent="0.2">
      <c r="A14" s="63"/>
      <c r="B14" s="98"/>
      <c r="C14" s="106"/>
      <c r="D14" s="106"/>
      <c r="E14" s="106"/>
      <c r="F14" s="106"/>
      <c r="G14" s="107"/>
      <c r="H14" s="107"/>
      <c r="I14" s="107"/>
      <c r="J14" s="107"/>
      <c r="K14" s="107"/>
      <c r="L14" s="107"/>
      <c r="M14" s="107"/>
      <c r="N14" s="107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10"/>
      <c r="AB14" s="110"/>
      <c r="AC14" s="110"/>
      <c r="AD14" s="110"/>
      <c r="AE14" s="110"/>
      <c r="AF14" s="110"/>
      <c r="AG14" s="111"/>
      <c r="AH14" s="111"/>
      <c r="AI14" s="111"/>
      <c r="AJ14" s="111"/>
      <c r="AK14" s="111"/>
      <c r="AL14" s="111"/>
      <c r="AM14" s="111"/>
      <c r="AN14" s="112"/>
      <c r="AU14" s="35"/>
      <c r="AZ14" s="38"/>
      <c r="BB14" s="52"/>
      <c r="BC14" s="33"/>
      <c r="BE14" s="41"/>
      <c r="BF14" s="40"/>
      <c r="BG14" s="42"/>
    </row>
    <row r="15" spans="1:61" s="34" customFormat="1" ht="15" customHeight="1" x14ac:dyDescent="0.2">
      <c r="A15" s="63"/>
      <c r="B15" s="98"/>
      <c r="C15" s="106"/>
      <c r="D15" s="106"/>
      <c r="E15" s="106"/>
      <c r="F15" s="106"/>
      <c r="G15" s="107"/>
      <c r="H15" s="107"/>
      <c r="I15" s="107"/>
      <c r="J15" s="107"/>
      <c r="K15" s="107"/>
      <c r="L15" s="107"/>
      <c r="M15" s="107"/>
      <c r="N15" s="107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10"/>
      <c r="AB15" s="110"/>
      <c r="AC15" s="110"/>
      <c r="AD15" s="110"/>
      <c r="AE15" s="110"/>
      <c r="AF15" s="110"/>
      <c r="AG15" s="111"/>
      <c r="AH15" s="111"/>
      <c r="AI15" s="111"/>
      <c r="AJ15" s="111"/>
      <c r="AK15" s="111"/>
      <c r="AL15" s="111"/>
      <c r="AM15" s="111"/>
      <c r="AN15" s="112"/>
      <c r="AU15" s="35"/>
      <c r="AZ15" s="38"/>
      <c r="BB15" s="52"/>
      <c r="BC15" s="33"/>
      <c r="BE15" s="41"/>
      <c r="BF15" s="40"/>
      <c r="BG15" s="42"/>
    </row>
    <row r="16" spans="1:61" s="34" customFormat="1" ht="15" customHeight="1" x14ac:dyDescent="0.2">
      <c r="A16" s="63"/>
      <c r="B16" s="99"/>
      <c r="C16" s="91"/>
      <c r="D16" s="91"/>
      <c r="E16" s="91"/>
      <c r="F16" s="91"/>
      <c r="G16" s="92"/>
      <c r="H16" s="92"/>
      <c r="I16" s="92"/>
      <c r="J16" s="92"/>
      <c r="K16" s="92"/>
      <c r="L16" s="92"/>
      <c r="M16" s="92"/>
      <c r="N16" s="92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113"/>
      <c r="AB16" s="113"/>
      <c r="AC16" s="113"/>
      <c r="AD16" s="113"/>
      <c r="AE16" s="113"/>
      <c r="AF16" s="113"/>
      <c r="AG16" s="114"/>
      <c r="AH16" s="114"/>
      <c r="AI16" s="114"/>
      <c r="AJ16" s="114"/>
      <c r="AK16" s="114"/>
      <c r="AL16" s="114"/>
      <c r="AM16" s="114"/>
      <c r="AN16" s="115"/>
      <c r="AU16" s="35"/>
      <c r="AZ16" s="38"/>
      <c r="BB16" s="52"/>
      <c r="BC16" s="33"/>
      <c r="BE16" s="41"/>
      <c r="BF16" s="40"/>
      <c r="BG16" s="42"/>
    </row>
    <row r="17" spans="1:59" s="34" customFormat="1" ht="5.25" customHeight="1" x14ac:dyDescent="0.15">
      <c r="A17" s="63"/>
      <c r="B17" s="64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U17" s="35"/>
      <c r="AZ17" s="38"/>
      <c r="BB17" s="52"/>
      <c r="BC17" s="33" t="s">
        <v>70</v>
      </c>
      <c r="BE17" s="41"/>
      <c r="BF17" s="40"/>
      <c r="BG17" s="42"/>
    </row>
    <row r="18" spans="1:59" s="37" customFormat="1" ht="5.25" customHeight="1" x14ac:dyDescent="0.15">
      <c r="AU18" s="35"/>
      <c r="AZ18" s="38"/>
      <c r="BB18" s="52"/>
      <c r="BC18" s="53"/>
      <c r="BE18" s="41"/>
      <c r="BF18" s="40"/>
      <c r="BG18" s="42"/>
    </row>
    <row r="19" spans="1:59" s="37" customFormat="1" ht="15" customHeight="1" x14ac:dyDescent="0.15">
      <c r="B19" s="122" t="s">
        <v>268</v>
      </c>
      <c r="C19" s="123"/>
      <c r="D19" s="123"/>
      <c r="E19" s="123"/>
      <c r="F19" s="124"/>
      <c r="G19" s="125">
        <f>SenkNo</f>
        <v>0</v>
      </c>
      <c r="H19" s="126"/>
      <c r="I19" s="126"/>
      <c r="J19" s="127"/>
      <c r="K19" s="166" t="s">
        <v>57</v>
      </c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  <c r="Z19" s="167"/>
      <c r="AA19" s="167"/>
      <c r="AB19" s="167"/>
      <c r="AC19" s="167"/>
      <c r="AD19" s="167"/>
      <c r="AE19" s="167"/>
      <c r="AF19" s="167"/>
      <c r="AG19" s="167"/>
      <c r="AH19" s="167"/>
      <c r="AI19" s="167"/>
      <c r="AJ19" s="167"/>
      <c r="AK19" s="167"/>
      <c r="AL19" s="167"/>
      <c r="AM19" s="167"/>
      <c r="AN19" s="168"/>
      <c r="AU19" s="35"/>
      <c r="AZ19" s="38"/>
      <c r="BB19" s="52"/>
      <c r="BC19" s="53"/>
      <c r="BE19" s="41"/>
      <c r="BF19" s="40"/>
      <c r="BG19" s="42"/>
    </row>
    <row r="20" spans="1:59" s="37" customFormat="1" ht="15" customHeight="1" x14ac:dyDescent="0.15">
      <c r="B20" s="122" t="s">
        <v>267</v>
      </c>
      <c r="C20" s="123"/>
      <c r="D20" s="123"/>
      <c r="E20" s="123"/>
      <c r="F20" s="124"/>
      <c r="G20" s="128"/>
      <c r="H20" s="129"/>
      <c r="I20" s="129"/>
      <c r="J20" s="130"/>
      <c r="K20" s="122" t="s">
        <v>61</v>
      </c>
      <c r="L20" s="123"/>
      <c r="M20" s="123"/>
      <c r="N20" s="124"/>
      <c r="O20" s="188"/>
      <c r="P20" s="189"/>
      <c r="Q20" s="189"/>
      <c r="R20" s="190"/>
      <c r="S20" s="122" t="s">
        <v>62</v>
      </c>
      <c r="T20" s="123"/>
      <c r="U20" s="123"/>
      <c r="V20" s="124"/>
      <c r="W20" s="185"/>
      <c r="X20" s="186"/>
      <c r="Y20" s="186"/>
      <c r="Z20" s="187"/>
      <c r="AA20" s="196"/>
      <c r="AB20" s="197"/>
      <c r="AC20" s="197"/>
      <c r="AD20" s="197"/>
      <c r="AE20" s="197"/>
      <c r="AF20" s="197"/>
      <c r="AG20" s="197"/>
      <c r="AH20" s="197"/>
      <c r="AI20" s="197"/>
      <c r="AJ20" s="197"/>
      <c r="AK20" s="197"/>
      <c r="AL20" s="197"/>
      <c r="AM20" s="197"/>
      <c r="AN20" s="198"/>
      <c r="AU20" s="35"/>
      <c r="AZ20" s="38"/>
      <c r="BB20" s="52"/>
      <c r="BC20" s="53"/>
      <c r="BE20" s="41"/>
      <c r="BF20" s="40"/>
      <c r="BG20" s="42"/>
    </row>
    <row r="21" spans="1:59" s="37" customFormat="1" ht="15" customHeight="1" x14ac:dyDescent="0.15">
      <c r="B21" s="116" t="s">
        <v>269</v>
      </c>
      <c r="C21" s="117"/>
      <c r="D21" s="117"/>
      <c r="E21" s="117"/>
      <c r="F21" s="118"/>
      <c r="G21" s="116" t="s">
        <v>49</v>
      </c>
      <c r="H21" s="117"/>
      <c r="I21" s="117"/>
      <c r="J21" s="118"/>
      <c r="K21" s="116" t="s">
        <v>50</v>
      </c>
      <c r="L21" s="117"/>
      <c r="M21" s="117"/>
      <c r="N21" s="118"/>
      <c r="O21" s="116" t="s">
        <v>51</v>
      </c>
      <c r="P21" s="117"/>
      <c r="Q21" s="117"/>
      <c r="R21" s="118"/>
      <c r="S21" s="116" t="s">
        <v>52</v>
      </c>
      <c r="T21" s="117"/>
      <c r="U21" s="117"/>
      <c r="V21" s="118"/>
      <c r="W21" s="116" t="s">
        <v>53</v>
      </c>
      <c r="X21" s="117"/>
      <c r="Y21" s="117"/>
      <c r="Z21" s="118"/>
      <c r="AA21" s="78" t="s">
        <v>58</v>
      </c>
      <c r="AB21" s="79"/>
      <c r="AC21" s="79"/>
      <c r="AD21" s="199" t="s">
        <v>56</v>
      </c>
      <c r="AE21" s="180"/>
      <c r="AF21" s="180"/>
      <c r="AG21" s="180"/>
      <c r="AH21" s="180"/>
      <c r="AI21" s="180"/>
      <c r="AJ21" s="180"/>
      <c r="AK21" s="180"/>
      <c r="AL21" s="180"/>
      <c r="AM21" s="180"/>
      <c r="AN21" s="181"/>
      <c r="AU21" s="35"/>
      <c r="AZ21" s="38"/>
      <c r="BB21" s="52"/>
      <c r="BC21"/>
      <c r="BE21" s="41"/>
      <c r="BF21" s="40"/>
      <c r="BG21" s="42"/>
    </row>
    <row r="22" spans="1:59" s="37" customFormat="1" ht="15" customHeight="1" x14ac:dyDescent="0.2">
      <c r="B22" s="97" t="s">
        <v>265</v>
      </c>
      <c r="C22" s="100" t="str">
        <f>IF(UkeNo1="","",UkeNo1)</f>
        <v/>
      </c>
      <c r="D22" s="100"/>
      <c r="E22" s="100"/>
      <c r="F22" s="100"/>
      <c r="G22" s="101">
        <f>RicNoS1</f>
        <v>0</v>
      </c>
      <c r="H22" s="101"/>
      <c r="I22" s="101"/>
      <c r="J22" s="101"/>
      <c r="K22" s="101">
        <f>RicNoE1</f>
        <v>0</v>
      </c>
      <c r="L22" s="101"/>
      <c r="M22" s="101"/>
      <c r="N22" s="101"/>
      <c r="O22" s="102" t="str">
        <f>IF(UkeNo11="","",Kagen1-SokutSN)</f>
        <v/>
      </c>
      <c r="P22" s="102"/>
      <c r="Q22" s="102"/>
      <c r="R22" s="102"/>
      <c r="S22" s="102" t="str">
        <f>IF(O22="","",O22)</f>
        <v/>
      </c>
      <c r="T22" s="102"/>
      <c r="U22" s="102"/>
      <c r="V22" s="102"/>
      <c r="W22" s="102" t="str">
        <f>IF(UkeNo11="","",Jyoug1-SokutSN)</f>
        <v/>
      </c>
      <c r="X22" s="102"/>
      <c r="Y22" s="102"/>
      <c r="Z22" s="102"/>
      <c r="AA22" s="200" t="str">
        <f>IF(UkeNo11="","",ROUNDUP((O22/(SokutSN/JituP1))/2,0)*2)</f>
        <v/>
      </c>
      <c r="AB22" s="201"/>
      <c r="AC22" s="202"/>
      <c r="AD22" s="104">
        <f>KaiName1</f>
        <v>0</v>
      </c>
      <c r="AE22" s="104"/>
      <c r="AF22" s="104"/>
      <c r="AG22" s="104"/>
      <c r="AH22" s="104"/>
      <c r="AI22" s="104"/>
      <c r="AJ22" s="104"/>
      <c r="AK22" s="104"/>
      <c r="AL22" s="104"/>
      <c r="AM22" s="104"/>
      <c r="AN22" s="105"/>
      <c r="AU22" s="35"/>
      <c r="AZ22" s="38"/>
      <c r="BB22" s="52"/>
      <c r="BC22"/>
      <c r="BE22" s="41"/>
      <c r="BF22" s="40"/>
      <c r="BG22" s="42"/>
    </row>
    <row r="23" spans="1:59" ht="15" customHeight="1" x14ac:dyDescent="0.2">
      <c r="B23" s="98"/>
      <c r="C23" s="106" t="str">
        <f>IF(UkeNo2="","",UkeNo2)</f>
        <v/>
      </c>
      <c r="D23" s="106"/>
      <c r="E23" s="106"/>
      <c r="F23" s="106"/>
      <c r="G23" s="107">
        <f>RicNoS2</f>
        <v>0</v>
      </c>
      <c r="H23" s="107"/>
      <c r="I23" s="107"/>
      <c r="J23" s="107"/>
      <c r="K23" s="107">
        <f>RicNoE2</f>
        <v>0</v>
      </c>
      <c r="L23" s="107"/>
      <c r="M23" s="107"/>
      <c r="N23" s="107"/>
      <c r="O23" s="108" t="str">
        <f>IF(UkeNo22="","",Kagen2-SokutSN)</f>
        <v/>
      </c>
      <c r="P23" s="108"/>
      <c r="Q23" s="108"/>
      <c r="R23" s="108"/>
      <c r="S23" s="108" t="str">
        <f t="shared" ref="S23:S29" si="0">IF(O23="","",O23)</f>
        <v/>
      </c>
      <c r="T23" s="108"/>
      <c r="U23" s="108"/>
      <c r="V23" s="108"/>
      <c r="W23" s="108" t="str">
        <f>IF(UkeNo22="","",Jyoug2-SokutSN)</f>
        <v/>
      </c>
      <c r="X23" s="108"/>
      <c r="Y23" s="108"/>
      <c r="Z23" s="108"/>
      <c r="AA23" s="109" t="str">
        <f>IF(UkeNo22="","",ROUNDUP((O23/(SokutSN/JituP2))/2,0)*2)</f>
        <v/>
      </c>
      <c r="AB23" s="109"/>
      <c r="AC23" s="109"/>
      <c r="AD23" s="194">
        <f>KaiName2</f>
        <v>0</v>
      </c>
      <c r="AE23" s="194"/>
      <c r="AF23" s="194"/>
      <c r="AG23" s="194"/>
      <c r="AH23" s="194"/>
      <c r="AI23" s="194"/>
      <c r="AJ23" s="194"/>
      <c r="AK23" s="194"/>
      <c r="AL23" s="194"/>
      <c r="AM23" s="194"/>
      <c r="AN23" s="195"/>
      <c r="AU23" s="35"/>
      <c r="BE23" s="41"/>
      <c r="BF23" s="33"/>
      <c r="BG23" s="35"/>
    </row>
    <row r="24" spans="1:59" ht="15" customHeight="1" x14ac:dyDescent="0.2">
      <c r="B24" s="98">
        <f>B11</f>
        <v>0</v>
      </c>
      <c r="C24" s="106" t="str">
        <f>IF(UkeNo3="","",UkeNo3)</f>
        <v/>
      </c>
      <c r="D24" s="106"/>
      <c r="E24" s="106"/>
      <c r="F24" s="106"/>
      <c r="G24" s="107">
        <f>RicNoS3</f>
        <v>0</v>
      </c>
      <c r="H24" s="107"/>
      <c r="I24" s="107"/>
      <c r="J24" s="107"/>
      <c r="K24" s="107">
        <f>RicNoE3</f>
        <v>0</v>
      </c>
      <c r="L24" s="107"/>
      <c r="M24" s="107"/>
      <c r="N24" s="107"/>
      <c r="O24" s="108" t="str">
        <f>IF(UkeNo33="","",Kagen3-SokutSN)</f>
        <v/>
      </c>
      <c r="P24" s="108"/>
      <c r="Q24" s="108"/>
      <c r="R24" s="108"/>
      <c r="S24" s="108" t="str">
        <f t="shared" si="0"/>
        <v/>
      </c>
      <c r="T24" s="108"/>
      <c r="U24" s="108"/>
      <c r="V24" s="108"/>
      <c r="W24" s="108" t="str">
        <f>IF(UkeNo33="","",Jyoug3-SokutSN)</f>
        <v/>
      </c>
      <c r="X24" s="108"/>
      <c r="Y24" s="108"/>
      <c r="Z24" s="108"/>
      <c r="AA24" s="109" t="str">
        <f>IF(UkeNo33="","",ROUNDUP((O24/(SokutSN/JituP3))/2,0)*2)</f>
        <v/>
      </c>
      <c r="AB24" s="109"/>
      <c r="AC24" s="109"/>
      <c r="AD24" s="194">
        <f>KaiName3</f>
        <v>0</v>
      </c>
      <c r="AE24" s="194"/>
      <c r="AF24" s="194"/>
      <c r="AG24" s="194"/>
      <c r="AH24" s="194"/>
      <c r="AI24" s="194"/>
      <c r="AJ24" s="194"/>
      <c r="AK24" s="194"/>
      <c r="AL24" s="194"/>
      <c r="AM24" s="194"/>
      <c r="AN24" s="195"/>
      <c r="AU24" s="35"/>
      <c r="BB24" s="71" t="s">
        <v>259</v>
      </c>
      <c r="BE24" s="41"/>
      <c r="BF24" s="33"/>
      <c r="BG24" s="35"/>
    </row>
    <row r="25" spans="1:59" ht="15" customHeight="1" x14ac:dyDescent="0.2">
      <c r="B25" s="99"/>
      <c r="C25" s="91" t="str">
        <f>IF(UkeNo4="","",UkeNo4)</f>
        <v/>
      </c>
      <c r="D25" s="91"/>
      <c r="E25" s="91"/>
      <c r="F25" s="91"/>
      <c r="G25" s="92">
        <f>RicNoS4</f>
        <v>0</v>
      </c>
      <c r="H25" s="92"/>
      <c r="I25" s="92"/>
      <c r="J25" s="92"/>
      <c r="K25" s="92">
        <f>RicNoE4</f>
        <v>0</v>
      </c>
      <c r="L25" s="92"/>
      <c r="M25" s="92"/>
      <c r="N25" s="92"/>
      <c r="O25" s="93" t="str">
        <f>IF(UkeNo44="","",Kagen4-SokutSN)</f>
        <v/>
      </c>
      <c r="P25" s="93"/>
      <c r="Q25" s="93"/>
      <c r="R25" s="93"/>
      <c r="S25" s="93" t="str">
        <f t="shared" si="0"/>
        <v/>
      </c>
      <c r="T25" s="93"/>
      <c r="U25" s="93"/>
      <c r="V25" s="93"/>
      <c r="W25" s="93" t="str">
        <f>IF(UkeNo44="","",Jyoug4-SokutSN)</f>
        <v/>
      </c>
      <c r="X25" s="93"/>
      <c r="Y25" s="93"/>
      <c r="Z25" s="93"/>
      <c r="AA25" s="94" t="str">
        <f>IF(UkeNo44="","",ROUNDUP((O25/(SokutSN/JituP4))/2,0)*2)</f>
        <v/>
      </c>
      <c r="AB25" s="94"/>
      <c r="AC25" s="94"/>
      <c r="AD25" s="95">
        <f>KaiName4</f>
        <v>0</v>
      </c>
      <c r="AE25" s="95"/>
      <c r="AF25" s="95"/>
      <c r="AG25" s="95"/>
      <c r="AH25" s="95"/>
      <c r="AI25" s="95"/>
      <c r="AJ25" s="95"/>
      <c r="AK25" s="95"/>
      <c r="AL25" s="95"/>
      <c r="AM25" s="95"/>
      <c r="AN25" s="96"/>
      <c r="AU25" s="35"/>
      <c r="BB25" s="72">
        <v>5</v>
      </c>
      <c r="BE25" s="41"/>
      <c r="BF25" s="33"/>
      <c r="BG25" s="35"/>
    </row>
    <row r="26" spans="1:59" ht="15" customHeight="1" x14ac:dyDescent="0.2">
      <c r="B26" s="97" t="s">
        <v>66</v>
      </c>
      <c r="C26" s="100" t="str">
        <f>IF(UkeNo5="","",UkeNo5)</f>
        <v/>
      </c>
      <c r="D26" s="100"/>
      <c r="E26" s="100"/>
      <c r="F26" s="100"/>
      <c r="G26" s="101">
        <f>RicNoS5</f>
        <v>0</v>
      </c>
      <c r="H26" s="101"/>
      <c r="I26" s="101"/>
      <c r="J26" s="101"/>
      <c r="K26" s="101">
        <f>RicNoE5</f>
        <v>0</v>
      </c>
      <c r="L26" s="101"/>
      <c r="M26" s="101"/>
      <c r="N26" s="101"/>
      <c r="O26" s="102" t="str">
        <f>IF(UkeNo55="","",Kagen5-SokutSN)</f>
        <v/>
      </c>
      <c r="P26" s="102"/>
      <c r="Q26" s="102"/>
      <c r="R26" s="102"/>
      <c r="S26" s="102" t="str">
        <f t="shared" si="0"/>
        <v/>
      </c>
      <c r="T26" s="102"/>
      <c r="U26" s="102"/>
      <c r="V26" s="102"/>
      <c r="W26" s="102" t="str">
        <f>IF(UkeNo55="","",Jyoug5-SokutSN)</f>
        <v/>
      </c>
      <c r="X26" s="102"/>
      <c r="Y26" s="102"/>
      <c r="Z26" s="102"/>
      <c r="AA26" s="103" t="str">
        <f>IF(UkeNo55="","",ROUNDUP((O26/(SokutSN/JituP5))/2,0)*2)</f>
        <v/>
      </c>
      <c r="AB26" s="103"/>
      <c r="AC26" s="103"/>
      <c r="AD26" s="104">
        <f>KaiName5</f>
        <v>0</v>
      </c>
      <c r="AE26" s="104"/>
      <c r="AF26" s="104"/>
      <c r="AG26" s="104"/>
      <c r="AH26" s="104"/>
      <c r="AI26" s="104"/>
      <c r="AJ26" s="104"/>
      <c r="AK26" s="104"/>
      <c r="AL26" s="104"/>
      <c r="AM26" s="104"/>
      <c r="AN26" s="105"/>
      <c r="AU26" s="35"/>
      <c r="BB26" s="67"/>
      <c r="BE26" s="41"/>
      <c r="BF26" s="33"/>
      <c r="BG26" s="35"/>
    </row>
    <row r="27" spans="1:59" ht="15" customHeight="1" x14ac:dyDescent="0.2">
      <c r="B27" s="98"/>
      <c r="C27" s="106" t="str">
        <f>IF(UkeNo6="","",UkeNo6)</f>
        <v/>
      </c>
      <c r="D27" s="106"/>
      <c r="E27" s="106"/>
      <c r="F27" s="106"/>
      <c r="G27" s="107">
        <f>RicNoS6</f>
        <v>0</v>
      </c>
      <c r="H27" s="107"/>
      <c r="I27" s="107"/>
      <c r="J27" s="107"/>
      <c r="K27" s="107">
        <f>RicNoE6</f>
        <v>0</v>
      </c>
      <c r="L27" s="107"/>
      <c r="M27" s="107"/>
      <c r="N27" s="107"/>
      <c r="O27" s="108" t="str">
        <f>IF(UkeNo66="","",Kagen6-SokutSN)</f>
        <v/>
      </c>
      <c r="P27" s="108"/>
      <c r="Q27" s="108"/>
      <c r="R27" s="108"/>
      <c r="S27" s="108" t="str">
        <f t="shared" si="0"/>
        <v/>
      </c>
      <c r="T27" s="108"/>
      <c r="U27" s="108"/>
      <c r="V27" s="108"/>
      <c r="W27" s="108" t="str">
        <f>IF(UkeNo66="","",Jyoug6-SokutSN)</f>
        <v/>
      </c>
      <c r="X27" s="108"/>
      <c r="Y27" s="108"/>
      <c r="Z27" s="108"/>
      <c r="AA27" s="109" t="str">
        <f>IF(UkeNo66="","",ROUNDUP((O27/(SokutSN/JituP6))/2,0)*2)</f>
        <v/>
      </c>
      <c r="AB27" s="109"/>
      <c r="AC27" s="109"/>
      <c r="AD27" s="194">
        <f>KaiName6</f>
        <v>0</v>
      </c>
      <c r="AE27" s="194"/>
      <c r="AF27" s="194"/>
      <c r="AG27" s="194"/>
      <c r="AH27" s="194"/>
      <c r="AI27" s="194"/>
      <c r="AJ27" s="194"/>
      <c r="AK27" s="194"/>
      <c r="AL27" s="194"/>
      <c r="AM27" s="194"/>
      <c r="AN27" s="195"/>
      <c r="AU27" s="35"/>
      <c r="BB27" s="67"/>
      <c r="BE27" s="41"/>
      <c r="BF27" s="33"/>
      <c r="BG27" s="35"/>
    </row>
    <row r="28" spans="1:59" ht="15" customHeight="1" x14ac:dyDescent="0.2">
      <c r="B28" s="98"/>
      <c r="C28" s="106" t="str">
        <f>IF(UkeNo7="","",UkeNo7)</f>
        <v/>
      </c>
      <c r="D28" s="106"/>
      <c r="E28" s="106"/>
      <c r="F28" s="106"/>
      <c r="G28" s="107">
        <f>RicNoS7</f>
        <v>0</v>
      </c>
      <c r="H28" s="107"/>
      <c r="I28" s="107"/>
      <c r="J28" s="107"/>
      <c r="K28" s="107">
        <f>RicNoE7</f>
        <v>0</v>
      </c>
      <c r="L28" s="107"/>
      <c r="M28" s="107"/>
      <c r="N28" s="107"/>
      <c r="O28" s="108" t="str">
        <f>IF(UkeNo77="","",Kagen7-SokutSN)</f>
        <v/>
      </c>
      <c r="P28" s="108"/>
      <c r="Q28" s="108"/>
      <c r="R28" s="108"/>
      <c r="S28" s="108" t="str">
        <f t="shared" si="0"/>
        <v/>
      </c>
      <c r="T28" s="108"/>
      <c r="U28" s="108"/>
      <c r="V28" s="108"/>
      <c r="W28" s="108" t="str">
        <f>IF(UkeNo77="","",Jyoug7-SokutSN)</f>
        <v/>
      </c>
      <c r="X28" s="108"/>
      <c r="Y28" s="108"/>
      <c r="Z28" s="108"/>
      <c r="AA28" s="109" t="str">
        <f>IF(UkeNo77="","",ROUNDUP((O28/(SokutSN/JituP7))/2,0)*2)</f>
        <v/>
      </c>
      <c r="AB28" s="109"/>
      <c r="AC28" s="109"/>
      <c r="AD28" s="194">
        <f>KaiName7</f>
        <v>0</v>
      </c>
      <c r="AE28" s="194"/>
      <c r="AF28" s="194"/>
      <c r="AG28" s="194"/>
      <c r="AH28" s="194"/>
      <c r="AI28" s="194"/>
      <c r="AJ28" s="194"/>
      <c r="AK28" s="194"/>
      <c r="AL28" s="194"/>
      <c r="AM28" s="194"/>
      <c r="AN28" s="195"/>
      <c r="AU28" s="35"/>
      <c r="BB28" s="67"/>
      <c r="BE28" s="41"/>
      <c r="BF28" s="33"/>
      <c r="BG28" s="35"/>
    </row>
    <row r="29" spans="1:59" ht="15" customHeight="1" x14ac:dyDescent="0.2">
      <c r="B29" s="99"/>
      <c r="C29" s="91" t="str">
        <f>IF(UkeNo8="","",UkeNo8)</f>
        <v/>
      </c>
      <c r="D29" s="91"/>
      <c r="E29" s="91"/>
      <c r="F29" s="91"/>
      <c r="G29" s="92">
        <f>RicNoS8</f>
        <v>0</v>
      </c>
      <c r="H29" s="92"/>
      <c r="I29" s="92"/>
      <c r="J29" s="92"/>
      <c r="K29" s="92">
        <f>RicNoE8</f>
        <v>0</v>
      </c>
      <c r="L29" s="92"/>
      <c r="M29" s="92"/>
      <c r="N29" s="92"/>
      <c r="O29" s="93" t="str">
        <f>IF(UkeNo88="","",Kagen8-SokutSN)</f>
        <v/>
      </c>
      <c r="P29" s="93"/>
      <c r="Q29" s="93"/>
      <c r="R29" s="93"/>
      <c r="S29" s="93" t="str">
        <f t="shared" si="0"/>
        <v/>
      </c>
      <c r="T29" s="93"/>
      <c r="U29" s="93"/>
      <c r="V29" s="93"/>
      <c r="W29" s="93" t="str">
        <f>IF(UkeNo88="","",Jyoug8-SokutSN)</f>
        <v/>
      </c>
      <c r="X29" s="93"/>
      <c r="Y29" s="93"/>
      <c r="Z29" s="93"/>
      <c r="AA29" s="94" t="str">
        <f>IF(UkeNo88="","",ROUNDUP((O29/(SokutSN/JituP8))/2,0)*2)</f>
        <v/>
      </c>
      <c r="AB29" s="94"/>
      <c r="AC29" s="94"/>
      <c r="AD29" s="95">
        <f>KaiName8</f>
        <v>0</v>
      </c>
      <c r="AE29" s="95"/>
      <c r="AF29" s="95"/>
      <c r="AG29" s="95"/>
      <c r="AH29" s="95"/>
      <c r="AI29" s="95"/>
      <c r="AJ29" s="95"/>
      <c r="AK29" s="95"/>
      <c r="AL29" s="95"/>
      <c r="AM29" s="95"/>
      <c r="AN29" s="96"/>
      <c r="AU29" s="35"/>
      <c r="BB29" s="67"/>
      <c r="BE29" s="41"/>
      <c r="BF29" s="33"/>
      <c r="BG29" s="35"/>
    </row>
    <row r="30" spans="1:59" hidden="1" x14ac:dyDescent="0.15">
      <c r="AU30" s="35"/>
      <c r="BE30" s="41"/>
      <c r="BF30" s="33"/>
      <c r="BG30" s="35"/>
    </row>
    <row r="31" spans="1:59" ht="14.25" customHeight="1" x14ac:dyDescent="0.15">
      <c r="L31" s="67"/>
      <c r="M31" s="175"/>
      <c r="N31" s="175"/>
      <c r="O31" s="175"/>
      <c r="P31" s="175"/>
      <c r="Q31" s="175"/>
      <c r="R31" s="175"/>
      <c r="S31" s="191" t="str">
        <f>IF(MAX(AA22:AC29)&lt;&gt;MIN(AA22:AC29),"追加ﾊﾟｽ数異なるため課長に報告のこと","")</f>
        <v/>
      </c>
      <c r="T31" s="191"/>
      <c r="U31" s="191"/>
      <c r="V31" s="191"/>
      <c r="W31" s="191"/>
      <c r="X31" s="191"/>
      <c r="Y31" s="191"/>
      <c r="Z31" s="191"/>
      <c r="AA31" s="191"/>
      <c r="AB31" s="191"/>
      <c r="AC31" s="191"/>
      <c r="AD31" s="191"/>
      <c r="AE31" s="191"/>
      <c r="AF31" s="191"/>
      <c r="AG31" s="191"/>
      <c r="AH31" s="191"/>
      <c r="AI31" s="191"/>
      <c r="AJ31" s="191"/>
      <c r="AK31" s="191"/>
      <c r="AL31" s="191"/>
      <c r="AM31" s="191"/>
      <c r="AN31" s="191"/>
      <c r="BE31" s="41"/>
      <c r="BF31" s="51"/>
    </row>
    <row r="32" spans="1:59" ht="13.5" customHeight="1" x14ac:dyDescent="0.15">
      <c r="S32" s="191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BE32" s="41"/>
      <c r="BF32" s="51"/>
    </row>
    <row r="33" spans="1:58" ht="13.5" customHeight="1" x14ac:dyDescent="0.15"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BE33" s="41"/>
      <c r="BF33" s="51"/>
    </row>
    <row r="34" spans="1:58" ht="13.5" customHeight="1" x14ac:dyDescent="0.15">
      <c r="BE34" s="41"/>
      <c r="BF34" s="51"/>
    </row>
    <row r="35" spans="1:58" ht="13.5" customHeight="1" x14ac:dyDescent="0.15">
      <c r="BE35" s="41"/>
      <c r="BF35" s="51"/>
    </row>
    <row r="36" spans="1:58" ht="13.5" customHeight="1" x14ac:dyDescent="0.15">
      <c r="BE36" s="41"/>
      <c r="BF36" s="51"/>
    </row>
    <row r="37" spans="1:58" ht="13.5" customHeight="1" x14ac:dyDescent="0.15">
      <c r="B37" t="s">
        <v>122</v>
      </c>
      <c r="BE37" s="41"/>
      <c r="BF37" s="51"/>
    </row>
    <row r="38" spans="1:58" ht="9.75" customHeight="1" x14ac:dyDescent="0.15">
      <c r="BE38" s="41"/>
      <c r="BF38" s="51"/>
    </row>
    <row r="39" spans="1:58" ht="17.25" customHeight="1" x14ac:dyDescent="0.15">
      <c r="BE39" s="41"/>
      <c r="BF39" s="51"/>
    </row>
    <row r="40" spans="1:58" ht="17.25" customHeight="1" x14ac:dyDescent="0.15">
      <c r="BE40" s="41"/>
      <c r="BF40" s="51"/>
    </row>
    <row r="41" spans="1:58" ht="17.25" hidden="1" customHeight="1" x14ac:dyDescent="0.15">
      <c r="A41" s="35">
        <v>1</v>
      </c>
      <c r="B41" s="35">
        <v>2</v>
      </c>
      <c r="C41" s="35">
        <v>3</v>
      </c>
      <c r="D41" s="35">
        <v>4</v>
      </c>
      <c r="E41" s="35">
        <v>5</v>
      </c>
      <c r="F41" s="35">
        <v>6</v>
      </c>
      <c r="G41" s="35">
        <v>7</v>
      </c>
      <c r="H41" s="35">
        <v>8</v>
      </c>
      <c r="I41" s="35">
        <v>9</v>
      </c>
      <c r="J41" s="35">
        <v>10</v>
      </c>
      <c r="K41" s="35">
        <v>11</v>
      </c>
      <c r="L41" s="35"/>
      <c r="M41" s="35">
        <v>13</v>
      </c>
      <c r="N41" s="35">
        <v>14</v>
      </c>
      <c r="O41" s="35">
        <v>15</v>
      </c>
      <c r="P41" s="35">
        <v>16</v>
      </c>
      <c r="Q41" s="35">
        <v>17</v>
      </c>
      <c r="R41" s="35">
        <v>18</v>
      </c>
      <c r="S41" s="35">
        <v>19</v>
      </c>
      <c r="T41" s="35">
        <v>20</v>
      </c>
      <c r="U41" s="35">
        <v>21</v>
      </c>
      <c r="V41" s="35">
        <v>22</v>
      </c>
      <c r="W41" s="35">
        <v>23</v>
      </c>
      <c r="X41" s="35">
        <v>24</v>
      </c>
      <c r="Y41" s="35">
        <v>25</v>
      </c>
      <c r="Z41" s="35">
        <v>26</v>
      </c>
      <c r="AA41" s="35">
        <v>27</v>
      </c>
      <c r="AB41" s="35">
        <v>28</v>
      </c>
      <c r="AC41" s="35">
        <v>29</v>
      </c>
      <c r="AD41" s="35">
        <v>30</v>
      </c>
      <c r="AE41" s="35">
        <v>31</v>
      </c>
      <c r="AF41" s="35">
        <v>32</v>
      </c>
      <c r="AG41" s="35">
        <v>33</v>
      </c>
      <c r="AH41" s="35">
        <v>34</v>
      </c>
      <c r="AI41" s="35">
        <v>35</v>
      </c>
      <c r="AJ41" s="35">
        <v>36</v>
      </c>
      <c r="AK41" s="35">
        <v>37</v>
      </c>
      <c r="AL41" s="35">
        <v>38</v>
      </c>
      <c r="AM41" s="35">
        <v>39</v>
      </c>
      <c r="AN41" s="35">
        <v>40</v>
      </c>
      <c r="AO41" s="35">
        <v>41</v>
      </c>
      <c r="AP41" s="35">
        <v>42</v>
      </c>
      <c r="AQ41" s="35">
        <v>43</v>
      </c>
      <c r="BE41" s="51"/>
      <c r="BF41" s="51"/>
    </row>
    <row r="42" spans="1:58" ht="17.25" hidden="1" customHeight="1" x14ac:dyDescent="0.15">
      <c r="A42" s="39" t="s">
        <v>0</v>
      </c>
      <c r="B42" s="39" t="s">
        <v>1</v>
      </c>
      <c r="C42" s="39" t="s">
        <v>2</v>
      </c>
      <c r="D42" s="39" t="s">
        <v>3</v>
      </c>
      <c r="E42" s="39" t="s">
        <v>4</v>
      </c>
      <c r="F42" s="39" t="s">
        <v>5</v>
      </c>
      <c r="G42" s="39" t="s">
        <v>6</v>
      </c>
      <c r="H42" s="39" t="s">
        <v>7</v>
      </c>
      <c r="I42" s="39" t="s">
        <v>8</v>
      </c>
      <c r="J42" s="39" t="s">
        <v>9</v>
      </c>
      <c r="K42" s="39" t="s">
        <v>10</v>
      </c>
      <c r="L42" s="39"/>
      <c r="M42" s="39" t="s">
        <v>11</v>
      </c>
      <c r="N42" s="39" t="s">
        <v>12</v>
      </c>
      <c r="O42" s="39" t="s">
        <v>13</v>
      </c>
      <c r="P42" s="39" t="s">
        <v>14</v>
      </c>
      <c r="Q42" s="39" t="s">
        <v>15</v>
      </c>
      <c r="R42" s="39" t="s">
        <v>16</v>
      </c>
      <c r="S42" s="39" t="s">
        <v>17</v>
      </c>
      <c r="T42" s="39" t="s">
        <v>18</v>
      </c>
      <c r="U42" s="39" t="s">
        <v>19</v>
      </c>
      <c r="V42" s="39" t="s">
        <v>20</v>
      </c>
      <c r="W42" s="39" t="s">
        <v>21</v>
      </c>
      <c r="X42" s="39" t="s">
        <v>22</v>
      </c>
      <c r="Y42" s="39" t="s">
        <v>23</v>
      </c>
      <c r="Z42" s="39" t="s">
        <v>24</v>
      </c>
      <c r="AA42" s="39" t="s">
        <v>25</v>
      </c>
      <c r="AB42" s="39" t="s">
        <v>26</v>
      </c>
      <c r="AC42" s="39" t="s">
        <v>27</v>
      </c>
      <c r="AD42" s="39" t="s">
        <v>28</v>
      </c>
      <c r="AE42" s="39" t="s">
        <v>29</v>
      </c>
      <c r="AF42" s="39" t="s">
        <v>30</v>
      </c>
      <c r="AG42" s="39" t="s">
        <v>31</v>
      </c>
      <c r="AH42" s="39" t="s">
        <v>32</v>
      </c>
      <c r="AI42" s="39" t="s">
        <v>33</v>
      </c>
      <c r="AJ42" s="39" t="s">
        <v>34</v>
      </c>
      <c r="AK42" s="39" t="s">
        <v>35</v>
      </c>
      <c r="AL42" s="39" t="s">
        <v>36</v>
      </c>
      <c r="AM42" s="39" t="s">
        <v>37</v>
      </c>
      <c r="AN42" s="39" t="s">
        <v>38</v>
      </c>
      <c r="AO42" s="39" t="s">
        <v>39</v>
      </c>
      <c r="AP42" s="39" t="s">
        <v>64</v>
      </c>
      <c r="AQ42" s="39" t="s">
        <v>65</v>
      </c>
      <c r="BB42" s="35"/>
      <c r="BC42" s="35"/>
      <c r="BE42" s="51"/>
      <c r="BF42" s="51"/>
    </row>
    <row r="43" spans="1:58" ht="17.25" hidden="1" customHeight="1" x14ac:dyDescent="0.15">
      <c r="B43" s="35" t="str">
        <f t="shared" ref="B43:AQ43" si="1">IF(ISERROR(VLOOKUP(SenkNo,Data,B41,FALSE)),"",VLOOKUP(SenkNo,Data,B41,FALSE))</f>
        <v/>
      </c>
      <c r="C43" s="35" t="str">
        <f t="shared" si="1"/>
        <v/>
      </c>
      <c r="D43" s="35" t="str">
        <f t="shared" si="1"/>
        <v/>
      </c>
      <c r="E43" s="35" t="str">
        <f t="shared" si="1"/>
        <v/>
      </c>
      <c r="F43" s="35" t="str">
        <f t="shared" si="1"/>
        <v/>
      </c>
      <c r="G43" s="35" t="str">
        <f t="shared" si="1"/>
        <v/>
      </c>
      <c r="H43" s="35" t="str">
        <f t="shared" si="1"/>
        <v/>
      </c>
      <c r="I43" s="35" t="str">
        <f t="shared" si="1"/>
        <v/>
      </c>
      <c r="J43" s="35" t="str">
        <f t="shared" si="1"/>
        <v/>
      </c>
      <c r="K43" s="35" t="str">
        <f t="shared" si="1"/>
        <v/>
      </c>
      <c r="L43" s="35"/>
      <c r="M43" s="35" t="str">
        <f t="shared" si="1"/>
        <v/>
      </c>
      <c r="N43" s="35" t="str">
        <f t="shared" si="1"/>
        <v/>
      </c>
      <c r="O43" s="35" t="str">
        <f t="shared" si="1"/>
        <v/>
      </c>
      <c r="P43" s="35" t="str">
        <f t="shared" si="1"/>
        <v/>
      </c>
      <c r="Q43" s="35" t="str">
        <f t="shared" si="1"/>
        <v/>
      </c>
      <c r="R43" s="35" t="str">
        <f t="shared" si="1"/>
        <v/>
      </c>
      <c r="S43" s="35" t="str">
        <f t="shared" si="1"/>
        <v/>
      </c>
      <c r="T43" s="35" t="str">
        <f t="shared" si="1"/>
        <v/>
      </c>
      <c r="U43" s="35" t="str">
        <f t="shared" si="1"/>
        <v/>
      </c>
      <c r="V43" s="35" t="str">
        <f t="shared" si="1"/>
        <v/>
      </c>
      <c r="W43" s="35" t="str">
        <f t="shared" si="1"/>
        <v/>
      </c>
      <c r="X43" s="35" t="str">
        <f t="shared" si="1"/>
        <v/>
      </c>
      <c r="Y43" s="35" t="str">
        <f t="shared" si="1"/>
        <v/>
      </c>
      <c r="Z43" s="35" t="str">
        <f t="shared" si="1"/>
        <v/>
      </c>
      <c r="AA43" s="35" t="str">
        <f t="shared" si="1"/>
        <v/>
      </c>
      <c r="AB43" s="35" t="str">
        <f t="shared" si="1"/>
        <v/>
      </c>
      <c r="AC43" s="35" t="str">
        <f t="shared" si="1"/>
        <v/>
      </c>
      <c r="AD43" s="35" t="str">
        <f t="shared" si="1"/>
        <v/>
      </c>
      <c r="AE43" s="35" t="str">
        <f t="shared" si="1"/>
        <v/>
      </c>
      <c r="AF43" s="35" t="str">
        <f t="shared" si="1"/>
        <v/>
      </c>
      <c r="AG43" s="35" t="str">
        <f t="shared" si="1"/>
        <v/>
      </c>
      <c r="AH43" s="35" t="str">
        <f t="shared" si="1"/>
        <v/>
      </c>
      <c r="AI43" s="35" t="str">
        <f t="shared" si="1"/>
        <v/>
      </c>
      <c r="AJ43" s="35" t="str">
        <f t="shared" si="1"/>
        <v/>
      </c>
      <c r="AK43" s="35" t="str">
        <f t="shared" si="1"/>
        <v/>
      </c>
      <c r="AL43" s="35" t="str">
        <f t="shared" si="1"/>
        <v/>
      </c>
      <c r="AM43" s="35" t="str">
        <f t="shared" si="1"/>
        <v/>
      </c>
      <c r="AN43" s="35" t="str">
        <f t="shared" si="1"/>
        <v/>
      </c>
      <c r="AO43" s="35" t="str">
        <f t="shared" si="1"/>
        <v/>
      </c>
      <c r="AP43" s="35" t="str">
        <f t="shared" si="1"/>
        <v/>
      </c>
      <c r="AQ43" s="35" t="str">
        <f t="shared" si="1"/>
        <v/>
      </c>
      <c r="BB43" s="35"/>
      <c r="BC43" s="35"/>
      <c r="BE43" s="51"/>
      <c r="BF43" s="51"/>
    </row>
    <row r="44" spans="1:58" s="35" customFormat="1" ht="9.75" customHeight="1" x14ac:dyDescent="0.1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X44" s="38"/>
      <c r="AZ44" s="38"/>
      <c r="BE44" s="33"/>
      <c r="BF44" s="33"/>
    </row>
    <row r="45" spans="1:58" s="35" customFormat="1" ht="17.25" customHeight="1" x14ac:dyDescent="0.1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X45" s="38"/>
      <c r="AZ45" s="38"/>
      <c r="BB45"/>
      <c r="BC45"/>
      <c r="BE45" s="33"/>
      <c r="BF45" s="33"/>
    </row>
    <row r="46" spans="1:58" s="35" customFormat="1" ht="17.25" customHeight="1" x14ac:dyDescent="0.15">
      <c r="A46" s="35" t="str">
        <f>IF(ISERROR(VLOOKUP(TEXT(SenkNo,"0000"),Data,A41,FALSE)),"",VLOOKUP(TEXT(SenkNo,"0000"),Data,A41,FALSE))</f>
        <v/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 s="35" t="str">
        <f>IF(ISERROR(VLOOKUP(TEXT(SenkNo,"0000"),Data,AO41,FALSE)),"",VLOOKUP(TEXT(SenkNo,"0000"),Data,AO41,FALSE))</f>
        <v/>
      </c>
      <c r="AP46" s="35" t="str">
        <f>IF(ISERROR(VLOOKUP(TEXT(SenkNo,"0000"),Data,AP41,FALSE)),"",VLOOKUP(TEXT(SenkNo,"0000"),Data,AP41,FALSE))</f>
        <v/>
      </c>
      <c r="AQ46" s="35" t="str">
        <f>IF(ISERROR(VLOOKUP(TEXT(SenkNo,"0000"),Data,AQ41,FALSE)),"",VLOOKUP(TEXT(SenkNo,"0000"),Data,AQ41,FALSE))</f>
        <v/>
      </c>
      <c r="AV46"/>
      <c r="AW46"/>
      <c r="AX46" s="38"/>
      <c r="AZ46" s="38"/>
      <c r="BB46"/>
      <c r="BC46"/>
      <c r="BE46" s="33"/>
      <c r="BF46" s="33"/>
    </row>
    <row r="47" spans="1:58" ht="17.25" customHeight="1" x14ac:dyDescent="0.15"/>
    <row r="48" spans="1:58" ht="17.25" customHeight="1" x14ac:dyDescent="0.15"/>
    <row r="49" ht="17.25" customHeight="1" x14ac:dyDescent="0.15"/>
    <row r="50" ht="17.25" customHeight="1" x14ac:dyDescent="0.15"/>
    <row r="51" ht="17.25" customHeight="1" x14ac:dyDescent="0.15"/>
    <row r="52" ht="17.25" customHeight="1" x14ac:dyDescent="0.15"/>
    <row r="53" ht="17.25" customHeight="1" x14ac:dyDescent="0.15"/>
    <row r="54" ht="17.25" customHeight="1" x14ac:dyDescent="0.15"/>
    <row r="55" ht="17.25" customHeight="1" x14ac:dyDescent="0.15"/>
  </sheetData>
  <sheetProtection selectLockedCells="1"/>
  <customSheetViews>
    <customSheetView guid="{483C5E02-A279-4E47-B34C-46BF3C195F01}" scale="90" showGridLines="0" showRowCol="0" zeroValues="0" showRuler="0">
      <pane xSplit="41" ySplit="25" topLeftCell="AP26" activePane="bottomRight" state="frozen"/>
      <selection pane="bottomRight" activeCell="B7" sqref="B7:F7"/>
      <pageMargins left="0.78740157480314965" right="0.78740157480314965" top="0.98425196850393704" bottom="0.98425196850393704" header="0.51181102362204722" footer="0.51181102362204722"/>
      <pageSetup paperSize="9" scale="90" orientation="landscape" blackAndWhite="1" verticalDpi="180" r:id="rId1"/>
      <headerFooter alignWithMargins="0"/>
    </customSheetView>
  </customSheetViews>
  <mergeCells count="195">
    <mergeCell ref="S31:AN32"/>
    <mergeCell ref="S6:V6"/>
    <mergeCell ref="AA7:AB7"/>
    <mergeCell ref="AD7:AE7"/>
    <mergeCell ref="W8:Z8"/>
    <mergeCell ref="S24:V24"/>
    <mergeCell ref="AA25:AC25"/>
    <mergeCell ref="W23:Z23"/>
    <mergeCell ref="AD24:AN24"/>
    <mergeCell ref="AA20:AN20"/>
    <mergeCell ref="S22:V22"/>
    <mergeCell ref="S23:V23"/>
    <mergeCell ref="W21:Z21"/>
    <mergeCell ref="S21:V21"/>
    <mergeCell ref="AD21:AN21"/>
    <mergeCell ref="AD23:AN23"/>
    <mergeCell ref="AA22:AC22"/>
    <mergeCell ref="W22:Z22"/>
    <mergeCell ref="AD22:AN22"/>
    <mergeCell ref="W9:Z9"/>
    <mergeCell ref="AD28:AN28"/>
    <mergeCell ref="AD27:AN27"/>
    <mergeCell ref="W13:Z13"/>
    <mergeCell ref="AA13:AC13"/>
    <mergeCell ref="M31:R31"/>
    <mergeCell ref="W10:Z10"/>
    <mergeCell ref="W11:Z11"/>
    <mergeCell ref="AG7:AI7"/>
    <mergeCell ref="AG8:AN8"/>
    <mergeCell ref="AJ7:AL7"/>
    <mergeCell ref="AD11:AF11"/>
    <mergeCell ref="AG11:AN11"/>
    <mergeCell ref="S10:V10"/>
    <mergeCell ref="W25:Z25"/>
    <mergeCell ref="AA11:AC11"/>
    <mergeCell ref="K19:AN19"/>
    <mergeCell ref="AG12:AN12"/>
    <mergeCell ref="AD12:AF12"/>
    <mergeCell ref="AA12:AC12"/>
    <mergeCell ref="W12:Z12"/>
    <mergeCell ref="W20:Z20"/>
    <mergeCell ref="O20:R20"/>
    <mergeCell ref="S20:V20"/>
    <mergeCell ref="S25:V25"/>
    <mergeCell ref="AD25:AN25"/>
    <mergeCell ref="AA23:AC23"/>
    <mergeCell ref="AA24:AC24"/>
    <mergeCell ref="W24:Z24"/>
    <mergeCell ref="AK1:AN1"/>
    <mergeCell ref="AK2:AN4"/>
    <mergeCell ref="AA5:AN5"/>
    <mergeCell ref="AG10:AN10"/>
    <mergeCell ref="AA9:AC9"/>
    <mergeCell ref="AD9:AF9"/>
    <mergeCell ref="AG9:AN9"/>
    <mergeCell ref="AM7:AN7"/>
    <mergeCell ref="AG6:AI6"/>
    <mergeCell ref="AD10:AF10"/>
    <mergeCell ref="AD8:AF8"/>
    <mergeCell ref="AA6:AB6"/>
    <mergeCell ref="AD6:AE6"/>
    <mergeCell ref="AJ6:AL6"/>
    <mergeCell ref="AM6:AN6"/>
    <mergeCell ref="M3:Y3"/>
    <mergeCell ref="W6:Z6"/>
    <mergeCell ref="K7:N7"/>
    <mergeCell ref="O7:R7"/>
    <mergeCell ref="W7:Z7"/>
    <mergeCell ref="S7:V7"/>
    <mergeCell ref="B5:Z5"/>
    <mergeCell ref="K6:N6"/>
    <mergeCell ref="AA10:AC10"/>
    <mergeCell ref="AA8:AC8"/>
    <mergeCell ref="K8:N8"/>
    <mergeCell ref="B6:F6"/>
    <mergeCell ref="G6:J6"/>
    <mergeCell ref="G7:J7"/>
    <mergeCell ref="O6:R6"/>
    <mergeCell ref="B7:F7"/>
    <mergeCell ref="C22:F22"/>
    <mergeCell ref="O11:R11"/>
    <mergeCell ref="S11:V11"/>
    <mergeCell ref="C12:F12"/>
    <mergeCell ref="B8:F8"/>
    <mergeCell ref="G9:J9"/>
    <mergeCell ref="K12:N12"/>
    <mergeCell ref="O12:R12"/>
    <mergeCell ref="S12:V12"/>
    <mergeCell ref="C11:F11"/>
    <mergeCell ref="K9:N9"/>
    <mergeCell ref="O9:R9"/>
    <mergeCell ref="S9:V9"/>
    <mergeCell ref="O8:R8"/>
    <mergeCell ref="S8:V8"/>
    <mergeCell ref="K10:N10"/>
    <mergeCell ref="O10:R10"/>
    <mergeCell ref="C9:F9"/>
    <mergeCell ref="C10:F10"/>
    <mergeCell ref="G8:J8"/>
    <mergeCell ref="O13:R13"/>
    <mergeCell ref="S13:V13"/>
    <mergeCell ref="C25:F25"/>
    <mergeCell ref="G25:J25"/>
    <mergeCell ref="K25:N25"/>
    <mergeCell ref="O25:R25"/>
    <mergeCell ref="B19:F19"/>
    <mergeCell ref="G19:J19"/>
    <mergeCell ref="G12:J12"/>
    <mergeCell ref="G10:J10"/>
    <mergeCell ref="K20:N20"/>
    <mergeCell ref="B20:F20"/>
    <mergeCell ref="G20:J20"/>
    <mergeCell ref="G22:J22"/>
    <mergeCell ref="K22:N22"/>
    <mergeCell ref="G21:J21"/>
    <mergeCell ref="K21:N21"/>
    <mergeCell ref="G11:J11"/>
    <mergeCell ref="K11:N11"/>
    <mergeCell ref="B9:B12"/>
    <mergeCell ref="B13:B16"/>
    <mergeCell ref="C13:F13"/>
    <mergeCell ref="C14:F14"/>
    <mergeCell ref="C15:F15"/>
    <mergeCell ref="C16:F16"/>
    <mergeCell ref="G13:J13"/>
    <mergeCell ref="AD13:AF13"/>
    <mergeCell ref="AG13:AN13"/>
    <mergeCell ref="G14:J14"/>
    <mergeCell ref="K14:N14"/>
    <mergeCell ref="O14:R14"/>
    <mergeCell ref="S14:V14"/>
    <mergeCell ref="W14:Z14"/>
    <mergeCell ref="AA14:AC14"/>
    <mergeCell ref="AD14:AF14"/>
    <mergeCell ref="AG14:AN14"/>
    <mergeCell ref="K13:N13"/>
    <mergeCell ref="C28:F28"/>
    <mergeCell ref="G28:J28"/>
    <mergeCell ref="K28:N28"/>
    <mergeCell ref="O28:R28"/>
    <mergeCell ref="S28:V28"/>
    <mergeCell ref="W28:Z28"/>
    <mergeCell ref="AA28:AC28"/>
    <mergeCell ref="K15:N15"/>
    <mergeCell ref="O15:R15"/>
    <mergeCell ref="S15:V15"/>
    <mergeCell ref="W15:Z15"/>
    <mergeCell ref="AA15:AC15"/>
    <mergeCell ref="O21:R21"/>
    <mergeCell ref="C23:F23"/>
    <mergeCell ref="O22:R22"/>
    <mergeCell ref="G23:J23"/>
    <mergeCell ref="K23:N23"/>
    <mergeCell ref="O23:R23"/>
    <mergeCell ref="B21:F21"/>
    <mergeCell ref="B22:B25"/>
    <mergeCell ref="G24:J24"/>
    <mergeCell ref="K24:N24"/>
    <mergeCell ref="O24:R24"/>
    <mergeCell ref="C24:F24"/>
    <mergeCell ref="AD15:AF15"/>
    <mergeCell ref="AG15:AN15"/>
    <mergeCell ref="G16:J16"/>
    <mergeCell ref="K16:N16"/>
    <mergeCell ref="O16:R16"/>
    <mergeCell ref="S16:V16"/>
    <mergeCell ref="W16:Z16"/>
    <mergeCell ref="AA16:AC16"/>
    <mergeCell ref="AD16:AF16"/>
    <mergeCell ref="AG16:AN16"/>
    <mergeCell ref="G15:J15"/>
    <mergeCell ref="C29:F29"/>
    <mergeCell ref="G29:J29"/>
    <mergeCell ref="K29:N29"/>
    <mergeCell ref="O29:R29"/>
    <mergeCell ref="S29:V29"/>
    <mergeCell ref="W29:Z29"/>
    <mergeCell ref="AA29:AC29"/>
    <mergeCell ref="AD29:AN29"/>
    <mergeCell ref="B26:B29"/>
    <mergeCell ref="C26:F26"/>
    <mergeCell ref="G26:J26"/>
    <mergeCell ref="K26:N26"/>
    <mergeCell ref="O26:R26"/>
    <mergeCell ref="S26:V26"/>
    <mergeCell ref="W26:Z26"/>
    <mergeCell ref="AA26:AC26"/>
    <mergeCell ref="AD26:AN26"/>
    <mergeCell ref="C27:F27"/>
    <mergeCell ref="G27:J27"/>
    <mergeCell ref="K27:N27"/>
    <mergeCell ref="O27:R27"/>
    <mergeCell ref="S27:V27"/>
    <mergeCell ref="W27:Z27"/>
    <mergeCell ref="AA27:AC27"/>
  </mergeCells>
  <phoneticPr fontId="2"/>
  <conditionalFormatting sqref="O7:R7">
    <cfRule type="expression" dxfId="5" priority="6" stopIfTrue="1">
      <formula>$O$7=""</formula>
    </cfRule>
  </conditionalFormatting>
  <conditionalFormatting sqref="S31:AN32">
    <cfRule type="expression" dxfId="4" priority="7" stopIfTrue="1">
      <formula>$S$31&lt;&gt;""</formula>
    </cfRule>
  </conditionalFormatting>
  <conditionalFormatting sqref="L3:M3">
    <cfRule type="expression" dxfId="3" priority="9" stopIfTrue="1">
      <formula>$BF$3&gt;$BG$3</formula>
    </cfRule>
  </conditionalFormatting>
  <conditionalFormatting sqref="AA22:AC25">
    <cfRule type="expression" dxfId="2" priority="3">
      <formula>AA22&lt;=0</formula>
    </cfRule>
  </conditionalFormatting>
  <conditionalFormatting sqref="A1">
    <cfRule type="expression" dxfId="1" priority="2">
      <formula>$A$1&lt;&gt;""</formula>
    </cfRule>
  </conditionalFormatting>
  <conditionalFormatting sqref="AA26:AC29">
    <cfRule type="expression" dxfId="0" priority="1">
      <formula>AA26&lt;=0</formula>
    </cfRule>
  </conditionalFormatting>
  <dataValidations count="4">
    <dataValidation type="list" allowBlank="1" showInputMessage="1" showErrorMessage="1" sqref="O7:R7" xr:uid="{00000000-0002-0000-0000-000000000000}">
      <formula1>SyainTB</formula1>
    </dataValidation>
    <dataValidation type="list" allowBlank="1" showInputMessage="1" showErrorMessage="1" sqref="B7:F7" xr:uid="{00000000-0002-0000-0000-000001000000}">
      <formula1>SebkNoTB</formula1>
    </dataValidation>
    <dataValidation type="list" allowBlank="1" showInputMessage="1" showErrorMessage="1" sqref="G20:J20" xr:uid="{00000000-0002-0000-0000-000002000000}">
      <formula1>SenSyu</formula1>
    </dataValidation>
    <dataValidation type="list" allowBlank="1" showInputMessage="1" showErrorMessage="1" sqref="AG7:AI7" xr:uid="{00000000-0002-0000-0000-000003000000}">
      <formula1>$BC$12:$BC$17</formula1>
    </dataValidation>
  </dataValidations>
  <pageMargins left="0.78740157480314965" right="0.78740157480314965" top="0.98425196850393704" bottom="0.98425196850393704" header="0.51181102362204722" footer="0.51181102362204722"/>
  <pageSetup paperSize="9" scale="92" orientation="landscape" blackAndWhite="1" horizontalDpi="4294967293" verticalDpi="18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Q30"/>
  <sheetViews>
    <sheetView workbookViewId="0"/>
  </sheetViews>
  <sheetFormatPr defaultRowHeight="14.25" x14ac:dyDescent="0.15"/>
  <cols>
    <col min="1" max="1" width="12.75" customWidth="1"/>
    <col min="2" max="7" width="9.25" customWidth="1"/>
    <col min="8" max="8" width="9.125" customWidth="1"/>
    <col min="9" max="9" width="13.625" customWidth="1"/>
    <col min="10" max="16" width="8.25" customWidth="1"/>
    <col min="17" max="17" width="11.75" customWidth="1"/>
    <col min="18" max="24" width="8.25" customWidth="1"/>
    <col min="25" max="25" width="13.625" customWidth="1"/>
    <col min="26" max="32" width="8.25" customWidth="1"/>
    <col min="43" max="43" width="22.75" customWidth="1"/>
  </cols>
  <sheetData>
    <row r="1" spans="1:43" s="44" customFormat="1" x14ac:dyDescent="0.15">
      <c r="A1" s="48" t="s">
        <v>1</v>
      </c>
      <c r="B1" s="48" t="s">
        <v>65</v>
      </c>
      <c r="C1" s="48" t="s">
        <v>4</v>
      </c>
      <c r="D1" s="48" t="s">
        <v>64</v>
      </c>
      <c r="E1" s="48" t="s">
        <v>5</v>
      </c>
      <c r="F1" s="48" t="s">
        <v>6</v>
      </c>
      <c r="G1" s="48" t="s">
        <v>7</v>
      </c>
      <c r="H1" s="48" t="s">
        <v>8</v>
      </c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</row>
    <row r="2" spans="1:43" s="44" customFormat="1" x14ac:dyDescent="0.15">
      <c r="A2" s="48" t="s">
        <v>166</v>
      </c>
      <c r="B2" s="48" t="s">
        <v>167</v>
      </c>
      <c r="C2" s="48" t="s">
        <v>239</v>
      </c>
      <c r="D2" s="48" t="s">
        <v>159</v>
      </c>
      <c r="E2" s="48" t="s">
        <v>168</v>
      </c>
      <c r="F2" s="48" t="s">
        <v>157</v>
      </c>
      <c r="G2" s="48" t="s">
        <v>156</v>
      </c>
      <c r="H2" s="48" t="s">
        <v>168</v>
      </c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</row>
    <row r="3" spans="1:43" s="44" customFormat="1" x14ac:dyDescent="0.1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</row>
    <row r="4" spans="1:43" s="44" customFormat="1" x14ac:dyDescent="0.15">
      <c r="A4" s="48" t="s">
        <v>169</v>
      </c>
      <c r="B4" s="48" t="s">
        <v>170</v>
      </c>
      <c r="C4" s="48" t="s">
        <v>160</v>
      </c>
      <c r="D4" s="48" t="s">
        <v>171</v>
      </c>
      <c r="E4" s="48" t="s">
        <v>172</v>
      </c>
      <c r="F4" s="48" t="s">
        <v>173</v>
      </c>
      <c r="G4" s="48" t="s">
        <v>174</v>
      </c>
      <c r="H4" s="48" t="s">
        <v>175</v>
      </c>
      <c r="I4" s="48" t="s">
        <v>176</v>
      </c>
      <c r="J4" s="48" t="s">
        <v>177</v>
      </c>
      <c r="K4" s="48" t="s">
        <v>178</v>
      </c>
      <c r="L4" s="48" t="s">
        <v>218</v>
      </c>
      <c r="M4" s="48" t="s">
        <v>219</v>
      </c>
      <c r="N4" s="48" t="s">
        <v>220</v>
      </c>
      <c r="O4" s="48" t="s">
        <v>221</v>
      </c>
      <c r="P4" s="48" t="s">
        <v>222</v>
      </c>
      <c r="Q4" s="48" t="s">
        <v>223</v>
      </c>
      <c r="R4" s="48" t="s">
        <v>224</v>
      </c>
      <c r="S4" s="48" t="s">
        <v>225</v>
      </c>
      <c r="T4" s="48" t="s">
        <v>226</v>
      </c>
      <c r="U4" s="48" t="s">
        <v>227</v>
      </c>
      <c r="V4" s="48" t="s">
        <v>228</v>
      </c>
      <c r="W4" s="48" t="s">
        <v>229</v>
      </c>
      <c r="X4" s="48" t="s">
        <v>230</v>
      </c>
      <c r="Y4" s="48" t="s">
        <v>168</v>
      </c>
      <c r="Z4" s="48" t="s">
        <v>231</v>
      </c>
      <c r="AA4" s="48" t="s">
        <v>232</v>
      </c>
      <c r="AB4" s="48" t="s">
        <v>233</v>
      </c>
      <c r="AC4" s="48" t="s">
        <v>234</v>
      </c>
      <c r="AD4" s="48" t="s">
        <v>235</v>
      </c>
      <c r="AE4" s="48" t="s">
        <v>236</v>
      </c>
      <c r="AF4" s="48" t="s">
        <v>237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</row>
    <row r="5" spans="1:43" s="44" customFormat="1" x14ac:dyDescent="0.1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</row>
    <row r="6" spans="1:43" s="44" customFormat="1" x14ac:dyDescent="0.1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</row>
    <row r="7" spans="1:43" s="44" customFormat="1" x14ac:dyDescent="0.1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</row>
    <row r="8" spans="1:43" s="44" customFormat="1" x14ac:dyDescent="0.1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</row>
    <row r="9" spans="1:43" s="44" customFormat="1" x14ac:dyDescent="0.1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</row>
    <row r="10" spans="1:43" s="56" customFormat="1" ht="28.5" x14ac:dyDescent="0.15">
      <c r="A10" s="55" t="s">
        <v>186</v>
      </c>
      <c r="B10" s="55" t="s">
        <v>187</v>
      </c>
      <c r="C10" s="55" t="s">
        <v>188</v>
      </c>
      <c r="D10" s="55" t="s">
        <v>189</v>
      </c>
      <c r="E10" s="55" t="s">
        <v>190</v>
      </c>
      <c r="F10" s="55" t="s">
        <v>191</v>
      </c>
      <c r="G10" s="55" t="s">
        <v>192</v>
      </c>
      <c r="H10" s="55" t="s">
        <v>193</v>
      </c>
      <c r="I10" s="55" t="s">
        <v>194</v>
      </c>
      <c r="J10" s="55" t="s">
        <v>195</v>
      </c>
      <c r="K10" s="55" t="s">
        <v>196</v>
      </c>
      <c r="L10" s="55" t="s">
        <v>197</v>
      </c>
      <c r="M10" s="55" t="s">
        <v>198</v>
      </c>
      <c r="N10" s="55" t="s">
        <v>199</v>
      </c>
      <c r="O10" s="55" t="s">
        <v>200</v>
      </c>
      <c r="P10" s="55" t="s">
        <v>201</v>
      </c>
      <c r="Q10" s="55" t="s">
        <v>202</v>
      </c>
      <c r="R10" s="55" t="s">
        <v>203</v>
      </c>
      <c r="S10" s="55" t="s">
        <v>204</v>
      </c>
      <c r="T10" s="55" t="s">
        <v>205</v>
      </c>
      <c r="U10" s="55" t="s">
        <v>206</v>
      </c>
      <c r="V10" s="55" t="s">
        <v>207</v>
      </c>
      <c r="W10" s="55" t="s">
        <v>208</v>
      </c>
      <c r="X10" s="55" t="s">
        <v>209</v>
      </c>
      <c r="Y10" s="55" t="s">
        <v>210</v>
      </c>
      <c r="Z10" s="55" t="s">
        <v>211</v>
      </c>
      <c r="AA10" s="55" t="s">
        <v>212</v>
      </c>
      <c r="AB10" s="55" t="s">
        <v>213</v>
      </c>
      <c r="AC10" s="55" t="s">
        <v>214</v>
      </c>
      <c r="AD10" s="55" t="s">
        <v>215</v>
      </c>
      <c r="AE10" s="55" t="s">
        <v>216</v>
      </c>
      <c r="AF10" s="55" t="s">
        <v>217</v>
      </c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</row>
    <row r="11" spans="1:43" s="44" customFormat="1" x14ac:dyDescent="0.15">
      <c r="A11" s="48">
        <v>2017057775</v>
      </c>
      <c r="B11" s="48" t="s">
        <v>158</v>
      </c>
      <c r="C11" s="48" t="s">
        <v>180</v>
      </c>
      <c r="D11" s="48" t="s">
        <v>182</v>
      </c>
      <c r="E11" s="48" t="s">
        <v>182</v>
      </c>
      <c r="F11" s="48" t="s">
        <v>183</v>
      </c>
      <c r="G11" s="48" t="s">
        <v>185</v>
      </c>
      <c r="H11" s="48" t="s">
        <v>184</v>
      </c>
      <c r="I11" s="48" t="s">
        <v>240</v>
      </c>
      <c r="J11" s="48" t="s">
        <v>241</v>
      </c>
      <c r="K11" s="48" t="s">
        <v>242</v>
      </c>
      <c r="L11" s="48" t="s">
        <v>243</v>
      </c>
      <c r="M11" s="48" t="s">
        <v>244</v>
      </c>
      <c r="N11" s="48" t="s">
        <v>245</v>
      </c>
      <c r="O11" s="48" t="s">
        <v>246</v>
      </c>
      <c r="P11" s="48" t="s">
        <v>247</v>
      </c>
      <c r="Q11" s="48" t="s">
        <v>248</v>
      </c>
      <c r="R11" s="48" t="s">
        <v>179</v>
      </c>
      <c r="S11" s="48" t="s">
        <v>181</v>
      </c>
      <c r="T11" s="48" t="s">
        <v>182</v>
      </c>
      <c r="U11" s="48" t="s">
        <v>249</v>
      </c>
      <c r="V11" s="48" t="s">
        <v>250</v>
      </c>
      <c r="W11" s="48" t="s">
        <v>185</v>
      </c>
      <c r="X11" s="48" t="s">
        <v>184</v>
      </c>
      <c r="Y11" s="48" t="s">
        <v>251</v>
      </c>
      <c r="Z11" s="48" t="s">
        <v>252</v>
      </c>
      <c r="AA11" s="48" t="s">
        <v>252</v>
      </c>
      <c r="AB11" s="48" t="s">
        <v>253</v>
      </c>
      <c r="AC11" s="48" t="s">
        <v>253</v>
      </c>
      <c r="AD11" s="48" t="s">
        <v>254</v>
      </c>
      <c r="AE11" s="48" t="s">
        <v>255</v>
      </c>
      <c r="AF11" s="48" t="s">
        <v>256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</row>
    <row r="12" spans="1:43" s="44" customFormat="1" x14ac:dyDescent="0.1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</row>
    <row r="13" spans="1:43" s="44" customFormat="1" x14ac:dyDescent="0.1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</row>
    <row r="14" spans="1:43" s="44" customFormat="1" x14ac:dyDescent="0.1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</row>
    <row r="15" spans="1:43" s="44" customFormat="1" x14ac:dyDescent="0.1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</row>
    <row r="16" spans="1:43" s="44" customFormat="1" x14ac:dyDescent="0.1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</row>
    <row r="17" spans="1:43" s="44" customFormat="1" x14ac:dyDescent="0.1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</row>
    <row r="18" spans="1:43" s="44" customFormat="1" x14ac:dyDescent="0.1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</row>
    <row r="19" spans="1:43" s="44" customFormat="1" x14ac:dyDescent="0.1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</row>
    <row r="20" spans="1:43" s="44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</row>
    <row r="21" spans="1:43" s="44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</row>
    <row r="22" spans="1:43" s="44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</row>
    <row r="23" spans="1:43" s="44" customFormat="1" x14ac:dyDescent="0.15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</row>
    <row r="24" spans="1:43" s="44" customFormat="1" x14ac:dyDescent="0.1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</row>
    <row r="25" spans="1:43" s="44" customFormat="1" x14ac:dyDescent="0.1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</row>
    <row r="26" spans="1:43" s="44" customFormat="1" x14ac:dyDescent="0.1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</row>
    <row r="27" spans="1:43" s="44" customFormat="1" x14ac:dyDescent="0.15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</row>
    <row r="28" spans="1:43" s="44" customFormat="1" x14ac:dyDescent="0.1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</row>
    <row r="29" spans="1:43" s="44" customFormat="1" x14ac:dyDescent="0.15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</row>
    <row r="30" spans="1:43" s="44" customFormat="1" x14ac:dyDescent="0.1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</row>
  </sheetData>
  <sheetProtection sheet="1" objects="1" scenarios="1"/>
  <sortState xmlns:xlrd2="http://schemas.microsoft.com/office/spreadsheetml/2017/richdata2" ref="A2:AQ7">
    <sortCondition ref="A2:A7"/>
    <sortCondition ref="AP2:AP7"/>
  </sortState>
  <phoneticPr fontId="2"/>
  <pageMargins left="0.75" right="0.75" top="1" bottom="1" header="0.51200000000000001" footer="0.51200000000000001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E56"/>
  <sheetViews>
    <sheetView workbookViewId="0">
      <pane xSplit="31" ySplit="13" topLeftCell="AF14" activePane="bottomRight" state="frozen"/>
      <selection pane="topRight" activeCell="AE1" sqref="AE1"/>
      <selection pane="bottomLeft" activeCell="A5" sqref="A5"/>
      <selection pane="bottomRight" activeCell="U6" sqref="U6"/>
    </sheetView>
  </sheetViews>
  <sheetFormatPr defaultColWidth="2.875" defaultRowHeight="14.25" customHeight="1" x14ac:dyDescent="0.15"/>
  <cols>
    <col min="1" max="21" width="2.875" style="1" customWidth="1"/>
    <col min="22" max="22" width="3.125" style="1" customWidth="1"/>
    <col min="23" max="16384" width="2.875" style="1"/>
  </cols>
  <sheetData>
    <row r="1" spans="1:31" ht="14.25" customHeight="1" x14ac:dyDescent="0.15">
      <c r="F1" s="203" t="s">
        <v>121</v>
      </c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</row>
    <row r="2" spans="1:31" ht="14.25" customHeight="1" x14ac:dyDescent="0.15"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</row>
    <row r="3" spans="1:31" ht="14.25" customHeight="1" x14ac:dyDescent="0.15">
      <c r="A3" s="39" t="s">
        <v>271</v>
      </c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</row>
    <row r="4" spans="1:31" ht="14.25" customHeight="1" x14ac:dyDescent="0.15"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</row>
    <row r="5" spans="1:31" ht="14.25" customHeight="1" x14ac:dyDescent="0.15"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</row>
    <row r="6" spans="1:31" ht="14.25" customHeight="1" x14ac:dyDescent="0.15"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</row>
    <row r="7" spans="1:31" ht="14.25" customHeight="1" x14ac:dyDescent="0.15"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</row>
    <row r="8" spans="1:31" ht="14.25" customHeight="1" x14ac:dyDescent="0.15"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</row>
    <row r="11" spans="1:31" ht="14.25" customHeight="1" x14ac:dyDescent="0.15">
      <c r="A11" s="2"/>
      <c r="B11" s="4"/>
      <c r="C11" s="2"/>
      <c r="D11" s="3"/>
      <c r="E11" s="3"/>
      <c r="F11" s="3"/>
      <c r="G11" s="3"/>
      <c r="H11" s="3"/>
      <c r="I11" s="4"/>
      <c r="J11" s="2"/>
      <c r="K11" s="3"/>
      <c r="L11" s="3"/>
      <c r="M11" s="3"/>
      <c r="N11" s="3"/>
      <c r="O11" s="3"/>
      <c r="P11" s="3"/>
      <c r="Q11" s="3"/>
      <c r="R11" s="3"/>
      <c r="S11" s="4"/>
      <c r="T11" s="2"/>
      <c r="U11" s="3"/>
      <c r="V11" s="3"/>
      <c r="W11" s="3"/>
      <c r="X11" s="3"/>
      <c r="Y11" s="3"/>
      <c r="Z11" s="3"/>
      <c r="AA11" s="3"/>
      <c r="AB11" s="3"/>
      <c r="AC11" s="4"/>
      <c r="AD11" s="3"/>
      <c r="AE11" s="4"/>
    </row>
    <row r="12" spans="1:31" ht="14.25" customHeight="1" x14ac:dyDescent="0.15">
      <c r="A12" s="204" t="s">
        <v>72</v>
      </c>
      <c r="B12" s="205"/>
      <c r="C12" s="204" t="s">
        <v>73</v>
      </c>
      <c r="D12" s="203"/>
      <c r="E12" s="203"/>
      <c r="F12" s="203"/>
      <c r="G12" s="203"/>
      <c r="H12" s="203"/>
      <c r="I12" s="205"/>
      <c r="J12" s="204" t="s">
        <v>74</v>
      </c>
      <c r="K12" s="203"/>
      <c r="L12" s="203"/>
      <c r="M12" s="203"/>
      <c r="N12" s="203"/>
      <c r="O12" s="203"/>
      <c r="P12" s="203"/>
      <c r="Q12" s="203"/>
      <c r="R12" s="203"/>
      <c r="S12" s="205"/>
      <c r="T12" s="204" t="s">
        <v>75</v>
      </c>
      <c r="U12" s="203"/>
      <c r="V12" s="203"/>
      <c r="W12" s="203"/>
      <c r="X12" s="203"/>
      <c r="Y12" s="203"/>
      <c r="Z12" s="203"/>
      <c r="AA12" s="203"/>
      <c r="AB12" s="203"/>
      <c r="AC12" s="205"/>
      <c r="AD12" s="203" t="s">
        <v>76</v>
      </c>
      <c r="AE12" s="205"/>
    </row>
    <row r="13" spans="1:31" ht="14.25" customHeight="1" x14ac:dyDescent="0.15">
      <c r="A13" s="7"/>
      <c r="B13" s="9"/>
      <c r="C13" s="7"/>
      <c r="D13" s="8"/>
      <c r="E13" s="8"/>
      <c r="F13" s="8"/>
      <c r="G13" s="8"/>
      <c r="H13" s="8"/>
      <c r="I13" s="9"/>
      <c r="J13" s="7"/>
      <c r="K13" s="8"/>
      <c r="L13" s="8"/>
      <c r="M13" s="8"/>
      <c r="N13" s="8"/>
      <c r="O13" s="8"/>
      <c r="P13" s="8"/>
      <c r="Q13" s="8"/>
      <c r="R13" s="8"/>
      <c r="S13" s="9"/>
      <c r="T13" s="7"/>
      <c r="U13" s="8"/>
      <c r="V13" s="8"/>
      <c r="W13" s="8"/>
      <c r="X13" s="8"/>
      <c r="Y13" s="8"/>
      <c r="Z13" s="8"/>
      <c r="AA13" s="8"/>
      <c r="AB13" s="8"/>
      <c r="AC13" s="9"/>
      <c r="AD13" s="30" t="s">
        <v>113</v>
      </c>
      <c r="AE13" s="31" t="s">
        <v>114</v>
      </c>
    </row>
    <row r="14" spans="1:31" ht="14.25" customHeight="1" x14ac:dyDescent="0.15">
      <c r="A14" s="5"/>
      <c r="B14" s="6"/>
      <c r="C14" s="5"/>
      <c r="I14" s="6"/>
      <c r="J14" s="5"/>
      <c r="S14" s="6"/>
      <c r="T14" s="5"/>
      <c r="AC14" s="6"/>
      <c r="AD14" s="22"/>
      <c r="AE14" s="23"/>
    </row>
    <row r="15" spans="1:31" ht="14.25" customHeight="1" x14ac:dyDescent="0.15">
      <c r="A15" s="204">
        <v>1</v>
      </c>
      <c r="B15" s="205"/>
      <c r="C15" s="5" t="s">
        <v>77</v>
      </c>
      <c r="I15" s="6"/>
      <c r="J15" s="5" t="s">
        <v>118</v>
      </c>
      <c r="S15" s="6"/>
      <c r="T15" s="13" t="s">
        <v>78</v>
      </c>
      <c r="U15" s="14"/>
      <c r="V15" s="14"/>
      <c r="W15" s="14"/>
      <c r="X15" s="14"/>
      <c r="Y15" s="14"/>
      <c r="Z15" s="14"/>
      <c r="AA15" s="14"/>
      <c r="AB15" s="14"/>
      <c r="AC15" s="15"/>
      <c r="AD15" s="24"/>
      <c r="AE15" s="25"/>
    </row>
    <row r="16" spans="1:31" ht="14.25" customHeight="1" x14ac:dyDescent="0.15">
      <c r="A16" s="5"/>
      <c r="B16" s="6"/>
      <c r="C16" s="5"/>
      <c r="I16" s="6"/>
      <c r="J16" s="5"/>
      <c r="S16" s="6"/>
      <c r="T16" s="5"/>
      <c r="AC16" s="6"/>
      <c r="AD16" s="22"/>
      <c r="AE16" s="23"/>
    </row>
    <row r="17" spans="1:31" ht="14.25" customHeight="1" x14ac:dyDescent="0.15">
      <c r="A17" s="5"/>
      <c r="B17" s="6"/>
      <c r="C17" s="5"/>
      <c r="I17" s="6"/>
      <c r="J17" s="5"/>
      <c r="K17" s="10"/>
      <c r="L17" s="10"/>
      <c r="M17" s="10"/>
      <c r="N17" s="10"/>
      <c r="O17" s="10"/>
      <c r="P17" s="10"/>
      <c r="Q17" s="10"/>
      <c r="R17" s="10"/>
      <c r="S17" s="11"/>
      <c r="T17" s="206" t="s">
        <v>79</v>
      </c>
      <c r="U17" s="207"/>
      <c r="V17" s="207"/>
      <c r="W17" s="207"/>
      <c r="X17" s="207"/>
      <c r="Y17" s="207"/>
      <c r="Z17" s="207"/>
      <c r="AA17" s="207"/>
      <c r="AB17" s="207"/>
      <c r="AC17" s="208"/>
      <c r="AD17" s="22"/>
      <c r="AE17" s="23"/>
    </row>
    <row r="18" spans="1:31" ht="14.25" customHeight="1" x14ac:dyDescent="0.15">
      <c r="A18" s="5"/>
      <c r="B18" s="6"/>
      <c r="C18" s="5"/>
      <c r="I18" s="6"/>
      <c r="J18" s="5"/>
      <c r="K18" s="10"/>
      <c r="L18" s="10"/>
      <c r="M18" s="10"/>
      <c r="N18" s="10"/>
      <c r="O18" s="10"/>
      <c r="P18" s="10"/>
      <c r="Q18" s="10"/>
      <c r="R18" s="10"/>
      <c r="S18" s="11"/>
      <c r="T18" s="209"/>
      <c r="U18" s="207"/>
      <c r="V18" s="207"/>
      <c r="W18" s="207"/>
      <c r="X18" s="207"/>
      <c r="Y18" s="207"/>
      <c r="Z18" s="207"/>
      <c r="AA18" s="207"/>
      <c r="AB18" s="207"/>
      <c r="AC18" s="208"/>
      <c r="AD18" s="22"/>
      <c r="AE18" s="23"/>
    </row>
    <row r="19" spans="1:31" ht="14.25" customHeight="1" x14ac:dyDescent="0.15">
      <c r="A19" s="5"/>
      <c r="B19" s="6"/>
      <c r="C19" s="5"/>
      <c r="I19" s="6"/>
      <c r="J19" s="5"/>
      <c r="S19" s="6"/>
      <c r="T19" s="13"/>
      <c r="U19" s="14" t="s">
        <v>80</v>
      </c>
      <c r="V19" s="14"/>
      <c r="W19" s="14"/>
      <c r="X19" s="14"/>
      <c r="Y19" s="14"/>
      <c r="Z19" s="14"/>
      <c r="AA19" s="14"/>
      <c r="AB19" s="14"/>
      <c r="AC19" s="15"/>
      <c r="AD19" s="24"/>
      <c r="AE19" s="25"/>
    </row>
    <row r="20" spans="1:31" ht="14.25" customHeight="1" x14ac:dyDescent="0.15">
      <c r="A20" s="7"/>
      <c r="B20" s="9"/>
      <c r="C20" s="7"/>
      <c r="D20" s="8"/>
      <c r="E20" s="8"/>
      <c r="F20" s="8"/>
      <c r="G20" s="8"/>
      <c r="H20" s="8"/>
      <c r="I20" s="9"/>
      <c r="J20" s="7"/>
      <c r="K20" s="8"/>
      <c r="L20" s="8"/>
      <c r="M20" s="8"/>
      <c r="N20" s="8"/>
      <c r="O20" s="8"/>
      <c r="P20" s="8"/>
      <c r="Q20" s="8"/>
      <c r="R20" s="8"/>
      <c r="S20" s="9"/>
      <c r="T20" s="7"/>
      <c r="U20" s="8" t="s">
        <v>81</v>
      </c>
      <c r="V20" s="8"/>
      <c r="W20" s="8"/>
      <c r="X20" s="8"/>
      <c r="Y20" s="8"/>
      <c r="Z20" s="8"/>
      <c r="AA20" s="8"/>
      <c r="AB20" s="8"/>
      <c r="AC20" s="9"/>
      <c r="AD20" s="20"/>
      <c r="AE20" s="21"/>
    </row>
    <row r="21" spans="1:31" ht="14.25" customHeight="1" x14ac:dyDescent="0.15">
      <c r="A21" s="5"/>
      <c r="B21" s="6"/>
      <c r="C21" s="5"/>
      <c r="I21" s="6"/>
      <c r="J21" s="5"/>
      <c r="S21" s="6"/>
      <c r="T21" s="5"/>
      <c r="AC21" s="6"/>
      <c r="AD21" s="22"/>
      <c r="AE21" s="23"/>
    </row>
    <row r="22" spans="1:31" ht="14.25" customHeight="1" x14ac:dyDescent="0.15">
      <c r="A22" s="204">
        <v>2</v>
      </c>
      <c r="B22" s="205"/>
      <c r="C22" s="5" t="s">
        <v>105</v>
      </c>
      <c r="I22" s="6"/>
      <c r="J22" s="206" t="s">
        <v>106</v>
      </c>
      <c r="K22" s="210"/>
      <c r="L22" s="210"/>
      <c r="M22" s="210"/>
      <c r="N22" s="210"/>
      <c r="O22" s="210"/>
      <c r="P22" s="210"/>
      <c r="Q22" s="210"/>
      <c r="R22" s="210"/>
      <c r="S22" s="211"/>
      <c r="T22" s="206" t="s">
        <v>107</v>
      </c>
      <c r="U22" s="210"/>
      <c r="V22" s="210"/>
      <c r="W22" s="210"/>
      <c r="X22" s="210"/>
      <c r="Y22" s="210"/>
      <c r="Z22" s="210"/>
      <c r="AA22" s="210"/>
      <c r="AB22" s="210"/>
      <c r="AC22" s="211"/>
      <c r="AD22" s="22"/>
      <c r="AE22" s="23"/>
    </row>
    <row r="23" spans="1:31" ht="14.25" customHeight="1" x14ac:dyDescent="0.15">
      <c r="A23" s="5"/>
      <c r="B23" s="6"/>
      <c r="C23" s="5"/>
      <c r="I23" s="6"/>
      <c r="J23" s="215"/>
      <c r="K23" s="216"/>
      <c r="L23" s="216"/>
      <c r="M23" s="216"/>
      <c r="N23" s="216"/>
      <c r="O23" s="216"/>
      <c r="P23" s="216"/>
      <c r="Q23" s="216"/>
      <c r="R23" s="216"/>
      <c r="S23" s="217"/>
      <c r="T23" s="215"/>
      <c r="U23" s="216"/>
      <c r="V23" s="216"/>
      <c r="W23" s="216"/>
      <c r="X23" s="216"/>
      <c r="Y23" s="216"/>
      <c r="Z23" s="216"/>
      <c r="AA23" s="216"/>
      <c r="AB23" s="216"/>
      <c r="AC23" s="217"/>
      <c r="AD23" s="24"/>
      <c r="AE23" s="25"/>
    </row>
    <row r="24" spans="1:31" ht="14.25" customHeight="1" x14ac:dyDescent="0.15">
      <c r="A24" s="5"/>
      <c r="B24" s="6"/>
      <c r="C24" s="5"/>
      <c r="I24" s="6"/>
      <c r="J24" s="5"/>
      <c r="S24" s="6"/>
      <c r="T24" s="5"/>
      <c r="AC24" s="6"/>
      <c r="AD24" s="22"/>
      <c r="AE24" s="23"/>
    </row>
    <row r="25" spans="1:31" ht="14.25" customHeight="1" x14ac:dyDescent="0.15">
      <c r="A25" s="5"/>
      <c r="B25" s="6"/>
      <c r="C25" s="5"/>
      <c r="I25" s="6"/>
      <c r="J25" s="206" t="s">
        <v>108</v>
      </c>
      <c r="K25" s="210"/>
      <c r="L25" s="210"/>
      <c r="M25" s="210"/>
      <c r="N25" s="210"/>
      <c r="O25" s="210"/>
      <c r="P25" s="210"/>
      <c r="Q25" s="210"/>
      <c r="R25" s="210"/>
      <c r="S25" s="211"/>
      <c r="T25" s="218" t="s">
        <v>82</v>
      </c>
      <c r="U25" s="219"/>
      <c r="V25" s="219"/>
      <c r="W25" s="219"/>
      <c r="X25" s="219"/>
      <c r="Y25" s="219"/>
      <c r="Z25" s="219"/>
      <c r="AA25" s="219"/>
      <c r="AB25" s="219"/>
      <c r="AC25" s="6"/>
      <c r="AD25" s="22"/>
      <c r="AE25" s="23"/>
    </row>
    <row r="26" spans="1:31" ht="14.25" customHeight="1" x14ac:dyDescent="0.15">
      <c r="A26" s="5"/>
      <c r="B26" s="6"/>
      <c r="C26" s="5"/>
      <c r="I26" s="6"/>
      <c r="J26" s="206"/>
      <c r="K26" s="210"/>
      <c r="L26" s="210"/>
      <c r="M26" s="210"/>
      <c r="N26" s="210"/>
      <c r="O26" s="210"/>
      <c r="P26" s="210"/>
      <c r="Q26" s="210"/>
      <c r="R26" s="210"/>
      <c r="S26" s="211"/>
      <c r="T26" s="16" t="s">
        <v>83</v>
      </c>
      <c r="U26" s="17"/>
      <c r="V26" s="17"/>
      <c r="W26" s="17"/>
      <c r="X26" s="17"/>
      <c r="Y26" s="17" t="s">
        <v>84</v>
      </c>
      <c r="Z26" s="17"/>
      <c r="AA26" s="17"/>
      <c r="AB26" s="17"/>
      <c r="AC26" s="18"/>
      <c r="AD26" s="26"/>
      <c r="AE26" s="27"/>
    </row>
    <row r="27" spans="1:31" ht="14.25" customHeight="1" x14ac:dyDescent="0.15">
      <c r="A27" s="5"/>
      <c r="B27" s="6"/>
      <c r="C27" s="5"/>
      <c r="I27" s="6"/>
      <c r="J27" s="5"/>
      <c r="K27" s="10"/>
      <c r="L27" s="10"/>
      <c r="M27" s="10"/>
      <c r="N27" s="10"/>
      <c r="O27" s="10"/>
      <c r="P27" s="10"/>
      <c r="Q27" s="10"/>
      <c r="R27" s="10"/>
      <c r="S27" s="11"/>
      <c r="T27" s="5" t="s">
        <v>85</v>
      </c>
      <c r="Y27" s="1" t="s">
        <v>86</v>
      </c>
      <c r="AC27" s="6"/>
      <c r="AD27" s="22"/>
      <c r="AE27" s="23"/>
    </row>
    <row r="28" spans="1:31" ht="14.25" customHeight="1" x14ac:dyDescent="0.15">
      <c r="A28" s="5"/>
      <c r="B28" s="6"/>
      <c r="C28" s="5"/>
      <c r="I28" s="6"/>
      <c r="J28" s="5"/>
      <c r="S28" s="6"/>
      <c r="T28" s="16" t="s">
        <v>87</v>
      </c>
      <c r="U28" s="17"/>
      <c r="V28" s="17"/>
      <c r="W28" s="17"/>
      <c r="X28" s="17"/>
      <c r="Y28" s="17" t="s">
        <v>88</v>
      </c>
      <c r="Z28" s="17"/>
      <c r="AA28" s="17"/>
      <c r="AB28" s="17"/>
      <c r="AC28" s="18"/>
      <c r="AD28" s="26"/>
      <c r="AE28" s="27"/>
    </row>
    <row r="29" spans="1:31" ht="14.25" customHeight="1" x14ac:dyDescent="0.15">
      <c r="A29" s="5"/>
      <c r="B29" s="6"/>
      <c r="C29" s="5"/>
      <c r="I29" s="6"/>
      <c r="J29" s="5"/>
      <c r="S29" s="6"/>
      <c r="T29" s="5" t="s">
        <v>89</v>
      </c>
      <c r="AC29" s="6"/>
      <c r="AD29" s="22"/>
      <c r="AE29" s="23"/>
    </row>
    <row r="30" spans="1:31" ht="14.25" customHeight="1" x14ac:dyDescent="0.15">
      <c r="A30" s="5"/>
      <c r="B30" s="6"/>
      <c r="C30" s="5"/>
      <c r="I30" s="6"/>
      <c r="J30" s="5"/>
      <c r="S30" s="6"/>
      <c r="T30" s="16" t="s">
        <v>90</v>
      </c>
      <c r="U30" s="17"/>
      <c r="V30" s="17"/>
      <c r="W30" s="17"/>
      <c r="X30" s="17"/>
      <c r="Y30" s="17" t="s">
        <v>91</v>
      </c>
      <c r="Z30" s="17"/>
      <c r="AA30" s="17"/>
      <c r="AB30" s="17"/>
      <c r="AC30" s="18"/>
      <c r="AD30" s="26"/>
      <c r="AE30" s="27"/>
    </row>
    <row r="31" spans="1:31" ht="14.25" customHeight="1" x14ac:dyDescent="0.15">
      <c r="A31" s="5"/>
      <c r="B31" s="6"/>
      <c r="C31" s="5"/>
      <c r="I31" s="6"/>
      <c r="J31" s="5"/>
      <c r="S31" s="6"/>
      <c r="T31" s="5" t="s">
        <v>92</v>
      </c>
      <c r="Y31" s="1" t="s">
        <v>93</v>
      </c>
      <c r="AC31" s="6"/>
      <c r="AD31" s="22"/>
      <c r="AE31" s="23"/>
    </row>
    <row r="32" spans="1:31" ht="14.25" customHeight="1" x14ac:dyDescent="0.15">
      <c r="A32" s="5"/>
      <c r="B32" s="6"/>
      <c r="C32" s="5"/>
      <c r="I32" s="6"/>
      <c r="J32" s="5"/>
      <c r="S32" s="6"/>
      <c r="T32" s="16" t="s">
        <v>95</v>
      </c>
      <c r="U32" s="17"/>
      <c r="V32" s="17"/>
      <c r="W32" s="17"/>
      <c r="X32" s="17"/>
      <c r="Y32" s="17" t="s">
        <v>94</v>
      </c>
      <c r="Z32" s="17"/>
      <c r="AA32" s="17"/>
      <c r="AB32" s="17"/>
      <c r="AC32" s="18"/>
      <c r="AD32" s="26"/>
      <c r="AE32" s="27"/>
    </row>
    <row r="33" spans="1:31" ht="14.25" customHeight="1" x14ac:dyDescent="0.15">
      <c r="A33" s="5"/>
      <c r="B33" s="6"/>
      <c r="C33" s="5"/>
      <c r="I33" s="6"/>
      <c r="J33" s="5"/>
      <c r="S33" s="6"/>
      <c r="T33" s="5" t="s">
        <v>96</v>
      </c>
      <c r="Y33" s="1" t="s">
        <v>97</v>
      </c>
      <c r="AC33" s="6"/>
      <c r="AD33" s="22"/>
      <c r="AE33" s="23"/>
    </row>
    <row r="34" spans="1:31" ht="14.25" customHeight="1" x14ac:dyDescent="0.15">
      <c r="A34" s="5"/>
      <c r="B34" s="6"/>
      <c r="C34" s="5"/>
      <c r="I34" s="6"/>
      <c r="J34" s="5"/>
      <c r="S34" s="6"/>
      <c r="T34" s="16" t="s">
        <v>98</v>
      </c>
      <c r="U34" s="17"/>
      <c r="V34" s="17"/>
      <c r="W34" s="17"/>
      <c r="X34" s="17"/>
      <c r="Y34" s="17"/>
      <c r="Z34" s="17"/>
      <c r="AA34" s="17"/>
      <c r="AB34" s="17"/>
      <c r="AC34" s="18"/>
      <c r="AD34" s="26"/>
      <c r="AE34" s="27"/>
    </row>
    <row r="35" spans="1:31" ht="14.25" customHeight="1" x14ac:dyDescent="0.15">
      <c r="A35" s="5"/>
      <c r="B35" s="6"/>
      <c r="C35" s="5"/>
      <c r="I35" s="6"/>
      <c r="J35" s="5"/>
      <c r="S35" s="6"/>
      <c r="T35" s="5"/>
      <c r="AC35" s="6"/>
      <c r="AD35" s="22"/>
      <c r="AE35" s="23"/>
    </row>
    <row r="36" spans="1:31" ht="14.25" customHeight="1" x14ac:dyDescent="0.15">
      <c r="A36" s="5"/>
      <c r="B36" s="6"/>
      <c r="C36" s="5"/>
      <c r="I36" s="6"/>
      <c r="J36" s="5"/>
      <c r="S36" s="6"/>
      <c r="T36" s="16" t="s">
        <v>99</v>
      </c>
      <c r="U36" s="17"/>
      <c r="V36" s="17"/>
      <c r="W36" s="17"/>
      <c r="X36" s="17"/>
      <c r="Y36" s="17"/>
      <c r="Z36" s="17"/>
      <c r="AA36" s="17"/>
      <c r="AB36" s="17"/>
      <c r="AC36" s="18"/>
      <c r="AD36" s="26"/>
      <c r="AE36" s="27"/>
    </row>
    <row r="37" spans="1:31" ht="14.25" customHeight="1" x14ac:dyDescent="0.15">
      <c r="A37" s="5"/>
      <c r="B37" s="6"/>
      <c r="C37" s="5"/>
      <c r="I37" s="6"/>
      <c r="J37" s="5"/>
      <c r="S37" s="6"/>
      <c r="T37" s="16" t="s">
        <v>90</v>
      </c>
      <c r="U37" s="17"/>
      <c r="V37" s="17"/>
      <c r="W37" s="17"/>
      <c r="X37" s="17"/>
      <c r="Y37" s="17" t="s">
        <v>91</v>
      </c>
      <c r="Z37" s="17"/>
      <c r="AA37" s="17"/>
      <c r="AB37" s="17"/>
      <c r="AC37" s="18"/>
      <c r="AD37" s="26"/>
      <c r="AE37" s="27"/>
    </row>
    <row r="38" spans="1:31" ht="14.25" customHeight="1" x14ac:dyDescent="0.15">
      <c r="A38" s="5"/>
      <c r="B38" s="6"/>
      <c r="C38" s="5"/>
      <c r="I38" s="6"/>
      <c r="J38" s="5"/>
      <c r="S38" s="6"/>
      <c r="T38" s="16" t="s">
        <v>92</v>
      </c>
      <c r="U38" s="17"/>
      <c r="V38" s="17"/>
      <c r="W38" s="17"/>
      <c r="X38" s="17"/>
      <c r="Y38" s="17" t="s">
        <v>93</v>
      </c>
      <c r="Z38" s="17"/>
      <c r="AA38" s="17"/>
      <c r="AB38" s="17"/>
      <c r="AC38" s="18"/>
      <c r="AD38" s="26"/>
      <c r="AE38" s="27"/>
    </row>
    <row r="39" spans="1:31" ht="14.25" customHeight="1" x14ac:dyDescent="0.15">
      <c r="A39" s="5"/>
      <c r="B39" s="6"/>
      <c r="C39" s="5"/>
      <c r="I39" s="6"/>
      <c r="J39" s="5"/>
      <c r="S39" s="6"/>
      <c r="T39" s="16" t="s">
        <v>95</v>
      </c>
      <c r="U39" s="17"/>
      <c r="V39" s="17"/>
      <c r="W39" s="17"/>
      <c r="X39" s="17"/>
      <c r="Y39" s="17" t="s">
        <v>94</v>
      </c>
      <c r="Z39" s="17"/>
      <c r="AA39" s="17"/>
      <c r="AB39" s="17"/>
      <c r="AC39" s="18"/>
      <c r="AD39" s="26"/>
      <c r="AE39" s="27"/>
    </row>
    <row r="40" spans="1:31" ht="14.25" customHeight="1" x14ac:dyDescent="0.15">
      <c r="A40" s="5"/>
      <c r="B40" s="6"/>
      <c r="C40" s="5"/>
      <c r="I40" s="6"/>
      <c r="J40" s="5"/>
      <c r="S40" s="6"/>
      <c r="T40" s="16" t="s">
        <v>100</v>
      </c>
      <c r="U40" s="17"/>
      <c r="V40" s="17"/>
      <c r="W40" s="17"/>
      <c r="X40" s="17"/>
      <c r="Y40" s="17" t="s">
        <v>98</v>
      </c>
      <c r="Z40" s="17"/>
      <c r="AA40" s="17"/>
      <c r="AB40" s="17"/>
      <c r="AC40" s="18"/>
      <c r="AD40" s="26"/>
      <c r="AE40" s="27"/>
    </row>
    <row r="41" spans="1:31" ht="14.25" customHeight="1" x14ac:dyDescent="0.15">
      <c r="A41" s="7"/>
      <c r="B41" s="9"/>
      <c r="C41" s="7"/>
      <c r="D41" s="8"/>
      <c r="E41" s="8"/>
      <c r="F41" s="8"/>
      <c r="G41" s="8"/>
      <c r="H41" s="8"/>
      <c r="I41" s="9"/>
      <c r="J41" s="7"/>
      <c r="K41" s="8"/>
      <c r="L41" s="8"/>
      <c r="M41" s="8"/>
      <c r="N41" s="8"/>
      <c r="O41" s="8"/>
      <c r="P41" s="8"/>
      <c r="Q41" s="8"/>
      <c r="R41" s="8"/>
      <c r="S41" s="9"/>
      <c r="T41" s="7"/>
      <c r="U41" s="8"/>
      <c r="V41" s="8"/>
      <c r="W41" s="8"/>
      <c r="X41" s="8"/>
      <c r="Y41" s="8"/>
      <c r="Z41" s="8"/>
      <c r="AA41" s="8"/>
      <c r="AB41" s="8"/>
      <c r="AC41" s="9"/>
      <c r="AD41" s="20"/>
      <c r="AE41" s="21"/>
    </row>
    <row r="42" spans="1:31" ht="14.25" customHeight="1" x14ac:dyDescent="0.15">
      <c r="A42" s="5"/>
      <c r="B42" s="6"/>
      <c r="C42" s="5"/>
      <c r="I42" s="6"/>
      <c r="J42" s="5"/>
      <c r="S42" s="6"/>
      <c r="T42" s="5"/>
      <c r="AC42" s="6"/>
      <c r="AD42" s="22"/>
      <c r="AE42" s="23"/>
    </row>
    <row r="43" spans="1:31" ht="14.25" customHeight="1" x14ac:dyDescent="0.15">
      <c r="A43" s="204">
        <v>3</v>
      </c>
      <c r="B43" s="205"/>
      <c r="C43" s="5" t="s">
        <v>101</v>
      </c>
      <c r="I43" s="6"/>
      <c r="J43" s="5" t="s">
        <v>119</v>
      </c>
      <c r="S43" s="6"/>
      <c r="T43" s="5" t="s">
        <v>102</v>
      </c>
      <c r="AC43" s="6"/>
      <c r="AD43" s="22"/>
      <c r="AE43" s="23"/>
    </row>
    <row r="44" spans="1:31" ht="14.25" customHeight="1" x14ac:dyDescent="0.15">
      <c r="A44" s="5"/>
      <c r="B44" s="6"/>
      <c r="C44" s="5"/>
      <c r="I44" s="6"/>
      <c r="J44" s="5"/>
      <c r="S44" s="6"/>
      <c r="T44" s="206" t="s">
        <v>115</v>
      </c>
      <c r="U44" s="210"/>
      <c r="V44" s="210"/>
      <c r="W44" s="210"/>
      <c r="X44" s="210"/>
      <c r="Y44" s="210"/>
      <c r="Z44" s="210"/>
      <c r="AA44" s="210"/>
      <c r="AB44" s="210"/>
      <c r="AC44" s="211"/>
      <c r="AD44" s="22"/>
      <c r="AE44" s="23"/>
    </row>
    <row r="45" spans="1:31" ht="14.25" customHeight="1" x14ac:dyDescent="0.15">
      <c r="A45" s="7"/>
      <c r="B45" s="9"/>
      <c r="C45" s="7"/>
      <c r="D45" s="8"/>
      <c r="E45" s="8"/>
      <c r="F45" s="8"/>
      <c r="G45" s="8"/>
      <c r="H45" s="8"/>
      <c r="I45" s="9"/>
      <c r="J45" s="7"/>
      <c r="K45" s="8"/>
      <c r="L45" s="8"/>
      <c r="M45" s="8"/>
      <c r="N45" s="8"/>
      <c r="O45" s="8"/>
      <c r="P45" s="8"/>
      <c r="Q45" s="8"/>
      <c r="R45" s="8"/>
      <c r="S45" s="9"/>
      <c r="T45" s="212"/>
      <c r="U45" s="213"/>
      <c r="V45" s="213"/>
      <c r="W45" s="213"/>
      <c r="X45" s="213"/>
      <c r="Y45" s="213"/>
      <c r="Z45" s="213"/>
      <c r="AA45" s="213"/>
      <c r="AB45" s="213"/>
      <c r="AC45" s="214"/>
      <c r="AD45" s="20"/>
      <c r="AE45" s="21"/>
    </row>
    <row r="46" spans="1:31" ht="14.25" customHeight="1" x14ac:dyDescent="0.15">
      <c r="A46" s="5"/>
      <c r="B46" s="6"/>
      <c r="C46" s="5"/>
      <c r="I46" s="6"/>
      <c r="J46" s="5"/>
      <c r="S46" s="6"/>
      <c r="T46" s="5"/>
      <c r="AC46" s="6"/>
      <c r="AD46" s="28"/>
      <c r="AE46" s="29"/>
    </row>
    <row r="47" spans="1:31" ht="14.25" customHeight="1" x14ac:dyDescent="0.15">
      <c r="A47" s="204">
        <v>4</v>
      </c>
      <c r="B47" s="205"/>
      <c r="C47" s="5" t="s">
        <v>103</v>
      </c>
      <c r="I47" s="6"/>
      <c r="J47" s="5" t="s">
        <v>120</v>
      </c>
      <c r="S47" s="6"/>
      <c r="T47" s="5" t="s">
        <v>104</v>
      </c>
      <c r="AC47" s="6"/>
      <c r="AD47" s="22"/>
      <c r="AE47" s="23"/>
    </row>
    <row r="48" spans="1:31" ht="14.25" customHeight="1" x14ac:dyDescent="0.15">
      <c r="A48" s="7"/>
      <c r="B48" s="9"/>
      <c r="C48" s="7"/>
      <c r="D48" s="8"/>
      <c r="E48" s="8"/>
      <c r="F48" s="8"/>
      <c r="G48" s="8"/>
      <c r="H48" s="8"/>
      <c r="I48" s="9"/>
      <c r="J48" s="7"/>
      <c r="K48" s="8"/>
      <c r="L48" s="8"/>
      <c r="M48" s="8"/>
      <c r="N48" s="8"/>
      <c r="O48" s="8"/>
      <c r="P48" s="8"/>
      <c r="Q48" s="8"/>
      <c r="R48" s="8"/>
      <c r="S48" s="9"/>
      <c r="T48" s="7"/>
      <c r="U48" s="8"/>
      <c r="V48" s="8"/>
      <c r="W48" s="8"/>
      <c r="X48" s="8"/>
      <c r="Y48" s="8"/>
      <c r="Z48" s="8"/>
      <c r="AA48" s="8"/>
      <c r="AB48" s="8"/>
      <c r="AC48" s="9"/>
      <c r="AD48" s="20"/>
      <c r="AE48" s="21"/>
    </row>
    <row r="50" spans="3:28" ht="14.25" customHeight="1" x14ac:dyDescent="0.15">
      <c r="C50" s="1" t="s">
        <v>109</v>
      </c>
      <c r="T50" s="8" t="s">
        <v>112</v>
      </c>
      <c r="U50" s="8"/>
      <c r="V50" s="8"/>
      <c r="W50" s="8"/>
      <c r="X50" s="8"/>
      <c r="Y50" s="8"/>
      <c r="Z50" s="8"/>
      <c r="AA50" s="8"/>
      <c r="AB50" s="8"/>
    </row>
    <row r="52" spans="3:28" ht="14.25" customHeight="1" x14ac:dyDescent="0.15">
      <c r="C52" s="8" t="s">
        <v>110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</row>
    <row r="54" spans="3:28" ht="14.25" customHeight="1" x14ac:dyDescent="0.15">
      <c r="C54" s="8" t="s">
        <v>111</v>
      </c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</row>
    <row r="56" spans="3:28" ht="14.25" customHeight="1" x14ac:dyDescent="0.15">
      <c r="X56" s="1" t="s">
        <v>117</v>
      </c>
      <c r="AA56" s="19" t="s">
        <v>116</v>
      </c>
    </row>
  </sheetData>
  <mergeCells count="16">
    <mergeCell ref="A43:B43"/>
    <mergeCell ref="A47:B47"/>
    <mergeCell ref="A12:B12"/>
    <mergeCell ref="T17:AC18"/>
    <mergeCell ref="AD12:AE12"/>
    <mergeCell ref="T44:AC45"/>
    <mergeCell ref="J22:S23"/>
    <mergeCell ref="T22:AC23"/>
    <mergeCell ref="J25:S26"/>
    <mergeCell ref="T25:AB25"/>
    <mergeCell ref="F1:Y2"/>
    <mergeCell ref="A15:B15"/>
    <mergeCell ref="A22:B22"/>
    <mergeCell ref="C12:I12"/>
    <mergeCell ref="J12:S12"/>
    <mergeCell ref="T12:AC12"/>
  </mergeCells>
  <phoneticPr fontId="2"/>
  <pageMargins left="0.51" right="0.19" top="0.8" bottom="0.47" header="0.51200000000000001" footer="0.23"/>
  <pageSetup paperSize="9" orientation="portrait" horizontalDpi="4294967293" verticalDpi="18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105"/>
  <sheetViews>
    <sheetView zoomScaleNormal="100" workbookViewId="0">
      <pane xSplit="1" ySplit="5" topLeftCell="B18" activePane="bottomRight" state="frozen"/>
      <selection pane="topRight" activeCell="B1" sqref="B1"/>
      <selection pane="bottomLeft" activeCell="A6" sqref="A6"/>
      <selection pane="bottomRight" activeCell="D21" sqref="D21"/>
    </sheetView>
  </sheetViews>
  <sheetFormatPr defaultRowHeight="14.25" x14ac:dyDescent="0.15"/>
  <cols>
    <col min="1" max="1" width="10" customWidth="1"/>
    <col min="2" max="2" width="18.25" customWidth="1"/>
    <col min="3" max="3" width="68.5" customWidth="1"/>
    <col min="4" max="4" width="13.375" customWidth="1"/>
    <col min="5" max="26" width="2.75" customWidth="1"/>
    <col min="220" max="282" width="2.75" customWidth="1"/>
    <col min="476" max="538" width="2.75" customWidth="1"/>
    <col min="732" max="794" width="2.75" customWidth="1"/>
    <col min="988" max="1050" width="2.75" customWidth="1"/>
    <col min="1244" max="1306" width="2.75" customWidth="1"/>
    <col min="1500" max="1562" width="2.75" customWidth="1"/>
    <col min="1756" max="1818" width="2.75" customWidth="1"/>
    <col min="2012" max="2074" width="2.75" customWidth="1"/>
    <col min="2268" max="2330" width="2.75" customWidth="1"/>
    <col min="2524" max="2586" width="2.75" customWidth="1"/>
    <col min="2780" max="2842" width="2.75" customWidth="1"/>
    <col min="3036" max="3098" width="2.75" customWidth="1"/>
    <col min="3292" max="3354" width="2.75" customWidth="1"/>
    <col min="3548" max="3610" width="2.75" customWidth="1"/>
    <col min="3804" max="3866" width="2.75" customWidth="1"/>
    <col min="4060" max="4122" width="2.75" customWidth="1"/>
    <col min="4316" max="4378" width="2.75" customWidth="1"/>
    <col min="4572" max="4634" width="2.75" customWidth="1"/>
    <col min="4828" max="4890" width="2.75" customWidth="1"/>
    <col min="5084" max="5146" width="2.75" customWidth="1"/>
    <col min="5340" max="5402" width="2.75" customWidth="1"/>
    <col min="5596" max="5658" width="2.75" customWidth="1"/>
    <col min="5852" max="5914" width="2.75" customWidth="1"/>
    <col min="6108" max="6170" width="2.75" customWidth="1"/>
    <col min="6364" max="6426" width="2.75" customWidth="1"/>
    <col min="6620" max="6682" width="2.75" customWidth="1"/>
    <col min="6876" max="6938" width="2.75" customWidth="1"/>
    <col min="7132" max="7194" width="2.75" customWidth="1"/>
    <col min="7388" max="7450" width="2.75" customWidth="1"/>
    <col min="7644" max="7706" width="2.75" customWidth="1"/>
    <col min="7900" max="7962" width="2.75" customWidth="1"/>
    <col min="8156" max="8218" width="2.75" customWidth="1"/>
    <col min="8412" max="8474" width="2.75" customWidth="1"/>
    <col min="8668" max="8730" width="2.75" customWidth="1"/>
    <col min="8924" max="8986" width="2.75" customWidth="1"/>
    <col min="9180" max="9242" width="2.75" customWidth="1"/>
    <col min="9436" max="9498" width="2.75" customWidth="1"/>
    <col min="9692" max="9754" width="2.75" customWidth="1"/>
    <col min="9948" max="10010" width="2.75" customWidth="1"/>
    <col min="10204" max="10266" width="2.75" customWidth="1"/>
    <col min="10460" max="10522" width="2.75" customWidth="1"/>
    <col min="10716" max="10778" width="2.75" customWidth="1"/>
    <col min="10972" max="11034" width="2.75" customWidth="1"/>
    <col min="11228" max="11290" width="2.75" customWidth="1"/>
    <col min="11484" max="11546" width="2.75" customWidth="1"/>
    <col min="11740" max="11802" width="2.75" customWidth="1"/>
    <col min="11996" max="12058" width="2.75" customWidth="1"/>
    <col min="12252" max="12314" width="2.75" customWidth="1"/>
    <col min="12508" max="12570" width="2.75" customWidth="1"/>
    <col min="12764" max="12826" width="2.75" customWidth="1"/>
    <col min="13020" max="13082" width="2.75" customWidth="1"/>
    <col min="13276" max="13338" width="2.75" customWidth="1"/>
    <col min="13532" max="13594" width="2.75" customWidth="1"/>
    <col min="13788" max="13850" width="2.75" customWidth="1"/>
    <col min="14044" max="14106" width="2.75" customWidth="1"/>
    <col min="14300" max="14362" width="2.75" customWidth="1"/>
    <col min="14556" max="14618" width="2.75" customWidth="1"/>
    <col min="14812" max="14874" width="2.75" customWidth="1"/>
    <col min="15068" max="15130" width="2.75" customWidth="1"/>
    <col min="15324" max="15386" width="2.75" customWidth="1"/>
    <col min="15580" max="15642" width="2.75" customWidth="1"/>
    <col min="15836" max="15898" width="2.75" customWidth="1"/>
    <col min="16092" max="16154" width="2.75" customWidth="1"/>
  </cols>
  <sheetData>
    <row r="1" spans="1:4" ht="36" customHeight="1" x14ac:dyDescent="0.15">
      <c r="A1" s="220" t="s">
        <v>279</v>
      </c>
      <c r="B1" s="220"/>
      <c r="C1" s="220"/>
      <c r="D1" s="220"/>
    </row>
    <row r="2" spans="1:4" ht="15" customHeight="1" x14ac:dyDescent="0.15"/>
    <row r="3" spans="1:4" ht="15" customHeight="1" x14ac:dyDescent="0.15">
      <c r="A3" s="37" t="s">
        <v>283</v>
      </c>
      <c r="B3" s="37"/>
      <c r="D3" s="67" t="s">
        <v>280</v>
      </c>
    </row>
    <row r="4" spans="1:4" ht="15" customHeight="1" x14ac:dyDescent="0.15">
      <c r="A4" s="86" t="s">
        <v>282</v>
      </c>
      <c r="B4" s="86"/>
      <c r="C4" s="90" t="s">
        <v>284</v>
      </c>
      <c r="D4" s="89" t="s">
        <v>281</v>
      </c>
    </row>
    <row r="5" spans="1:4" ht="30" customHeight="1" x14ac:dyDescent="0.15">
      <c r="A5" s="83" t="s">
        <v>126</v>
      </c>
      <c r="B5" s="83" t="s">
        <v>127</v>
      </c>
      <c r="C5" s="87" t="s">
        <v>128</v>
      </c>
      <c r="D5" s="83" t="s">
        <v>129</v>
      </c>
    </row>
    <row r="6" spans="1:4" ht="30" customHeight="1" x14ac:dyDescent="0.15">
      <c r="A6" s="83">
        <v>0</v>
      </c>
      <c r="B6" s="85">
        <v>35404</v>
      </c>
      <c r="C6" s="87" t="s">
        <v>130</v>
      </c>
      <c r="D6" s="83" t="s">
        <v>131</v>
      </c>
    </row>
    <row r="7" spans="1:4" ht="30" customHeight="1" x14ac:dyDescent="0.15">
      <c r="A7" s="83">
        <v>1</v>
      </c>
      <c r="B7" s="84" t="s">
        <v>132</v>
      </c>
      <c r="C7" s="87" t="s">
        <v>133</v>
      </c>
      <c r="D7" s="83" t="s">
        <v>131</v>
      </c>
    </row>
    <row r="8" spans="1:4" ht="30" customHeight="1" x14ac:dyDescent="0.15">
      <c r="A8" s="83">
        <v>2</v>
      </c>
      <c r="B8" s="84" t="s">
        <v>134</v>
      </c>
      <c r="C8" s="88" t="s">
        <v>135</v>
      </c>
      <c r="D8" s="83" t="s">
        <v>131</v>
      </c>
    </row>
    <row r="9" spans="1:4" ht="30" customHeight="1" x14ac:dyDescent="0.15">
      <c r="A9" s="83">
        <v>3</v>
      </c>
      <c r="B9" s="84" t="s">
        <v>136</v>
      </c>
      <c r="C9" s="87" t="s">
        <v>137</v>
      </c>
      <c r="D9" s="83" t="s">
        <v>131</v>
      </c>
    </row>
    <row r="10" spans="1:4" ht="30" customHeight="1" x14ac:dyDescent="0.15">
      <c r="A10" s="83">
        <v>4</v>
      </c>
      <c r="B10" s="84" t="s">
        <v>138</v>
      </c>
      <c r="C10" s="87" t="s">
        <v>139</v>
      </c>
      <c r="D10" s="83" t="s">
        <v>131</v>
      </c>
    </row>
    <row r="11" spans="1:4" ht="30" customHeight="1" x14ac:dyDescent="0.15">
      <c r="A11" s="83">
        <v>5</v>
      </c>
      <c r="B11" s="84" t="s">
        <v>140</v>
      </c>
      <c r="C11" s="87" t="s">
        <v>141</v>
      </c>
      <c r="D11" s="83" t="s">
        <v>131</v>
      </c>
    </row>
    <row r="12" spans="1:4" ht="30" customHeight="1" x14ac:dyDescent="0.15">
      <c r="A12" s="83">
        <v>6</v>
      </c>
      <c r="B12" s="84" t="s">
        <v>142</v>
      </c>
      <c r="C12" s="87" t="s">
        <v>143</v>
      </c>
      <c r="D12" s="83" t="s">
        <v>131</v>
      </c>
    </row>
    <row r="13" spans="1:4" ht="30" customHeight="1" x14ac:dyDescent="0.15">
      <c r="A13" s="83">
        <v>7</v>
      </c>
      <c r="B13" s="84" t="s">
        <v>144</v>
      </c>
      <c r="C13" s="87" t="s">
        <v>145</v>
      </c>
      <c r="D13" s="83" t="s">
        <v>131</v>
      </c>
    </row>
    <row r="14" spans="1:4" ht="30" customHeight="1" x14ac:dyDescent="0.15">
      <c r="A14" s="83">
        <v>8</v>
      </c>
      <c r="B14" s="84" t="s">
        <v>146</v>
      </c>
      <c r="C14" s="88" t="s">
        <v>147</v>
      </c>
      <c r="D14" s="83" t="s">
        <v>131</v>
      </c>
    </row>
    <row r="15" spans="1:4" ht="30" customHeight="1" x14ac:dyDescent="0.15">
      <c r="A15" s="83">
        <v>9</v>
      </c>
      <c r="B15" s="84" t="s">
        <v>148</v>
      </c>
      <c r="C15" s="87" t="s">
        <v>149</v>
      </c>
      <c r="D15" s="83" t="s">
        <v>150</v>
      </c>
    </row>
    <row r="16" spans="1:4" ht="30" customHeight="1" x14ac:dyDescent="0.15">
      <c r="A16" s="83">
        <v>10</v>
      </c>
      <c r="B16" s="84" t="s">
        <v>151</v>
      </c>
      <c r="C16" s="87" t="s">
        <v>149</v>
      </c>
      <c r="D16" s="83" t="s">
        <v>150</v>
      </c>
    </row>
    <row r="17" spans="1:4" ht="30" customHeight="1" x14ac:dyDescent="0.15">
      <c r="A17" s="83">
        <v>11</v>
      </c>
      <c r="B17" s="84" t="s">
        <v>152</v>
      </c>
      <c r="C17" s="87" t="s">
        <v>153</v>
      </c>
      <c r="D17" s="83" t="s">
        <v>154</v>
      </c>
    </row>
    <row r="18" spans="1:4" ht="30" customHeight="1" x14ac:dyDescent="0.15">
      <c r="A18" s="83">
        <v>12</v>
      </c>
      <c r="B18" s="84" t="s">
        <v>272</v>
      </c>
      <c r="C18" s="87" t="s">
        <v>261</v>
      </c>
      <c r="D18" s="83" t="s">
        <v>262</v>
      </c>
    </row>
    <row r="19" spans="1:4" ht="30" customHeight="1" x14ac:dyDescent="0.15">
      <c r="A19" s="83">
        <v>13</v>
      </c>
      <c r="B19" s="84" t="s">
        <v>273</v>
      </c>
      <c r="C19" s="87" t="s">
        <v>153</v>
      </c>
      <c r="D19" s="83" t="s">
        <v>274</v>
      </c>
    </row>
    <row r="20" spans="1:4" ht="30" customHeight="1" x14ac:dyDescent="0.15">
      <c r="A20" s="83">
        <v>14</v>
      </c>
      <c r="B20" s="84" t="s">
        <v>275</v>
      </c>
      <c r="C20" s="87" t="s">
        <v>276</v>
      </c>
      <c r="D20" s="83" t="s">
        <v>277</v>
      </c>
    </row>
    <row r="21" spans="1:4" ht="30" customHeight="1" x14ac:dyDescent="0.15">
      <c r="A21" s="83">
        <v>15</v>
      </c>
      <c r="B21" s="84" t="s">
        <v>285</v>
      </c>
      <c r="C21" s="87" t="s">
        <v>276</v>
      </c>
      <c r="D21" s="83" t="s">
        <v>286</v>
      </c>
    </row>
    <row r="22" spans="1:4" ht="30" customHeight="1" x14ac:dyDescent="0.15">
      <c r="A22" s="83"/>
      <c r="B22" s="84" t="s">
        <v>278</v>
      </c>
      <c r="C22" s="87"/>
      <c r="D22" s="83"/>
    </row>
    <row r="23" spans="1:4" ht="30" customHeight="1" x14ac:dyDescent="0.15">
      <c r="A23" s="83"/>
      <c r="B23" s="84"/>
      <c r="C23" s="87"/>
      <c r="D23" s="83"/>
    </row>
    <row r="24" spans="1:4" ht="30" customHeight="1" x14ac:dyDescent="0.15">
      <c r="A24" s="83"/>
      <c r="B24" s="84"/>
      <c r="C24" s="87"/>
      <c r="D24" s="83"/>
    </row>
    <row r="25" spans="1:4" ht="30" customHeight="1" x14ac:dyDescent="0.15">
      <c r="A25" s="83"/>
      <c r="B25" s="84"/>
      <c r="C25" s="87"/>
      <c r="D25" s="83"/>
    </row>
    <row r="26" spans="1:4" ht="30" customHeight="1" x14ac:dyDescent="0.15">
      <c r="A26" s="83"/>
      <c r="B26" s="84"/>
      <c r="C26" s="87"/>
      <c r="D26" s="83"/>
    </row>
    <row r="27" spans="1:4" ht="30" customHeight="1" x14ac:dyDescent="0.15">
      <c r="A27" s="83"/>
      <c r="B27" s="84"/>
      <c r="C27" s="87"/>
      <c r="D27" s="83"/>
    </row>
    <row r="28" spans="1:4" ht="30" customHeight="1" x14ac:dyDescent="0.15">
      <c r="A28" s="83"/>
      <c r="B28" s="84"/>
      <c r="C28" s="87"/>
      <c r="D28" s="83"/>
    </row>
    <row r="29" spans="1:4" ht="30" customHeight="1" x14ac:dyDescent="0.15">
      <c r="A29" s="83"/>
      <c r="B29" s="84"/>
      <c r="C29" s="87"/>
      <c r="D29" s="83"/>
    </row>
    <row r="30" spans="1:4" ht="30" customHeight="1" x14ac:dyDescent="0.15">
      <c r="A30" s="83"/>
      <c r="B30" s="84"/>
      <c r="C30" s="87"/>
      <c r="D30" s="83"/>
    </row>
    <row r="31" spans="1:4" ht="30" customHeight="1" x14ac:dyDescent="0.15">
      <c r="A31" s="83"/>
      <c r="B31" s="84"/>
      <c r="C31" s="87"/>
      <c r="D31" s="83"/>
    </row>
    <row r="32" spans="1:4" ht="30" customHeight="1" x14ac:dyDescent="0.15">
      <c r="A32" s="83"/>
      <c r="B32" s="84"/>
      <c r="C32" s="87"/>
      <c r="D32" s="83"/>
    </row>
    <row r="33" spans="1:4" ht="30" customHeight="1" x14ac:dyDescent="0.15">
      <c r="A33" s="83"/>
      <c r="B33" s="84"/>
      <c r="C33" s="87"/>
      <c r="D33" s="83"/>
    </row>
    <row r="34" spans="1:4" ht="30" customHeight="1" x14ac:dyDescent="0.15">
      <c r="A34" s="83"/>
      <c r="B34" s="84"/>
      <c r="C34" s="87"/>
      <c r="D34" s="83"/>
    </row>
    <row r="35" spans="1:4" ht="30" customHeight="1" x14ac:dyDescent="0.15">
      <c r="A35" s="83"/>
      <c r="B35" s="84"/>
      <c r="C35" s="87"/>
      <c r="D35" s="83"/>
    </row>
    <row r="36" spans="1:4" ht="30" customHeight="1" x14ac:dyDescent="0.15">
      <c r="A36" s="83"/>
      <c r="B36" s="84"/>
      <c r="C36" s="87"/>
      <c r="D36" s="83"/>
    </row>
    <row r="37" spans="1:4" ht="30" customHeight="1" x14ac:dyDescent="0.15">
      <c r="A37" s="83"/>
      <c r="B37" s="84"/>
      <c r="C37" s="87"/>
      <c r="D37" s="83"/>
    </row>
    <row r="38" spans="1:4" ht="30" customHeight="1" x14ac:dyDescent="0.15">
      <c r="A38" s="83"/>
      <c r="B38" s="84"/>
      <c r="C38" s="87"/>
      <c r="D38" s="83"/>
    </row>
    <row r="39" spans="1:4" ht="30" customHeight="1" x14ac:dyDescent="0.15">
      <c r="A39" s="83"/>
      <c r="B39" s="84"/>
      <c r="C39" s="87"/>
      <c r="D39" s="83"/>
    </row>
    <row r="40" spans="1:4" ht="30" customHeight="1" x14ac:dyDescent="0.15">
      <c r="A40" s="83"/>
      <c r="B40" s="84"/>
      <c r="C40" s="87"/>
      <c r="D40" s="83"/>
    </row>
    <row r="41" spans="1:4" ht="30" customHeight="1" x14ac:dyDescent="0.15">
      <c r="A41" s="83"/>
      <c r="B41" s="84"/>
      <c r="C41" s="87"/>
      <c r="D41" s="83"/>
    </row>
    <row r="42" spans="1:4" ht="30" customHeight="1" x14ac:dyDescent="0.15">
      <c r="A42" s="83"/>
      <c r="B42" s="84"/>
      <c r="C42" s="87"/>
      <c r="D42" s="83"/>
    </row>
    <row r="43" spans="1:4" ht="30" customHeight="1" x14ac:dyDescent="0.15">
      <c r="A43" s="83"/>
      <c r="B43" s="84"/>
      <c r="C43" s="87"/>
      <c r="D43" s="83"/>
    </row>
    <row r="44" spans="1:4" ht="30" customHeight="1" x14ac:dyDescent="0.15">
      <c r="A44" s="83"/>
      <c r="B44" s="84"/>
      <c r="C44" s="87"/>
      <c r="D44" s="83"/>
    </row>
    <row r="45" spans="1:4" ht="30" customHeight="1" x14ac:dyDescent="0.15">
      <c r="A45" s="83"/>
      <c r="B45" s="84"/>
      <c r="C45" s="87"/>
      <c r="D45" s="83"/>
    </row>
    <row r="46" spans="1:4" ht="30" customHeight="1" x14ac:dyDescent="0.15">
      <c r="A46" s="83"/>
      <c r="B46" s="84"/>
      <c r="C46" s="87"/>
      <c r="D46" s="83"/>
    </row>
    <row r="47" spans="1:4" ht="30" customHeight="1" x14ac:dyDescent="0.15">
      <c r="A47" s="83"/>
      <c r="B47" s="84"/>
      <c r="C47" s="87"/>
      <c r="D47" s="83"/>
    </row>
    <row r="48" spans="1:4" ht="30" customHeight="1" x14ac:dyDescent="0.15">
      <c r="A48" s="83"/>
      <c r="B48" s="84"/>
      <c r="C48" s="87"/>
      <c r="D48" s="83"/>
    </row>
    <row r="49" spans="1:4" ht="30" customHeight="1" x14ac:dyDescent="0.15">
      <c r="A49" s="83"/>
      <c r="B49" s="84"/>
      <c r="C49" s="87"/>
      <c r="D49" s="83"/>
    </row>
    <row r="50" spans="1:4" ht="30" customHeight="1" x14ac:dyDescent="0.15">
      <c r="A50" s="83"/>
      <c r="B50" s="84"/>
      <c r="C50" s="87"/>
      <c r="D50" s="83"/>
    </row>
    <row r="51" spans="1:4" ht="30" customHeight="1" x14ac:dyDescent="0.15">
      <c r="A51" s="83"/>
      <c r="B51" s="84"/>
      <c r="C51" s="87"/>
      <c r="D51" s="83"/>
    </row>
    <row r="52" spans="1:4" ht="30" customHeight="1" x14ac:dyDescent="0.15">
      <c r="A52" s="83"/>
      <c r="B52" s="84"/>
      <c r="C52" s="87"/>
      <c r="D52" s="83"/>
    </row>
    <row r="53" spans="1:4" ht="30" customHeight="1" x14ac:dyDescent="0.15">
      <c r="A53" s="83"/>
      <c r="B53" s="84"/>
      <c r="C53" s="87"/>
      <c r="D53" s="83"/>
    </row>
    <row r="54" spans="1:4" ht="30" customHeight="1" x14ac:dyDescent="0.15">
      <c r="A54" s="83"/>
      <c r="B54" s="84"/>
      <c r="C54" s="87"/>
      <c r="D54" s="83"/>
    </row>
    <row r="55" spans="1:4" ht="30" customHeight="1" x14ac:dyDescent="0.15">
      <c r="A55" s="83"/>
      <c r="B55" s="84"/>
      <c r="C55" s="87"/>
      <c r="D55" s="83"/>
    </row>
    <row r="56" spans="1:4" ht="30" customHeight="1" x14ac:dyDescent="0.15">
      <c r="A56" s="83"/>
      <c r="B56" s="84"/>
      <c r="C56" s="87"/>
      <c r="D56" s="83"/>
    </row>
    <row r="57" spans="1:4" ht="30" customHeight="1" x14ac:dyDescent="0.15">
      <c r="A57" s="83"/>
      <c r="B57" s="84"/>
      <c r="C57" s="87"/>
      <c r="D57" s="83"/>
    </row>
    <row r="58" spans="1:4" ht="30" customHeight="1" x14ac:dyDescent="0.15">
      <c r="A58" s="83"/>
      <c r="B58" s="84"/>
      <c r="C58" s="87"/>
      <c r="D58" s="83"/>
    </row>
    <row r="59" spans="1:4" ht="30" customHeight="1" x14ac:dyDescent="0.15">
      <c r="A59" s="83"/>
      <c r="B59" s="84"/>
      <c r="C59" s="87"/>
      <c r="D59" s="83"/>
    </row>
    <row r="60" spans="1:4" ht="30" customHeight="1" x14ac:dyDescent="0.15">
      <c r="A60" s="83"/>
      <c r="B60" s="84"/>
      <c r="C60" s="87"/>
      <c r="D60" s="83"/>
    </row>
    <row r="61" spans="1:4" ht="30" customHeight="1" x14ac:dyDescent="0.15">
      <c r="A61" s="83"/>
      <c r="B61" s="84"/>
      <c r="C61" s="87"/>
      <c r="D61" s="83"/>
    </row>
    <row r="62" spans="1:4" ht="30" customHeight="1" x14ac:dyDescent="0.15">
      <c r="A62" s="83"/>
      <c r="B62" s="84"/>
      <c r="C62" s="87"/>
      <c r="D62" s="83"/>
    </row>
    <row r="63" spans="1:4" ht="30" customHeight="1" x14ac:dyDescent="0.15">
      <c r="A63" s="83"/>
      <c r="B63" s="84"/>
      <c r="C63" s="87"/>
      <c r="D63" s="83"/>
    </row>
    <row r="64" spans="1:4" ht="30" customHeight="1" x14ac:dyDescent="0.15">
      <c r="A64" s="83"/>
      <c r="B64" s="84"/>
      <c r="C64" s="87"/>
      <c r="D64" s="83"/>
    </row>
    <row r="65" spans="1:4" ht="30" customHeight="1" x14ac:dyDescent="0.15">
      <c r="A65" s="83"/>
      <c r="B65" s="84"/>
      <c r="C65" s="87"/>
      <c r="D65" s="83"/>
    </row>
    <row r="66" spans="1:4" ht="30" customHeight="1" x14ac:dyDescent="0.15">
      <c r="A66" s="83"/>
      <c r="B66" s="84"/>
      <c r="C66" s="87"/>
      <c r="D66" s="83"/>
    </row>
    <row r="67" spans="1:4" ht="30" customHeight="1" x14ac:dyDescent="0.15">
      <c r="A67" s="83"/>
      <c r="B67" s="84"/>
      <c r="C67" s="87"/>
      <c r="D67" s="83"/>
    </row>
    <row r="68" spans="1:4" ht="30" customHeight="1" x14ac:dyDescent="0.15">
      <c r="A68" s="83"/>
      <c r="B68" s="84"/>
      <c r="C68" s="87"/>
      <c r="D68" s="83"/>
    </row>
    <row r="69" spans="1:4" ht="30" customHeight="1" x14ac:dyDescent="0.15">
      <c r="A69" s="83"/>
      <c r="B69" s="84"/>
      <c r="C69" s="87"/>
      <c r="D69" s="83"/>
    </row>
    <row r="70" spans="1:4" ht="30" customHeight="1" x14ac:dyDescent="0.15">
      <c r="A70" s="83"/>
      <c r="B70" s="84"/>
      <c r="C70" s="87"/>
      <c r="D70" s="83"/>
    </row>
    <row r="71" spans="1:4" ht="30" customHeight="1" x14ac:dyDescent="0.15">
      <c r="A71" s="83"/>
      <c r="B71" s="84"/>
      <c r="C71" s="87"/>
      <c r="D71" s="83"/>
    </row>
    <row r="72" spans="1:4" ht="30" customHeight="1" x14ac:dyDescent="0.15">
      <c r="A72" s="83"/>
      <c r="B72" s="84"/>
      <c r="C72" s="87"/>
      <c r="D72" s="83"/>
    </row>
    <row r="73" spans="1:4" ht="30" customHeight="1" x14ac:dyDescent="0.15">
      <c r="A73" s="83"/>
      <c r="B73" s="84"/>
      <c r="C73" s="87"/>
      <c r="D73" s="83"/>
    </row>
    <row r="74" spans="1:4" ht="30" customHeight="1" x14ac:dyDescent="0.15">
      <c r="A74" s="83"/>
      <c r="B74" s="84"/>
      <c r="C74" s="87"/>
      <c r="D74" s="83"/>
    </row>
    <row r="75" spans="1:4" ht="30" customHeight="1" x14ac:dyDescent="0.15">
      <c r="A75" s="83"/>
      <c r="B75" s="84"/>
      <c r="C75" s="87"/>
      <c r="D75" s="83"/>
    </row>
    <row r="76" spans="1:4" ht="30" customHeight="1" x14ac:dyDescent="0.15">
      <c r="A76" s="83"/>
      <c r="B76" s="84"/>
      <c r="C76" s="87"/>
      <c r="D76" s="83"/>
    </row>
    <row r="77" spans="1:4" ht="30" customHeight="1" x14ac:dyDescent="0.15">
      <c r="A77" s="83"/>
      <c r="B77" s="84"/>
      <c r="C77" s="87"/>
      <c r="D77" s="83"/>
    </row>
    <row r="78" spans="1:4" ht="30" customHeight="1" x14ac:dyDescent="0.15">
      <c r="A78" s="83"/>
      <c r="B78" s="84"/>
      <c r="C78" s="87"/>
      <c r="D78" s="83"/>
    </row>
    <row r="79" spans="1:4" ht="30" customHeight="1" x14ac:dyDescent="0.15">
      <c r="A79" s="83"/>
      <c r="B79" s="84"/>
      <c r="C79" s="87"/>
      <c r="D79" s="83"/>
    </row>
    <row r="80" spans="1:4" ht="30" customHeight="1" x14ac:dyDescent="0.15">
      <c r="A80" s="83"/>
      <c r="B80" s="84"/>
      <c r="C80" s="87"/>
      <c r="D80" s="83"/>
    </row>
    <row r="81" spans="1:4" ht="30" customHeight="1" x14ac:dyDescent="0.15">
      <c r="A81" s="83"/>
      <c r="B81" s="84"/>
      <c r="C81" s="87"/>
      <c r="D81" s="83"/>
    </row>
    <row r="82" spans="1:4" ht="30" customHeight="1" x14ac:dyDescent="0.15">
      <c r="A82" s="83"/>
      <c r="B82" s="84"/>
      <c r="C82" s="87"/>
      <c r="D82" s="83"/>
    </row>
    <row r="83" spans="1:4" ht="30" customHeight="1" x14ac:dyDescent="0.15">
      <c r="A83" s="83"/>
      <c r="B83" s="84"/>
      <c r="C83" s="87"/>
      <c r="D83" s="83"/>
    </row>
    <row r="84" spans="1:4" ht="30" customHeight="1" x14ac:dyDescent="0.15">
      <c r="A84" s="83"/>
      <c r="B84" s="84"/>
      <c r="C84" s="87"/>
      <c r="D84" s="83"/>
    </row>
    <row r="85" spans="1:4" ht="30" customHeight="1" x14ac:dyDescent="0.15">
      <c r="A85" s="83"/>
      <c r="B85" s="84"/>
      <c r="C85" s="87"/>
      <c r="D85" s="83"/>
    </row>
    <row r="86" spans="1:4" ht="30" customHeight="1" x14ac:dyDescent="0.15">
      <c r="A86" s="83"/>
      <c r="B86" s="84"/>
      <c r="C86" s="87"/>
      <c r="D86" s="83"/>
    </row>
    <row r="87" spans="1:4" ht="30" customHeight="1" x14ac:dyDescent="0.15">
      <c r="A87" s="83"/>
      <c r="B87" s="84"/>
      <c r="C87" s="87"/>
      <c r="D87" s="83"/>
    </row>
    <row r="88" spans="1:4" ht="30" customHeight="1" x14ac:dyDescent="0.15">
      <c r="A88" s="83"/>
      <c r="B88" s="84"/>
      <c r="C88" s="87"/>
      <c r="D88" s="83"/>
    </row>
    <row r="89" spans="1:4" ht="30" customHeight="1" x14ac:dyDescent="0.15">
      <c r="A89" s="83"/>
      <c r="B89" s="84"/>
      <c r="C89" s="87"/>
      <c r="D89" s="83"/>
    </row>
    <row r="90" spans="1:4" ht="30" customHeight="1" x14ac:dyDescent="0.15">
      <c r="A90" s="83"/>
      <c r="B90" s="84"/>
      <c r="C90" s="87"/>
      <c r="D90" s="83"/>
    </row>
    <row r="91" spans="1:4" ht="30" customHeight="1" x14ac:dyDescent="0.15">
      <c r="A91" s="83"/>
      <c r="B91" s="84"/>
      <c r="C91" s="87"/>
      <c r="D91" s="83"/>
    </row>
    <row r="92" spans="1:4" ht="30" customHeight="1" x14ac:dyDescent="0.15">
      <c r="A92" s="83"/>
      <c r="B92" s="84"/>
      <c r="C92" s="87"/>
      <c r="D92" s="83"/>
    </row>
    <row r="93" spans="1:4" ht="30" customHeight="1" x14ac:dyDescent="0.15">
      <c r="A93" s="83"/>
      <c r="B93" s="84"/>
      <c r="C93" s="87"/>
      <c r="D93" s="83"/>
    </row>
    <row r="94" spans="1:4" ht="30" customHeight="1" x14ac:dyDescent="0.15">
      <c r="A94" s="83"/>
      <c r="B94" s="84"/>
      <c r="C94" s="87"/>
      <c r="D94" s="83"/>
    </row>
    <row r="95" spans="1:4" ht="30" customHeight="1" x14ac:dyDescent="0.15">
      <c r="A95" s="83"/>
      <c r="B95" s="84"/>
      <c r="C95" s="87"/>
      <c r="D95" s="83"/>
    </row>
    <row r="96" spans="1:4" ht="30" customHeight="1" x14ac:dyDescent="0.15">
      <c r="A96" s="83"/>
      <c r="B96" s="84"/>
      <c r="C96" s="87"/>
      <c r="D96" s="83"/>
    </row>
    <row r="97" spans="1:4" ht="30" customHeight="1" x14ac:dyDescent="0.15">
      <c r="A97" s="83"/>
      <c r="B97" s="84"/>
      <c r="C97" s="87"/>
      <c r="D97" s="83"/>
    </row>
    <row r="98" spans="1:4" ht="30" customHeight="1" x14ac:dyDescent="0.15">
      <c r="A98" s="83"/>
      <c r="B98" s="84"/>
      <c r="C98" s="87"/>
      <c r="D98" s="83"/>
    </row>
    <row r="99" spans="1:4" ht="30" customHeight="1" x14ac:dyDescent="0.15">
      <c r="A99" s="83"/>
      <c r="B99" s="84"/>
      <c r="C99" s="87"/>
      <c r="D99" s="83"/>
    </row>
    <row r="100" spans="1:4" ht="30" customHeight="1" x14ac:dyDescent="0.15">
      <c r="A100" s="83"/>
      <c r="B100" s="84"/>
      <c r="C100" s="87"/>
      <c r="D100" s="83"/>
    </row>
    <row r="101" spans="1:4" ht="30" customHeight="1" x14ac:dyDescent="0.15">
      <c r="A101" s="83"/>
      <c r="B101" s="84"/>
      <c r="C101" s="87"/>
      <c r="D101" s="83"/>
    </row>
    <row r="102" spans="1:4" ht="30" customHeight="1" x14ac:dyDescent="0.15">
      <c r="A102" s="83"/>
      <c r="B102" s="84"/>
      <c r="C102" s="87"/>
      <c r="D102" s="83"/>
    </row>
    <row r="103" spans="1:4" ht="30" customHeight="1" x14ac:dyDescent="0.15">
      <c r="A103" s="83"/>
      <c r="B103" s="84"/>
      <c r="C103" s="87"/>
      <c r="D103" s="83"/>
    </row>
    <row r="104" spans="1:4" ht="30" customHeight="1" x14ac:dyDescent="0.15">
      <c r="A104" s="83"/>
      <c r="B104" s="84"/>
      <c r="C104" s="87"/>
      <c r="D104" s="83"/>
    </row>
    <row r="105" spans="1:4" ht="30" customHeight="1" x14ac:dyDescent="0.15">
      <c r="A105" s="83"/>
      <c r="B105" s="84"/>
      <c r="C105" s="87"/>
      <c r="D105" s="83"/>
    </row>
  </sheetData>
  <mergeCells count="1">
    <mergeCell ref="A1:D1"/>
  </mergeCells>
  <phoneticPr fontId="2"/>
  <pageMargins left="0.7" right="0.7" top="0.75" bottom="0.75" header="0.3" footer="0.3"/>
  <pageSetup paperSize="9" scale="72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108</vt:i4>
      </vt:variant>
    </vt:vector>
  </HeadingPairs>
  <TitlesOfParts>
    <vt:vector size="112" baseType="lpstr">
      <vt:lpstr>報告書</vt:lpstr>
      <vt:lpstr>報告書用元ﾃﾞｰﾀ</vt:lpstr>
      <vt:lpstr>試験成績書用紙</vt:lpstr>
      <vt:lpstr>改訂履歴</vt:lpstr>
      <vt:lpstr>Atusa</vt:lpstr>
      <vt:lpstr>AtusaT</vt:lpstr>
      <vt:lpstr>Data</vt:lpstr>
      <vt:lpstr>Data1</vt:lpstr>
      <vt:lpstr>Data2</vt:lpstr>
      <vt:lpstr>Debug</vt:lpstr>
      <vt:lpstr>Innsatu</vt:lpstr>
      <vt:lpstr>JituP1</vt:lpstr>
      <vt:lpstr>JituP2</vt:lpstr>
      <vt:lpstr>JituP3</vt:lpstr>
      <vt:lpstr>JituP4</vt:lpstr>
      <vt:lpstr>JituP5</vt:lpstr>
      <vt:lpstr>JituP6</vt:lpstr>
      <vt:lpstr>JituP7</vt:lpstr>
      <vt:lpstr>JituP8</vt:lpstr>
      <vt:lpstr>Jyoug1</vt:lpstr>
      <vt:lpstr>Jyoug2</vt:lpstr>
      <vt:lpstr>Jyoug3</vt:lpstr>
      <vt:lpstr>Jyoug4</vt:lpstr>
      <vt:lpstr>Jyoug5</vt:lpstr>
      <vt:lpstr>Jyoug6</vt:lpstr>
      <vt:lpstr>Jyoug7</vt:lpstr>
      <vt:lpstr>Jyoug8</vt:lpstr>
      <vt:lpstr>Kagen1</vt:lpstr>
      <vt:lpstr>Kagen2</vt:lpstr>
      <vt:lpstr>Kagen3</vt:lpstr>
      <vt:lpstr>Kagen4</vt:lpstr>
      <vt:lpstr>Kagen5</vt:lpstr>
      <vt:lpstr>Kagen6</vt:lpstr>
      <vt:lpstr>Kagen7</vt:lpstr>
      <vt:lpstr>Kagen8</vt:lpstr>
      <vt:lpstr>KaiCD1</vt:lpstr>
      <vt:lpstr>KaiCD2</vt:lpstr>
      <vt:lpstr>KaiCD3</vt:lpstr>
      <vt:lpstr>KaiCD4</vt:lpstr>
      <vt:lpstr>KaiCD5</vt:lpstr>
      <vt:lpstr>KaiCD6</vt:lpstr>
      <vt:lpstr>KaiCD7</vt:lpstr>
      <vt:lpstr>KaiCD8</vt:lpstr>
      <vt:lpstr>KaiName1</vt:lpstr>
      <vt:lpstr>KaiName2</vt:lpstr>
      <vt:lpstr>KaiName3</vt:lpstr>
      <vt:lpstr>KaiName4</vt:lpstr>
      <vt:lpstr>KaiName5</vt:lpstr>
      <vt:lpstr>KaiName6</vt:lpstr>
      <vt:lpstr>KaiName7</vt:lpstr>
      <vt:lpstr>KaiName8</vt:lpstr>
      <vt:lpstr>Keisask</vt:lpstr>
      <vt:lpstr>MokuCD</vt:lpstr>
      <vt:lpstr>mokuteki</vt:lpstr>
      <vt:lpstr>Pass</vt:lpstr>
      <vt:lpstr>報告書!Print_Area</vt:lpstr>
      <vt:lpstr>RicNoE1</vt:lpstr>
      <vt:lpstr>RicNoE2</vt:lpstr>
      <vt:lpstr>RicNoE3</vt:lpstr>
      <vt:lpstr>RicNoE4</vt:lpstr>
      <vt:lpstr>RicNoE5</vt:lpstr>
      <vt:lpstr>RicNoE6</vt:lpstr>
      <vt:lpstr>RicNoE7</vt:lpstr>
      <vt:lpstr>RicNoE8</vt:lpstr>
      <vt:lpstr>RicNoS1</vt:lpstr>
      <vt:lpstr>RicNoS2</vt:lpstr>
      <vt:lpstr>RicNoS3</vt:lpstr>
      <vt:lpstr>RicNoS4</vt:lpstr>
      <vt:lpstr>RicNoS5</vt:lpstr>
      <vt:lpstr>RicNoS6</vt:lpstr>
      <vt:lpstr>RicNoS7</vt:lpstr>
      <vt:lpstr>RicNoS8</vt:lpstr>
      <vt:lpstr>Rireki</vt:lpstr>
      <vt:lpstr>SaiSoku</vt:lpstr>
      <vt:lpstr>SebkNoTB</vt:lpstr>
      <vt:lpstr>SEnKind</vt:lpstr>
      <vt:lpstr>SenkNo</vt:lpstr>
      <vt:lpstr>SenSyu</vt:lpstr>
      <vt:lpstr>SikiKodo</vt:lpstr>
      <vt:lpstr>SiteiSN1</vt:lpstr>
      <vt:lpstr>SiteiSN2</vt:lpstr>
      <vt:lpstr>SiteiSN3</vt:lpstr>
      <vt:lpstr>SiteiSN4</vt:lpstr>
      <vt:lpstr>SiteiSN5</vt:lpstr>
      <vt:lpstr>SiteiSN6</vt:lpstr>
      <vt:lpstr>SiteiSN7</vt:lpstr>
      <vt:lpstr>SiteiSN8</vt:lpstr>
      <vt:lpstr>SokDate</vt:lpstr>
      <vt:lpstr>SoktCD</vt:lpstr>
      <vt:lpstr>SokutSN</vt:lpstr>
      <vt:lpstr>Sosi</vt:lpstr>
      <vt:lpstr>SyainTB</vt:lpstr>
      <vt:lpstr>Tani</vt:lpstr>
      <vt:lpstr>TuikaMin</vt:lpstr>
      <vt:lpstr>UkeNo1</vt:lpstr>
      <vt:lpstr>UkeNo11</vt:lpstr>
      <vt:lpstr>UkeNo2</vt:lpstr>
      <vt:lpstr>UkeNo22</vt:lpstr>
      <vt:lpstr>UkeNo3</vt:lpstr>
      <vt:lpstr>UkeNo33</vt:lpstr>
      <vt:lpstr>UkeNo4</vt:lpstr>
      <vt:lpstr>UkeNo44</vt:lpstr>
      <vt:lpstr>UkeNo5</vt:lpstr>
      <vt:lpstr>UkeNo55</vt:lpstr>
      <vt:lpstr>UkeNo6</vt:lpstr>
      <vt:lpstr>UkeNo66</vt:lpstr>
      <vt:lpstr>UkeNo7</vt:lpstr>
      <vt:lpstr>UkeNo77</vt:lpstr>
      <vt:lpstr>UkeNo8</vt:lpstr>
      <vt:lpstr>UkeNo88</vt:lpstr>
      <vt:lpstr>YousikiName</vt:lpstr>
      <vt:lpstr>YousikiNo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RIC-215</dc:creator>
  <cp:lastModifiedBy>RIC-232</cp:lastModifiedBy>
  <cp:lastPrinted>2020-05-01T05:02:13Z</cp:lastPrinted>
  <dcterms:created xsi:type="dcterms:W3CDTF">2008-09-29T09:15:32Z</dcterms:created>
  <dcterms:modified xsi:type="dcterms:W3CDTF">2025-01-28T04:23:01Z</dcterms:modified>
</cp:coreProperties>
</file>