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3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9.144.156\ExRicSys\"/>
    </mc:Choice>
  </mc:AlternateContent>
  <xr:revisionPtr revIDLastSave="0" documentId="13_ncr:1_{801AF2F2-327A-49B7-BBFD-42C9F10447D5}" xr6:coauthVersionLast="36" xr6:coauthVersionMax="36" xr10:uidLastSave="{00000000-0000-0000-0000-000000000000}"/>
  <bookViews>
    <workbookView xWindow="0" yWindow="0" windowWidth="15360" windowHeight="8865" xr2:uid="{00000000-000D-0000-FFFF-FFFF00000000}"/>
  </bookViews>
  <sheets>
    <sheet name="報告書" sheetId="1" r:id="rId1"/>
    <sheet name="試験成績書用紙" sheetId="4" r:id="rId2"/>
    <sheet name="改訂履歴" sheetId="5" r:id="rId3"/>
  </sheets>
  <functionGroups builtInGroupCount="19"/>
  <definedNames>
    <definedName name="Atusa">報告書!$AJ$7</definedName>
    <definedName name="AtusaT">報告書!$O$16</definedName>
    <definedName name="Data1">報告書!$G$7:$AN$7</definedName>
    <definedName name="Data2">報告書!$B$9:$AN$13</definedName>
    <definedName name="Debug">報告書!$A$1</definedName>
    <definedName name="JituP1">報告書!$AA$9</definedName>
    <definedName name="JituP2">報告書!$AA$10</definedName>
    <definedName name="JituP3">報告書!$AA$11</definedName>
    <definedName name="JituP4">報告書!$AA$12</definedName>
    <definedName name="JituP5">報告書!$AA$13</definedName>
    <definedName name="Jyoug1">報告書!$W$9</definedName>
    <definedName name="Jyoug2">報告書!$W$10</definedName>
    <definedName name="Jyoug3">報告書!$W$11</definedName>
    <definedName name="Jyoug4">報告書!$W$12</definedName>
    <definedName name="Jyoug5">報告書!$W$13</definedName>
    <definedName name="Kagen1">報告書!$S$9</definedName>
    <definedName name="Kagen2">報告書!$S$10</definedName>
    <definedName name="Kagen3">報告書!$S$11</definedName>
    <definedName name="Kagen4">報告書!$S$12</definedName>
    <definedName name="Kagen5">報告書!$S$13</definedName>
    <definedName name="KaiCD1">報告書!$AD$9</definedName>
    <definedName name="KaiCD2">報告書!$AD$10</definedName>
    <definedName name="KaiCD3">報告書!$AD$11</definedName>
    <definedName name="KaiCD4">報告書!$AD$12</definedName>
    <definedName name="KaiCD5">報告書!$AD$13</definedName>
    <definedName name="KaiName1">報告書!$AG$9</definedName>
    <definedName name="KaiName2">報告書!$AG$10</definedName>
    <definedName name="KaiName3">報告書!$AG$11</definedName>
    <definedName name="KaiName4">報告書!$AG$12</definedName>
    <definedName name="KaiName5">報告書!$AG$13</definedName>
    <definedName name="Keisask">報告書!$W$16</definedName>
    <definedName name="MokuCD">報告書!$BC$3</definedName>
    <definedName name="MokuSeu">報告書!#REF!</definedName>
    <definedName name="mokuteki">報告書!$BC$3:$BD$6</definedName>
    <definedName name="Pass">報告書!$AA$7</definedName>
    <definedName name="_xlnm.Print_Area" localSheetId="0">報告書!$B$1:$AN$30</definedName>
    <definedName name="RicNoE1">報告書!$K$9</definedName>
    <definedName name="RicNoE2">報告書!$K$10</definedName>
    <definedName name="RicNoE3">報告書!$K$11</definedName>
    <definedName name="RicNoE4">報告書!$K$12</definedName>
    <definedName name="RicNoE5">報告書!$K$13</definedName>
    <definedName name="RicNoS1">報告書!$G$9</definedName>
    <definedName name="RicNoS2">報告書!$G$10</definedName>
    <definedName name="RicNoS3">報告書!$G$11</definedName>
    <definedName name="RicNoS4">報告書!$G$12</definedName>
    <definedName name="RicNoS5">報告書!$G$13</definedName>
    <definedName name="Rireki">改訂履歴!$A$6:$D$112</definedName>
    <definedName name="SaiSoku">報告書!$O$7</definedName>
    <definedName name="SebkNoTB">報告書!$BG$3</definedName>
    <definedName name="SEnKind">報告書!$G$16</definedName>
    <definedName name="SenkNo">報告書!$B$7</definedName>
    <definedName name="SenSyu">報告書!$BC$10:$BC$12</definedName>
    <definedName name="SikiKodo">報告書!$AD$7</definedName>
    <definedName name="SiteiSN1">報告書!$O$9</definedName>
    <definedName name="SiteiSN2">報告書!$O$10</definedName>
    <definedName name="SiteiSN3">報告書!$O$11</definedName>
    <definedName name="SiteiSN4">報告書!$O$12</definedName>
    <definedName name="SiteiSN5">報告書!$O$13</definedName>
    <definedName name="SokDate">報告書!$G$7</definedName>
    <definedName name="SoktCD">報告書!$K$7</definedName>
    <definedName name="SokutSN">報告書!$S$7</definedName>
    <definedName name="Sosi">報告書!$AG$7</definedName>
    <definedName name="SyainTB">報告書!$BG$5:$BG$39</definedName>
    <definedName name="Tani">報告書!$W$7</definedName>
    <definedName name="Tuika">報告書!$E$3</definedName>
    <definedName name="TuikaMin">報告書!$BC$21</definedName>
    <definedName name="UkeNo1">報告書!$B$9</definedName>
    <definedName name="UkeNo2">報告書!$B$10</definedName>
    <definedName name="UkeNo3">報告書!$B$11</definedName>
    <definedName name="UkeNo4">報告書!$B$12</definedName>
    <definedName name="UkeNo5">報告書!$B$13</definedName>
    <definedName name="YousikiName">改訂履歴!$A$4</definedName>
    <definedName name="YousikiNo">改訂履歴!$D$4</definedName>
    <definedName name="Z_483C5E02_A279_4E47_B34C_46BF3C195F01_.wvu.PrintArea" localSheetId="0" hidden="1">報告書!$B$1:$AN$30</definedName>
  </definedNames>
  <calcPr calcId="191029"/>
  <customWorkbookViews>
    <customWorkbookView name="  - 個人用ビュー" guid="{483C5E02-A279-4E47-B34C-46BF3C195F01}" mergeInterval="0" personalView="1" maximized="1" showHorizontalScroll="0" showVerticalScroll="0" windowWidth="1012" windowHeight="591" activeSheetId="1" showFormulaBar="0" showComments="commIndAndComment"/>
  </customWorkbookViews>
</workbook>
</file>

<file path=xl/calcChain.xml><?xml version="1.0" encoding="utf-8"?>
<calcChain xmlns="http://schemas.openxmlformats.org/spreadsheetml/2006/main">
  <c r="B1" i="1" l="1"/>
  <c r="M3" i="1" l="1"/>
  <c r="B22" i="1" l="1"/>
  <c r="AA22" i="1" s="1"/>
  <c r="B21" i="1"/>
  <c r="AA21" i="1" s="1"/>
  <c r="B20" i="1"/>
  <c r="AA20" i="1" s="1"/>
  <c r="B19" i="1"/>
  <c r="AA19" i="1" s="1"/>
  <c r="B18" i="1"/>
  <c r="AA18" i="1" s="1"/>
  <c r="O18" i="1" l="1"/>
  <c r="W19" i="1"/>
  <c r="W20" i="1"/>
  <c r="W21" i="1"/>
  <c r="O22" i="1"/>
  <c r="O21" i="1"/>
  <c r="O20" i="1"/>
  <c r="O19" i="1"/>
  <c r="W22" i="1"/>
  <c r="W18" i="1"/>
  <c r="G18" i="1"/>
  <c r="G19" i="1"/>
  <c r="G20" i="1"/>
  <c r="G21" i="1"/>
  <c r="G22" i="1"/>
  <c r="AD22" i="1"/>
  <c r="AD21" i="1"/>
  <c r="AD20" i="1"/>
  <c r="AD19" i="1"/>
  <c r="AD18" i="1"/>
  <c r="K22" i="1" l="1"/>
  <c r="K21" i="1"/>
  <c r="K20" i="1"/>
  <c r="K19" i="1"/>
  <c r="S18" i="1"/>
  <c r="K18" i="1"/>
  <c r="J36" i="1" l="1"/>
  <c r="AD36" i="1"/>
  <c r="E36" i="1"/>
  <c r="I36" i="1"/>
  <c r="K36" i="1"/>
  <c r="AE36" i="1"/>
  <c r="L36" i="1"/>
  <c r="AF36" i="1"/>
  <c r="M36" i="1"/>
  <c r="AG36" i="1"/>
  <c r="N36" i="1"/>
  <c r="AH36" i="1"/>
  <c r="BF34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AX36" i="1"/>
  <c r="H36" i="1"/>
  <c r="G36" i="1"/>
  <c r="F36" i="1"/>
  <c r="D36" i="1"/>
  <c r="C36" i="1"/>
  <c r="B36" i="1"/>
  <c r="A36" i="1"/>
  <c r="G15" i="1"/>
  <c r="AQ39" i="1"/>
  <c r="S20" i="1" l="1"/>
  <c r="S22" i="1"/>
  <c r="S21" i="1"/>
  <c r="S19" i="1"/>
  <c r="S24" i="1" l="1"/>
  <c r="M24" i="1" l="1"/>
</calcChain>
</file>

<file path=xl/sharedStrings.xml><?xml version="1.0" encoding="utf-8"?>
<sst xmlns="http://schemas.openxmlformats.org/spreadsheetml/2006/main" count="275" uniqueCount="242">
  <si>
    <t>SESDATE</t>
  </si>
  <si>
    <t>SOKUTCD</t>
  </si>
  <si>
    <t>SENHFLG</t>
  </si>
  <si>
    <t>SOKUTSN</t>
  </si>
  <si>
    <t>PASS</t>
  </si>
  <si>
    <t>KEISASK</t>
  </si>
  <si>
    <t>ATUSA</t>
  </si>
  <si>
    <t>JITUNO</t>
  </si>
  <si>
    <t>UNO1</t>
  </si>
  <si>
    <t>UNO2</t>
  </si>
  <si>
    <t>UNO3</t>
  </si>
  <si>
    <t>UNO4</t>
  </si>
  <si>
    <t>FRICNO1</t>
  </si>
  <si>
    <t>FRICNO2</t>
  </si>
  <si>
    <t>FRICNO3</t>
  </si>
  <si>
    <t>FRICNO4</t>
  </si>
  <si>
    <t>LRICNO1</t>
  </si>
  <si>
    <t>LRICNO2</t>
  </si>
  <si>
    <t>LRICNO3</t>
  </si>
  <si>
    <t>LRICNO4</t>
  </si>
  <si>
    <t>SITEISN1</t>
  </si>
  <si>
    <t>SITEISN2</t>
  </si>
  <si>
    <t>SITEISN3</t>
  </si>
  <si>
    <t>SITEISN4</t>
  </si>
  <si>
    <t>KAGENSN1</t>
  </si>
  <si>
    <t>KAGENSN2</t>
  </si>
  <si>
    <t>KAGENSN3</t>
  </si>
  <si>
    <t>KAGENSN4</t>
  </si>
  <si>
    <t>JYOUGSN1</t>
  </si>
  <si>
    <t>JYOUGSN2</t>
  </si>
  <si>
    <t>JYOUGSN3</t>
  </si>
  <si>
    <t>JYOUGSN4</t>
  </si>
  <si>
    <t>KAISYACD1</t>
  </si>
  <si>
    <t>KAISYACD2</t>
  </si>
  <si>
    <t>KAISYACD3</t>
  </si>
  <si>
    <t>KAISYACD4</t>
  </si>
  <si>
    <t>KAINAME1</t>
  </si>
  <si>
    <t>KAINAME2</t>
  </si>
  <si>
    <t>KAINAME3</t>
  </si>
  <si>
    <t>KAINAME4</t>
  </si>
  <si>
    <t>ﾁｪｯｸ(測定者）</t>
  </si>
  <si>
    <t>線量計番号</t>
  </si>
  <si>
    <t>測定日</t>
  </si>
  <si>
    <t>測定者</t>
  </si>
  <si>
    <t>再測定者</t>
  </si>
  <si>
    <t>測定線量</t>
  </si>
  <si>
    <t>製品</t>
  </si>
  <si>
    <t>指定ﾊﾟｽ</t>
  </si>
  <si>
    <t>計算式</t>
  </si>
  <si>
    <t>厚さ(mm)</t>
  </si>
  <si>
    <t>受付番号</t>
  </si>
  <si>
    <t>開始RIC-NO</t>
  </si>
  <si>
    <t>終了RIC-NO</t>
  </si>
  <si>
    <t>指定線量</t>
  </si>
  <si>
    <t>下限線量</t>
  </si>
  <si>
    <t>上限線量</t>
  </si>
  <si>
    <t>実ﾊﾟｽ数</t>
  </si>
  <si>
    <t>会社ｺｰﾄﾞ</t>
  </si>
  <si>
    <t>会社名</t>
  </si>
  <si>
    <t>追加照射データ</t>
  </si>
  <si>
    <t>線量計種類</t>
  </si>
  <si>
    <t>追加ﾊﾟｽ数</t>
  </si>
  <si>
    <t>線量計厚さ</t>
    <phoneticPr fontId="5"/>
  </si>
  <si>
    <t>計算式ｺｰﾄﾞ</t>
    <rPh sb="0" eb="2">
      <t>ケイサン</t>
    </rPh>
    <rPh sb="2" eb="3">
      <t>シキ</t>
    </rPh>
    <phoneticPr fontId="5"/>
  </si>
  <si>
    <t>目的</t>
    <rPh sb="0" eb="2">
      <t>モクテキ</t>
    </rPh>
    <phoneticPr fontId="2"/>
  </si>
  <si>
    <t>本紙は照射計画作成後作業指図書に貼付すること</t>
    <rPh sb="0" eb="2">
      <t>ホンシ</t>
    </rPh>
    <rPh sb="3" eb="5">
      <t>ショウシャ</t>
    </rPh>
    <rPh sb="5" eb="7">
      <t>ケイカク</t>
    </rPh>
    <rPh sb="7" eb="10">
      <t>サクセイゴ</t>
    </rPh>
    <rPh sb="10" eb="12">
      <t>サギョウ</t>
    </rPh>
    <rPh sb="12" eb="14">
      <t>サシズ</t>
    </rPh>
    <rPh sb="14" eb="15">
      <t>ショ</t>
    </rPh>
    <rPh sb="16" eb="18">
      <t>テンプ</t>
    </rPh>
    <phoneticPr fontId="5"/>
  </si>
  <si>
    <t>TANI</t>
  </si>
  <si>
    <t>素子異常</t>
    <rPh sb="2" eb="4">
      <t>イジョウ</t>
    </rPh>
    <phoneticPr fontId="2"/>
  </si>
  <si>
    <t>素子異常</t>
    <rPh sb="0" eb="2">
      <t>ソシ</t>
    </rPh>
    <rPh sb="2" eb="4">
      <t>イジョウ</t>
    </rPh>
    <phoneticPr fontId="2"/>
  </si>
  <si>
    <t>無し</t>
    <rPh sb="0" eb="1">
      <t>ナ</t>
    </rPh>
    <phoneticPr fontId="2"/>
  </si>
  <si>
    <t>有</t>
    <rPh sb="0" eb="1">
      <t>アリ</t>
    </rPh>
    <phoneticPr fontId="2"/>
  </si>
  <si>
    <t>No</t>
    <phoneticPr fontId="2"/>
  </si>
  <si>
    <t>検査項目</t>
    <rPh sb="0" eb="2">
      <t>ケンサ</t>
    </rPh>
    <rPh sb="2" eb="4">
      <t>コウモク</t>
    </rPh>
    <phoneticPr fontId="2"/>
  </si>
  <si>
    <t>検査手順</t>
    <rPh sb="0" eb="2">
      <t>ケンサ</t>
    </rPh>
    <rPh sb="2" eb="4">
      <t>テジュン</t>
    </rPh>
    <phoneticPr fontId="2"/>
  </si>
  <si>
    <t>確認方法（判定基準）</t>
    <rPh sb="0" eb="2">
      <t>カクニン</t>
    </rPh>
    <rPh sb="2" eb="4">
      <t>ホウホウ</t>
    </rPh>
    <rPh sb="5" eb="7">
      <t>ハンテイ</t>
    </rPh>
    <rPh sb="7" eb="9">
      <t>キジュン</t>
    </rPh>
    <phoneticPr fontId="2"/>
  </si>
  <si>
    <t>判定</t>
    <rPh sb="0" eb="2">
      <t>ハンテイ</t>
    </rPh>
    <phoneticPr fontId="2"/>
  </si>
  <si>
    <t>起動時</t>
    <rPh sb="0" eb="2">
      <t>キドウ</t>
    </rPh>
    <rPh sb="2" eb="3">
      <t>ジ</t>
    </rPh>
    <phoneticPr fontId="2"/>
  </si>
  <si>
    <t>正常に起動するか</t>
    <rPh sb="0" eb="2">
      <t>セイジョウ</t>
    </rPh>
    <rPh sb="3" eb="5">
      <t>キドウ</t>
    </rPh>
    <phoneticPr fontId="2"/>
  </si>
  <si>
    <t>最新データが取り入られているか</t>
    <rPh sb="0" eb="2">
      <t>サイシン</t>
    </rPh>
    <rPh sb="6" eb="7">
      <t>ト</t>
    </rPh>
    <rPh sb="8" eb="9">
      <t>イ</t>
    </rPh>
    <phoneticPr fontId="2"/>
  </si>
  <si>
    <t>・追加照射データ</t>
    <rPh sb="1" eb="3">
      <t>ツイカ</t>
    </rPh>
    <rPh sb="3" eb="5">
      <t>ショウシャ</t>
    </rPh>
    <phoneticPr fontId="2"/>
  </si>
  <si>
    <t>・社員データ</t>
    <rPh sb="1" eb="3">
      <t>シャイン</t>
    </rPh>
    <phoneticPr fontId="2"/>
  </si>
  <si>
    <t>2号機測定データが正しいか</t>
    <rPh sb="1" eb="3">
      <t>ゴウキ</t>
    </rPh>
    <rPh sb="3" eb="5">
      <t>ソクテイ</t>
    </rPh>
    <rPh sb="9" eb="10">
      <t>タダ</t>
    </rPh>
    <phoneticPr fontId="2"/>
  </si>
  <si>
    <t>・測定日</t>
    <rPh sb="1" eb="3">
      <t>ソクテイ</t>
    </rPh>
    <rPh sb="3" eb="4">
      <t>ビ</t>
    </rPh>
    <phoneticPr fontId="2"/>
  </si>
  <si>
    <t>・測定者</t>
    <rPh sb="1" eb="3">
      <t>ソクテイ</t>
    </rPh>
    <rPh sb="3" eb="4">
      <t>シャ</t>
    </rPh>
    <phoneticPr fontId="2"/>
  </si>
  <si>
    <t>・測定線量</t>
    <rPh sb="1" eb="3">
      <t>ソクテイ</t>
    </rPh>
    <rPh sb="3" eb="5">
      <t>センリョウ</t>
    </rPh>
    <phoneticPr fontId="2"/>
  </si>
  <si>
    <t>・製品</t>
    <rPh sb="1" eb="3">
      <t>セイヒン</t>
    </rPh>
    <phoneticPr fontId="2"/>
  </si>
  <si>
    <t>・指定ﾊﾟｽ</t>
    <rPh sb="1" eb="3">
      <t>シテイ</t>
    </rPh>
    <phoneticPr fontId="2"/>
  </si>
  <si>
    <t>・計算式</t>
    <rPh sb="1" eb="3">
      <t>ケイサン</t>
    </rPh>
    <rPh sb="3" eb="4">
      <t>シキ</t>
    </rPh>
    <phoneticPr fontId="2"/>
  </si>
  <si>
    <t>・厚さ</t>
    <rPh sb="1" eb="2">
      <t>アツ</t>
    </rPh>
    <phoneticPr fontId="2"/>
  </si>
  <si>
    <t>・受付番号</t>
    <rPh sb="1" eb="3">
      <t>ウケツケ</t>
    </rPh>
    <rPh sb="3" eb="5">
      <t>バンゴウ</t>
    </rPh>
    <phoneticPr fontId="2"/>
  </si>
  <si>
    <t>・開始RIC-No</t>
    <rPh sb="1" eb="3">
      <t>カイシ</t>
    </rPh>
    <phoneticPr fontId="2"/>
  </si>
  <si>
    <t>・終了RIC-No</t>
    <rPh sb="1" eb="3">
      <t>シュウリョウ</t>
    </rPh>
    <phoneticPr fontId="2"/>
  </si>
  <si>
    <t>・指定線量</t>
    <rPh sb="1" eb="3">
      <t>シテイ</t>
    </rPh>
    <rPh sb="3" eb="5">
      <t>センリョウ</t>
    </rPh>
    <phoneticPr fontId="2"/>
  </si>
  <si>
    <t>・上限線量</t>
    <rPh sb="1" eb="3">
      <t>ジョウゲン</t>
    </rPh>
    <rPh sb="3" eb="5">
      <t>センリョウ</t>
    </rPh>
    <phoneticPr fontId="2"/>
  </si>
  <si>
    <t>・下限線量</t>
    <rPh sb="1" eb="3">
      <t>カゲン</t>
    </rPh>
    <rPh sb="3" eb="5">
      <t>センリョウ</t>
    </rPh>
    <phoneticPr fontId="2"/>
  </si>
  <si>
    <t>・実ﾊﾟｽ数</t>
    <rPh sb="1" eb="2">
      <t>ジツ</t>
    </rPh>
    <rPh sb="5" eb="6">
      <t>スウ</t>
    </rPh>
    <phoneticPr fontId="2"/>
  </si>
  <si>
    <t>・会社ｺｰﾄﾞ</t>
    <rPh sb="1" eb="3">
      <t>カイシャ</t>
    </rPh>
    <phoneticPr fontId="2"/>
  </si>
  <si>
    <t>・会社名</t>
    <rPh sb="1" eb="3">
      <t>カイシャ</t>
    </rPh>
    <rPh sb="3" eb="4">
      <t>メイ</t>
    </rPh>
    <phoneticPr fontId="2"/>
  </si>
  <si>
    <t>追加照射データが正しいか</t>
    <rPh sb="0" eb="2">
      <t>ツイカ</t>
    </rPh>
    <rPh sb="2" eb="4">
      <t>ショウシャ</t>
    </rPh>
    <rPh sb="8" eb="9">
      <t>タダ</t>
    </rPh>
    <phoneticPr fontId="2"/>
  </si>
  <si>
    <t>・追加ﾊﾟｽ数</t>
    <rPh sb="1" eb="3">
      <t>ツイカ</t>
    </rPh>
    <rPh sb="6" eb="7">
      <t>スウ</t>
    </rPh>
    <phoneticPr fontId="2"/>
  </si>
  <si>
    <t>印刷</t>
    <rPh sb="0" eb="2">
      <t>インサツ</t>
    </rPh>
    <phoneticPr fontId="2"/>
  </si>
  <si>
    <t>正しく印刷されているか</t>
    <rPh sb="0" eb="1">
      <t>タダ</t>
    </rPh>
    <rPh sb="3" eb="5">
      <t>インサツ</t>
    </rPh>
    <phoneticPr fontId="2"/>
  </si>
  <si>
    <t>終了</t>
    <rPh sb="0" eb="2">
      <t>シュウリョウ</t>
    </rPh>
    <phoneticPr fontId="2"/>
  </si>
  <si>
    <t>正常に終了する</t>
    <rPh sb="0" eb="2">
      <t>セイジョウ</t>
    </rPh>
    <rPh sb="3" eb="5">
      <t>シュウリョウ</t>
    </rPh>
    <phoneticPr fontId="2"/>
  </si>
  <si>
    <t>画面表示の内容</t>
    <rPh sb="0" eb="2">
      <t>ガメン</t>
    </rPh>
    <rPh sb="2" eb="4">
      <t>ヒョウジ</t>
    </rPh>
    <rPh sb="5" eb="7">
      <t>ナイヨウ</t>
    </rPh>
    <phoneticPr fontId="2"/>
  </si>
  <si>
    <t>機能確認の判定（判定基準：全て異常ないこと）</t>
    <rPh sb="0" eb="2">
      <t>キノウ</t>
    </rPh>
    <rPh sb="2" eb="4">
      <t>カクニン</t>
    </rPh>
    <rPh sb="5" eb="7">
      <t>ハンテイ</t>
    </rPh>
    <rPh sb="8" eb="10">
      <t>ハンテイ</t>
    </rPh>
    <rPh sb="10" eb="12">
      <t>キジュン</t>
    </rPh>
    <rPh sb="13" eb="14">
      <t>スベ</t>
    </rPh>
    <rPh sb="15" eb="17">
      <t>イジョウ</t>
    </rPh>
    <phoneticPr fontId="2"/>
  </si>
  <si>
    <t>確認日</t>
    <rPh sb="0" eb="2">
      <t>カクニン</t>
    </rPh>
    <rPh sb="2" eb="3">
      <t>ビ</t>
    </rPh>
    <phoneticPr fontId="2"/>
  </si>
  <si>
    <t>判定結果　合格　　不合格</t>
    <rPh sb="0" eb="2">
      <t>ハンテイ</t>
    </rPh>
    <rPh sb="2" eb="4">
      <t>ケッカ</t>
    </rPh>
    <rPh sb="5" eb="7">
      <t>ゴウカク</t>
    </rPh>
    <rPh sb="9" eb="12">
      <t>フゴウカク</t>
    </rPh>
    <phoneticPr fontId="2"/>
  </si>
  <si>
    <t>合</t>
    <rPh sb="0" eb="1">
      <t>ゴウ</t>
    </rPh>
    <phoneticPr fontId="2"/>
  </si>
  <si>
    <t>否</t>
    <rPh sb="0" eb="1">
      <t>ヒ</t>
    </rPh>
    <phoneticPr fontId="2"/>
  </si>
  <si>
    <t>印字内容と画面内容が一致していること</t>
    <rPh sb="0" eb="2">
      <t>インジ</t>
    </rPh>
    <rPh sb="2" eb="4">
      <t>ナイヨウ</t>
    </rPh>
    <rPh sb="5" eb="7">
      <t>ガメン</t>
    </rPh>
    <rPh sb="7" eb="9">
      <t>ナイヨウ</t>
    </rPh>
    <rPh sb="10" eb="12">
      <t>イッチ</t>
    </rPh>
    <phoneticPr fontId="2"/>
  </si>
  <si>
    <t>１／１</t>
    <phoneticPr fontId="2"/>
  </si>
  <si>
    <t>ページ</t>
    <phoneticPr fontId="2"/>
  </si>
  <si>
    <t>起動させる</t>
    <rPh sb="0" eb="2">
      <t>キドウ</t>
    </rPh>
    <phoneticPr fontId="2"/>
  </si>
  <si>
    <t>印刷する</t>
    <rPh sb="0" eb="2">
      <t>インサツ</t>
    </rPh>
    <phoneticPr fontId="2"/>
  </si>
  <si>
    <t>終了させる</t>
    <rPh sb="0" eb="2">
      <t>シュウリョウ</t>
    </rPh>
    <phoneticPr fontId="2"/>
  </si>
  <si>
    <t>SYKNO</t>
  </si>
  <si>
    <t>UNO5</t>
  </si>
  <si>
    <t>FRICNO5</t>
  </si>
  <si>
    <t>LRICNO5</t>
  </si>
  <si>
    <t>SITEISN5</t>
  </si>
  <si>
    <t>KAGENSN5</t>
  </si>
  <si>
    <t>JYOUGSN5</t>
  </si>
  <si>
    <t>KAISYACD5</t>
  </si>
  <si>
    <t>KAINAME5</t>
  </si>
  <si>
    <t>照射管理番号</t>
    <rPh sb="0" eb="2">
      <t>ショウシャ</t>
    </rPh>
    <rPh sb="2" eb="4">
      <t>カンリ</t>
    </rPh>
    <rPh sb="4" eb="6">
      <t>バンゴウ</t>
    </rPh>
    <phoneticPr fontId="2"/>
  </si>
  <si>
    <t>３号機測定データ</t>
    <phoneticPr fontId="2"/>
  </si>
  <si>
    <t>線量計の種類</t>
    <rPh sb="0" eb="3">
      <t>センリョウケイ</t>
    </rPh>
    <rPh sb="4" eb="6">
      <t>シュルイ</t>
    </rPh>
    <phoneticPr fontId="2"/>
  </si>
  <si>
    <t>ｺｰﾄﾞ</t>
    <phoneticPr fontId="2"/>
  </si>
  <si>
    <t>追加照射データ数</t>
    <rPh sb="0" eb="2">
      <t>ツイカ</t>
    </rPh>
    <rPh sb="2" eb="4">
      <t>ショウシャ</t>
    </rPh>
    <rPh sb="7" eb="8">
      <t>スウ</t>
    </rPh>
    <phoneticPr fontId="2"/>
  </si>
  <si>
    <t>Max件数</t>
    <rPh sb="3" eb="5">
      <t>ケンスウ</t>
    </rPh>
    <phoneticPr fontId="2"/>
  </si>
  <si>
    <t>３号機測定データが表示されない</t>
    <rPh sb="1" eb="3">
      <t>ゴウキ</t>
    </rPh>
    <rPh sb="3" eb="5">
      <t>ソクテイ</t>
    </rPh>
    <rPh sb="9" eb="11">
      <t>ヒョウジ</t>
    </rPh>
    <phoneticPr fontId="2"/>
  </si>
  <si>
    <t>線量不足でない照射管理番号の選択が出来ない</t>
    <rPh sb="0" eb="2">
      <t>センリョウ</t>
    </rPh>
    <rPh sb="2" eb="4">
      <t>フソク</t>
    </rPh>
    <rPh sb="7" eb="9">
      <t>ショウシャ</t>
    </rPh>
    <rPh sb="9" eb="11">
      <t>カンリ</t>
    </rPh>
    <rPh sb="11" eb="13">
      <t>バンゴウ</t>
    </rPh>
    <rPh sb="14" eb="16">
      <t>センタク</t>
    </rPh>
    <rPh sb="17" eb="19">
      <t>デキ</t>
    </rPh>
    <phoneticPr fontId="2"/>
  </si>
  <si>
    <t>線量不足の照射管理番号の選択（入力）</t>
    <rPh sb="0" eb="2">
      <t>センリョウ</t>
    </rPh>
    <rPh sb="2" eb="4">
      <t>フソク</t>
    </rPh>
    <rPh sb="5" eb="7">
      <t>ショウシャ</t>
    </rPh>
    <rPh sb="7" eb="9">
      <t>カンリ</t>
    </rPh>
    <rPh sb="9" eb="11">
      <t>バンゴウ</t>
    </rPh>
    <rPh sb="12" eb="14">
      <t>センタク</t>
    </rPh>
    <rPh sb="15" eb="17">
      <t>ニュウリョク</t>
    </rPh>
    <phoneticPr fontId="2"/>
  </si>
  <si>
    <t>作成日･作成者</t>
    <rPh sb="0" eb="3">
      <t>サクセイビ</t>
    </rPh>
    <rPh sb="4" eb="7">
      <t>サクセイシャ</t>
    </rPh>
    <phoneticPr fontId="5"/>
  </si>
  <si>
    <t>医療機器</t>
  </si>
  <si>
    <t>一般品</t>
  </si>
  <si>
    <t>試験照射</t>
  </si>
  <si>
    <t>「３号機線量不足報告書」作成プログラムテスト仕様書／結果報告書</t>
    <rPh sb="2" eb="4">
      <t>ゴウキ</t>
    </rPh>
    <rPh sb="4" eb="6">
      <t>センリョウ</t>
    </rPh>
    <rPh sb="6" eb="8">
      <t>フソク</t>
    </rPh>
    <rPh sb="8" eb="11">
      <t>ホウコクショ</t>
    </rPh>
    <rPh sb="12" eb="14">
      <t>サクセイ</t>
    </rPh>
    <rPh sb="22" eb="25">
      <t>シヨウショ</t>
    </rPh>
    <rPh sb="26" eb="28">
      <t>ケッカ</t>
    </rPh>
    <rPh sb="28" eb="31">
      <t>ホウコクショ</t>
    </rPh>
    <phoneticPr fontId="2"/>
  </si>
  <si>
    <t>検証担当者</t>
    <rPh sb="0" eb="2">
      <t>ケンショウ</t>
    </rPh>
    <rPh sb="2" eb="5">
      <t>タントウシャ</t>
    </rPh>
    <phoneticPr fontId="2"/>
  </si>
  <si>
    <t>線量計高・低閾値</t>
    <rPh sb="0" eb="2">
      <t>センリョウ</t>
    </rPh>
    <rPh sb="2" eb="3">
      <t>ケイ</t>
    </rPh>
    <rPh sb="3" eb="4">
      <t>コウ</t>
    </rPh>
    <rPh sb="5" eb="6">
      <t>テイ</t>
    </rPh>
    <rPh sb="6" eb="8">
      <t>シキイチ</t>
    </rPh>
    <phoneticPr fontId="2"/>
  </si>
  <si>
    <t>品質記録（品証課保管）</t>
    <rPh sb="0" eb="2">
      <t>ヒンシツ</t>
    </rPh>
    <rPh sb="2" eb="4">
      <t>キロク</t>
    </rPh>
    <rPh sb="5" eb="6">
      <t>ヒン</t>
    </rPh>
    <rPh sb="6" eb="7">
      <t>ショウ</t>
    </rPh>
    <rPh sb="7" eb="8">
      <t>カ</t>
    </rPh>
    <rPh sb="8" eb="10">
      <t>ホカン</t>
    </rPh>
    <phoneticPr fontId="2"/>
  </si>
  <si>
    <t>※版数</t>
    <rPh sb="1" eb="3">
      <t>ハンスウ</t>
    </rPh>
    <phoneticPr fontId="5"/>
  </si>
  <si>
    <t>制定／改定日</t>
    <rPh sb="0" eb="2">
      <t>セイテイ</t>
    </rPh>
    <rPh sb="3" eb="6">
      <t>カイテイビ</t>
    </rPh>
    <phoneticPr fontId="5"/>
  </si>
  <si>
    <t>改訂箇所／理由</t>
    <phoneticPr fontId="5"/>
  </si>
  <si>
    <t>登録者</t>
    <rPh sb="0" eb="3">
      <t>トウロクシャ</t>
    </rPh>
    <phoneticPr fontId="5"/>
  </si>
  <si>
    <t>新規制定</t>
    <rPh sb="0" eb="2">
      <t>シンキ</t>
    </rPh>
    <rPh sb="2" eb="4">
      <t>セイテイ</t>
    </rPh>
    <phoneticPr fontId="5"/>
  </si>
  <si>
    <t>阪井</t>
    <rPh sb="0" eb="2">
      <t>サカイ</t>
    </rPh>
    <phoneticPr fontId="5"/>
  </si>
  <si>
    <t>2002/10/22</t>
    <phoneticPr fontId="5"/>
  </si>
  <si>
    <t>2005/06/15</t>
    <phoneticPr fontId="5"/>
  </si>
  <si>
    <t>2006/08/30</t>
    <phoneticPr fontId="5"/>
  </si>
  <si>
    <t>2006/10/16</t>
    <phoneticPr fontId="5"/>
  </si>
  <si>
    <t>2007/09/04</t>
    <phoneticPr fontId="5"/>
  </si>
  <si>
    <t>2007/11/28</t>
    <phoneticPr fontId="5"/>
  </si>
  <si>
    <t>全面改訂</t>
    <rPh sb="0" eb="2">
      <t>ゼンメン</t>
    </rPh>
    <rPh sb="2" eb="4">
      <t>カイテイ</t>
    </rPh>
    <phoneticPr fontId="5"/>
  </si>
  <si>
    <t>小池</t>
    <rPh sb="0" eb="2">
      <t>コイケ</t>
    </rPh>
    <phoneticPr fontId="5"/>
  </si>
  <si>
    <t>2014/11/12</t>
    <phoneticPr fontId="5"/>
  </si>
  <si>
    <t>一部変更</t>
    <rPh sb="0" eb="2">
      <t>イチブ</t>
    </rPh>
    <rPh sb="2" eb="4">
      <t>ヘンコウ</t>
    </rPh>
    <phoneticPr fontId="5"/>
  </si>
  <si>
    <t>小笠原</t>
    <rPh sb="0" eb="3">
      <t>オガサワラ</t>
    </rPh>
    <phoneticPr fontId="5"/>
  </si>
  <si>
    <t>小池</t>
    <rPh sb="0" eb="2">
      <t>コイケ</t>
    </rPh>
    <phoneticPr fontId="2"/>
  </si>
  <si>
    <t>1999/3/4</t>
    <phoneticPr fontId="5"/>
  </si>
  <si>
    <t>見直し改訂</t>
    <rPh sb="0" eb="2">
      <t>ミナオ</t>
    </rPh>
    <rPh sb="3" eb="5">
      <t>カイテイ</t>
    </rPh>
    <phoneticPr fontId="5"/>
  </si>
  <si>
    <t>2001/12/3</t>
    <phoneticPr fontId="5"/>
  </si>
  <si>
    <t>測定線量記入欄を設けた</t>
    <rPh sb="0" eb="2">
      <t>ソクテイ</t>
    </rPh>
    <rPh sb="2" eb="4">
      <t>センリョウ</t>
    </rPh>
    <rPh sb="4" eb="6">
      <t>キニュウ</t>
    </rPh>
    <rPh sb="6" eb="7">
      <t>ラン</t>
    </rPh>
    <rPh sb="8" eb="9">
      <t>モウ</t>
    </rPh>
    <phoneticPr fontId="5"/>
  </si>
  <si>
    <t>追加製造判定を出荷判定に変更。追加判定日・追加判定者を判定日・判定者に変更</t>
    <rPh sb="0" eb="2">
      <t>ツイカ</t>
    </rPh>
    <rPh sb="2" eb="4">
      <t>セイゾウ</t>
    </rPh>
    <rPh sb="4" eb="5">
      <t>ハン</t>
    </rPh>
    <rPh sb="5" eb="6">
      <t>テイ</t>
    </rPh>
    <rPh sb="7" eb="9">
      <t>シュッカ</t>
    </rPh>
    <rPh sb="9" eb="10">
      <t>ハン</t>
    </rPh>
    <rPh sb="10" eb="11">
      <t>テイ</t>
    </rPh>
    <rPh sb="12" eb="14">
      <t>ヘンコウ</t>
    </rPh>
    <rPh sb="15" eb="17">
      <t>ツイカ</t>
    </rPh>
    <rPh sb="17" eb="19">
      <t>ハンテイ</t>
    </rPh>
    <rPh sb="19" eb="20">
      <t>ビ</t>
    </rPh>
    <rPh sb="21" eb="23">
      <t>ツイカ</t>
    </rPh>
    <rPh sb="23" eb="25">
      <t>ハンテイ</t>
    </rPh>
    <rPh sb="25" eb="26">
      <t>シャ</t>
    </rPh>
    <rPh sb="27" eb="29">
      <t>ハンテイ</t>
    </rPh>
    <rPh sb="29" eb="30">
      <t>ビ</t>
    </rPh>
    <rPh sb="31" eb="33">
      <t>ハンテイ</t>
    </rPh>
    <rPh sb="33" eb="34">
      <t>シャ</t>
    </rPh>
    <rPh sb="35" eb="37">
      <t>ヘンコウ</t>
    </rPh>
    <phoneticPr fontId="5"/>
  </si>
  <si>
    <t>γ照射課責任者を一般品と医療機器を分けた</t>
    <rPh sb="1" eb="3">
      <t>ショウシャ</t>
    </rPh>
    <rPh sb="3" eb="4">
      <t>カ</t>
    </rPh>
    <rPh sb="4" eb="7">
      <t>セキニンシャ</t>
    </rPh>
    <rPh sb="8" eb="10">
      <t>イッパン</t>
    </rPh>
    <rPh sb="10" eb="11">
      <t>ヒン</t>
    </rPh>
    <rPh sb="12" eb="14">
      <t>イリョウ</t>
    </rPh>
    <rPh sb="14" eb="15">
      <t>キ</t>
    </rPh>
    <rPh sb="15" eb="16">
      <t>キ</t>
    </rPh>
    <rPh sb="17" eb="18">
      <t>ワ</t>
    </rPh>
    <phoneticPr fontId="5"/>
  </si>
  <si>
    <t>課責任者に確認を求める内容を追加</t>
    <rPh sb="0" eb="1">
      <t>カ</t>
    </rPh>
    <rPh sb="1" eb="4">
      <t>セキニンシャ</t>
    </rPh>
    <rPh sb="5" eb="7">
      <t>カクニン</t>
    </rPh>
    <rPh sb="8" eb="9">
      <t>モト</t>
    </rPh>
    <rPh sb="11" eb="13">
      <t>ナイヨウ</t>
    </rPh>
    <rPh sb="14" eb="16">
      <t>ツイカ</t>
    </rPh>
    <phoneticPr fontId="5"/>
  </si>
  <si>
    <t>追加照射に使用する線量計からAmbを削除する</t>
    <rPh sb="0" eb="2">
      <t>ツイカ</t>
    </rPh>
    <rPh sb="2" eb="4">
      <t>ショウシャ</t>
    </rPh>
    <rPh sb="5" eb="7">
      <t>シヨウ</t>
    </rPh>
    <rPh sb="9" eb="11">
      <t>センリョウ</t>
    </rPh>
    <rPh sb="11" eb="12">
      <t>ケイ</t>
    </rPh>
    <rPh sb="18" eb="20">
      <t>サクジョ</t>
    </rPh>
    <phoneticPr fontId="5"/>
  </si>
  <si>
    <t>線量計種類変更</t>
    <rPh sb="0" eb="2">
      <t>センリョウ</t>
    </rPh>
    <rPh sb="2" eb="3">
      <t>ケイ</t>
    </rPh>
    <rPh sb="3" eb="5">
      <t>シュルイ</t>
    </rPh>
    <rPh sb="5" eb="7">
      <t>ヘンコウ</t>
    </rPh>
    <phoneticPr fontId="5"/>
  </si>
  <si>
    <t>2008/1/11</t>
    <phoneticPr fontId="5"/>
  </si>
  <si>
    <t>2008/4/11</t>
    <phoneticPr fontId="5"/>
  </si>
  <si>
    <t>2019/1/9</t>
    <phoneticPr fontId="5"/>
  </si>
  <si>
    <t>ﾁｪｯｸ</t>
    <phoneticPr fontId="2"/>
  </si>
  <si>
    <t>チェック</t>
    <phoneticPr fontId="2"/>
  </si>
  <si>
    <t>混載時追加照射ﾊﾟｽが異なるとき表示する機能追加
チェック項目を明記した</t>
    <rPh sb="0" eb="2">
      <t>コンサイ</t>
    </rPh>
    <rPh sb="2" eb="3">
      <t>ジ</t>
    </rPh>
    <rPh sb="3" eb="5">
      <t>ツイカ</t>
    </rPh>
    <rPh sb="5" eb="7">
      <t>ショウシャ</t>
    </rPh>
    <rPh sb="11" eb="12">
      <t>コト</t>
    </rPh>
    <rPh sb="16" eb="18">
      <t>ヒョウジ</t>
    </rPh>
    <rPh sb="20" eb="22">
      <t>キノウ</t>
    </rPh>
    <rPh sb="22" eb="24">
      <t>ツイカ</t>
    </rPh>
    <rPh sb="29" eb="31">
      <t>コウモク</t>
    </rPh>
    <rPh sb="32" eb="34">
      <t>メイキ</t>
    </rPh>
    <phoneticPr fontId="2"/>
  </si>
  <si>
    <t>・チェック項目</t>
    <rPh sb="5" eb="7">
      <t>コウモク</t>
    </rPh>
    <phoneticPr fontId="2"/>
  </si>
  <si>
    <t>追加機能</t>
    <rPh sb="0" eb="2">
      <t>ツイカ</t>
    </rPh>
    <rPh sb="2" eb="4">
      <t>キノウ</t>
    </rPh>
    <phoneticPr fontId="2"/>
  </si>
  <si>
    <t>追加パス数が</t>
    <rPh sb="0" eb="2">
      <t>ツイカ</t>
    </rPh>
    <rPh sb="4" eb="5">
      <t>スウ</t>
    </rPh>
    <phoneticPr fontId="2"/>
  </si>
  <si>
    <t>異なるときの表示</t>
    <rPh sb="6" eb="8">
      <t>ヒョウジ</t>
    </rPh>
    <phoneticPr fontId="2"/>
  </si>
  <si>
    <t>追加パス数計算結果が異なった場合「追加ﾊﾟｽ数異なるため課長に報告のこと」が表示されること</t>
    <rPh sb="0" eb="2">
      <t>ツイカ</t>
    </rPh>
    <rPh sb="4" eb="5">
      <t>スウ</t>
    </rPh>
    <rPh sb="5" eb="7">
      <t>ケイサン</t>
    </rPh>
    <rPh sb="7" eb="9">
      <t>ケッカ</t>
    </rPh>
    <rPh sb="10" eb="11">
      <t>コト</t>
    </rPh>
    <rPh sb="14" eb="16">
      <t>バアイ</t>
    </rPh>
    <rPh sb="17" eb="19">
      <t>ツイカ</t>
    </rPh>
    <rPh sb="22" eb="23">
      <t>スウ</t>
    </rPh>
    <rPh sb="23" eb="24">
      <t>コト</t>
    </rPh>
    <rPh sb="28" eb="30">
      <t>カチョウ</t>
    </rPh>
    <rPh sb="31" eb="33">
      <t>ホウコク</t>
    </rPh>
    <rPh sb="38" eb="40">
      <t>ヒョウジ</t>
    </rPh>
    <phoneticPr fontId="2"/>
  </si>
  <si>
    <t>下限線量が異なる製品の混載で追加ﾊﾟｽ数が異なったとき</t>
    <rPh sb="0" eb="2">
      <t>カゲン</t>
    </rPh>
    <rPh sb="2" eb="4">
      <t>センリョウ</t>
    </rPh>
    <rPh sb="5" eb="6">
      <t>コト</t>
    </rPh>
    <rPh sb="8" eb="10">
      <t>セイヒン</t>
    </rPh>
    <rPh sb="11" eb="13">
      <t>コンサイ</t>
    </rPh>
    <phoneticPr fontId="2"/>
  </si>
  <si>
    <t>機能追加（項目No4)に伴うテスト</t>
    <rPh sb="0" eb="2">
      <t>キノウ</t>
    </rPh>
    <rPh sb="2" eb="4">
      <t>ツイカ</t>
    </rPh>
    <rPh sb="5" eb="7">
      <t>コウモク</t>
    </rPh>
    <rPh sb="12" eb="13">
      <t>トモナ</t>
    </rPh>
    <phoneticPr fontId="2"/>
  </si>
  <si>
    <t>追加照射</t>
    <rPh sb="0" eb="2">
      <t>ツイカ</t>
    </rPh>
    <rPh sb="2" eb="4">
      <t>ショウシャ</t>
    </rPh>
    <phoneticPr fontId="2"/>
  </si>
  <si>
    <t>回目</t>
    <rPh sb="0" eb="2">
      <t>カイメ</t>
    </rPh>
    <phoneticPr fontId="2"/>
  </si>
  <si>
    <t/>
  </si>
  <si>
    <t>社員テーブル</t>
    <rPh sb="0" eb="2">
      <t>シャイン</t>
    </rPh>
    <phoneticPr fontId="2"/>
  </si>
  <si>
    <t>2019/10/28</t>
    <phoneticPr fontId="5"/>
  </si>
  <si>
    <t>2020/04/24</t>
    <phoneticPr fontId="2"/>
  </si>
  <si>
    <t>注意事項変更</t>
    <rPh sb="0" eb="2">
      <t>チュウイ</t>
    </rPh>
    <rPh sb="2" eb="4">
      <t>ジコウ</t>
    </rPh>
    <rPh sb="4" eb="6">
      <t>ヘンコウ</t>
    </rPh>
    <phoneticPr fontId="5"/>
  </si>
  <si>
    <t>木暮</t>
    <rPh sb="0" eb="2">
      <t>コグレ</t>
    </rPh>
    <phoneticPr fontId="2"/>
  </si>
  <si>
    <t>以下余白</t>
    <rPh sb="0" eb="2">
      <t>イカ</t>
    </rPh>
    <rPh sb="2" eb="4">
      <t>ヨハク</t>
    </rPh>
    <phoneticPr fontId="2"/>
  </si>
  <si>
    <t>様式 G3-08の改訂履歴</t>
    <rPh sb="9" eb="11">
      <t>カイテイ</t>
    </rPh>
    <rPh sb="11" eb="13">
      <t>リレキ</t>
    </rPh>
    <phoneticPr fontId="5"/>
  </si>
  <si>
    <t>2020/5/1</t>
    <phoneticPr fontId="2"/>
  </si>
  <si>
    <t>小池</t>
    <rPh sb="0" eb="2">
      <t>コイケ</t>
    </rPh>
    <phoneticPr fontId="2"/>
  </si>
  <si>
    <t>追加照射　回目表記を追加</t>
    <rPh sb="0" eb="2">
      <t>ツイカ</t>
    </rPh>
    <rPh sb="2" eb="4">
      <t>ショウシャ</t>
    </rPh>
    <rPh sb="5" eb="7">
      <t>カイメ</t>
    </rPh>
    <rPh sb="7" eb="9">
      <t>ヒョウキ</t>
    </rPh>
    <rPh sb="10" eb="12">
      <t>ツイカ</t>
    </rPh>
    <phoneticPr fontId="2"/>
  </si>
  <si>
    <t>様式名</t>
  </si>
  <si>
    <t>３号機線量不足報告書</t>
    <rPh sb="1" eb="2">
      <t>ゴウ</t>
    </rPh>
    <rPh sb="2" eb="3">
      <t>キ</t>
    </rPh>
    <rPh sb="3" eb="5">
      <t>センリョウ</t>
    </rPh>
    <rPh sb="5" eb="7">
      <t>フソク</t>
    </rPh>
    <rPh sb="7" eb="9">
      <t>ホウコク</t>
    </rPh>
    <rPh sb="9" eb="10">
      <t>ショ</t>
    </rPh>
    <phoneticPr fontId="5"/>
  </si>
  <si>
    <t xml:space="preserve"> G03-08</t>
  </si>
  <si>
    <t>様式番号</t>
  </si>
  <si>
    <t>※改訂後の版数を記入</t>
  </si>
  <si>
    <t>小池剛太郎　　</t>
  </si>
  <si>
    <t>斉藤敏夫</t>
  </si>
  <si>
    <t>内堀　路弘</t>
  </si>
  <si>
    <t>桜井　宏</t>
  </si>
  <si>
    <t>武藤　健　　　　　　</t>
  </si>
  <si>
    <t>碓氷和利</t>
  </si>
  <si>
    <t>大沢晃二　　　　　　</t>
  </si>
  <si>
    <t>新井康介　　　　　　</t>
  </si>
  <si>
    <t>真塩　真</t>
  </si>
  <si>
    <t>新井行二　　　　　　</t>
  </si>
  <si>
    <t>小笠原正美</t>
  </si>
  <si>
    <t>塚越薫</t>
  </si>
  <si>
    <t>中野　裕介</t>
  </si>
  <si>
    <t>矢島由紀子</t>
  </si>
  <si>
    <t>富岡千佳志</t>
  </si>
  <si>
    <t>小林祥太</t>
  </si>
  <si>
    <t>真庭　茂之</t>
  </si>
  <si>
    <t>市川達也</t>
  </si>
  <si>
    <t>有坂陽介</t>
  </si>
  <si>
    <t>樋口尊史</t>
  </si>
  <si>
    <t>中野友里恵</t>
  </si>
  <si>
    <t>木暮恵一</t>
  </si>
  <si>
    <t>栗原健太</t>
  </si>
  <si>
    <t>佐藤　淳</t>
  </si>
  <si>
    <t>山手裕介</t>
  </si>
  <si>
    <t>佐藤佑樹</t>
  </si>
  <si>
    <t>五十嵐　巧</t>
  </si>
  <si>
    <t>友松美沙季</t>
  </si>
  <si>
    <t>井上航希</t>
  </si>
  <si>
    <t>矢田　恭章</t>
  </si>
  <si>
    <t>齋藤　慶</t>
  </si>
  <si>
    <t>竹田真次郎</t>
  </si>
  <si>
    <t>小柏　勇人</t>
  </si>
  <si>
    <t>須藤みずえ</t>
  </si>
  <si>
    <t>永井典子</t>
  </si>
  <si>
    <t>RaH</t>
  </si>
  <si>
    <t>RaL</t>
  </si>
  <si>
    <t>CTA</t>
  </si>
  <si>
    <r>
      <t>３号機線量不足報告書　住友電工専用</t>
    </r>
    <r>
      <rPr>
        <sz val="12"/>
        <rFont val="ＭＳ Ｐゴシック"/>
        <family val="3"/>
        <charset val="128"/>
      </rPr>
      <t>（工程確認･追加照射指示書）</t>
    </r>
    <rPh sb="1" eb="3">
      <t>ゴウキ</t>
    </rPh>
    <rPh sb="3" eb="5">
      <t>センリョウ</t>
    </rPh>
    <rPh sb="5" eb="7">
      <t>フソク</t>
    </rPh>
    <rPh sb="7" eb="9">
      <t>ホウコク</t>
    </rPh>
    <rPh sb="9" eb="10">
      <t>ショ</t>
    </rPh>
    <rPh sb="11" eb="13">
      <t>スミトモ</t>
    </rPh>
    <rPh sb="13" eb="15">
      <t>デンコウ</t>
    </rPh>
    <rPh sb="15" eb="17">
      <t>センヨウ</t>
    </rPh>
    <rPh sb="18" eb="20">
      <t>コウテイ</t>
    </rPh>
    <rPh sb="20" eb="22">
      <t>カクニン</t>
    </rPh>
    <rPh sb="23" eb="25">
      <t>ツイカ</t>
    </rPh>
    <rPh sb="25" eb="27">
      <t>ショウシャ</t>
    </rPh>
    <rPh sb="27" eb="30">
      <t>シジショ</t>
    </rPh>
    <phoneticPr fontId="5"/>
  </si>
  <si>
    <t>2023/9/7</t>
    <phoneticPr fontId="2"/>
  </si>
  <si>
    <t>追加予測線量と下限線量が2kGy以下のとき1pass追加される</t>
    <rPh sb="0" eb="2">
      <t>ツイカ</t>
    </rPh>
    <rPh sb="2" eb="4">
      <t>ヨソク</t>
    </rPh>
    <rPh sb="4" eb="6">
      <t>センリョウ</t>
    </rPh>
    <rPh sb="7" eb="9">
      <t>カゲン</t>
    </rPh>
    <rPh sb="9" eb="11">
      <t>センリョウ</t>
    </rPh>
    <rPh sb="16" eb="18">
      <t>イカ</t>
    </rPh>
    <rPh sb="26" eb="28">
      <t>ツイカ</t>
    </rPh>
    <phoneticPr fontId="2"/>
  </si>
  <si>
    <t>樋口</t>
    <rPh sb="0" eb="2">
      <t>ヒグチ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</si>
</sst>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/m/d;@"/>
    <numFmt numFmtId="177" formatCode="yy/m/d;@"/>
    <numFmt numFmtId="178" formatCode="0.000_ "/>
    <numFmt numFmtId="179" formatCode="000000&quot;-&quot;0000"/>
    <numFmt numFmtId="180" formatCode="0000"/>
    <numFmt numFmtId="181" formatCode="0.000_);[Red]\(0.000\)"/>
    <numFmt numFmtId="182" formatCode="0.00&quot; mm&quot;"/>
  </numFmts>
  <fonts count="17" x14ac:knownFonts="1">
    <font>
      <sz val="12"/>
      <name val="ＭＳ ゴシック"/>
      <family val="3"/>
      <charset val="128"/>
    </font>
    <font>
      <sz val="12"/>
      <name val="ＭＳ ゴシック"/>
      <family val="3"/>
      <charset val="128"/>
    </font>
    <font>
      <sz val="6"/>
      <name val="ＭＳ ゴシック"/>
      <family val="3"/>
      <charset val="128"/>
    </font>
    <font>
      <sz val="20"/>
      <name val="ＭＳ Ｐゴシック"/>
      <family val="3"/>
      <charset val="128"/>
    </font>
    <font>
      <sz val="12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4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4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name val="ＭＳ ゴシック"/>
      <family val="3"/>
      <charset val="128"/>
    </font>
    <font>
      <b/>
      <sz val="16"/>
      <name val="ＭＳ Ｐゴシック"/>
      <family val="3"/>
      <charset val="128"/>
    </font>
    <font>
      <b/>
      <sz val="14"/>
      <name val="ＭＳ 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</fills>
  <borders count="5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23"/>
      </right>
      <top style="thin">
        <color indexed="64"/>
      </top>
      <bottom style="thin">
        <color indexed="64"/>
      </bottom>
      <diagonal/>
    </border>
    <border>
      <left style="hair">
        <color indexed="23"/>
      </left>
      <right style="thin">
        <color indexed="23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hair">
        <color indexed="23"/>
      </right>
      <top style="thin">
        <color indexed="64"/>
      </top>
      <bottom style="thin">
        <color indexed="64"/>
      </bottom>
      <diagonal/>
    </border>
    <border>
      <left style="hair">
        <color indexed="23"/>
      </left>
      <right style="hair">
        <color indexed="23"/>
      </right>
      <top style="thin">
        <color indexed="64"/>
      </top>
      <bottom style="thin">
        <color indexed="64"/>
      </bottom>
      <diagonal/>
    </border>
    <border>
      <left style="hair">
        <color indexed="23"/>
      </left>
      <right style="hair">
        <color indexed="23"/>
      </right>
      <top/>
      <bottom style="thin">
        <color indexed="64"/>
      </bottom>
      <diagonal/>
    </border>
    <border>
      <left style="hair">
        <color indexed="23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23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23"/>
      </left>
      <right style="hair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96">
    <xf numFmtId="0" fontId="0" fillId="0" borderId="0" xfId="0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0" fontId="7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6" fillId="2" borderId="3" xfId="0" applyFont="1" applyFill="1" applyBorder="1" applyAlignment="1"/>
    <xf numFmtId="0" fontId="6" fillId="2" borderId="4" xfId="0" applyFont="1" applyFill="1" applyBorder="1" applyAlignment="1"/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4" fillId="0" borderId="7" xfId="0" applyFont="1" applyBorder="1">
      <alignment vertical="center"/>
    </xf>
    <xf numFmtId="0" fontId="14" fillId="0" borderId="8" xfId="0" applyFont="1" applyBorder="1">
      <alignment vertical="center"/>
    </xf>
    <xf numFmtId="0" fontId="14" fillId="0" borderId="9" xfId="0" applyFont="1" applyBorder="1">
      <alignment vertical="center"/>
    </xf>
    <xf numFmtId="0" fontId="14" fillId="0" borderId="10" xfId="0" applyFont="1" applyBorder="1">
      <alignment vertical="center"/>
    </xf>
    <xf numFmtId="0" fontId="14" fillId="0" borderId="1" xfId="0" applyFont="1" applyBorder="1">
      <alignment vertical="center"/>
    </xf>
    <xf numFmtId="0" fontId="14" fillId="0" borderId="11" xfId="0" applyFont="1" applyBorder="1">
      <alignment vertical="center"/>
    </xf>
    <xf numFmtId="0" fontId="14" fillId="0" borderId="12" xfId="0" applyFont="1" applyBorder="1">
      <alignment vertical="center"/>
    </xf>
    <xf numFmtId="0" fontId="14" fillId="0" borderId="13" xfId="0" applyFont="1" applyBorder="1">
      <alignment vertical="center"/>
    </xf>
    <xf numFmtId="0" fontId="14" fillId="0" borderId="0" xfId="0" applyFont="1" applyAlignment="1">
      <alignment vertical="top" wrapText="1"/>
    </xf>
    <xf numFmtId="0" fontId="14" fillId="0" borderId="1" xfId="0" applyFont="1" applyBorder="1" applyAlignment="1">
      <alignment vertical="top" wrapText="1"/>
    </xf>
    <xf numFmtId="0" fontId="14" fillId="0" borderId="0" xfId="0" applyFont="1" applyAlignment="1">
      <alignment horizontal="center" vertical="center"/>
    </xf>
    <xf numFmtId="0" fontId="14" fillId="0" borderId="14" xfId="0" applyFont="1" applyBorder="1">
      <alignment vertical="center"/>
    </xf>
    <xf numFmtId="0" fontId="14" fillId="0" borderId="15" xfId="0" applyFont="1" applyBorder="1">
      <alignment vertical="center"/>
    </xf>
    <xf numFmtId="0" fontId="14" fillId="0" borderId="16" xfId="0" applyFont="1" applyBorder="1">
      <alignment vertical="center"/>
    </xf>
    <xf numFmtId="0" fontId="14" fillId="0" borderId="17" xfId="0" applyFont="1" applyBorder="1">
      <alignment vertical="center"/>
    </xf>
    <xf numFmtId="0" fontId="14" fillId="0" borderId="18" xfId="0" applyFont="1" applyBorder="1">
      <alignment vertical="center"/>
    </xf>
    <xf numFmtId="0" fontId="14" fillId="0" borderId="19" xfId="0" applyFont="1" applyBorder="1">
      <alignment vertical="center"/>
    </xf>
    <xf numFmtId="0" fontId="14" fillId="0" borderId="0" xfId="0" quotePrefix="1" applyFont="1">
      <alignment vertical="center"/>
    </xf>
    <xf numFmtId="0" fontId="14" fillId="0" borderId="20" xfId="0" applyFont="1" applyBorder="1">
      <alignment vertical="center"/>
    </xf>
    <xf numFmtId="0" fontId="14" fillId="0" borderId="21" xfId="0" applyFont="1" applyBorder="1">
      <alignment vertical="center"/>
    </xf>
    <xf numFmtId="0" fontId="14" fillId="0" borderId="22" xfId="0" applyFont="1" applyBorder="1">
      <alignment vertical="center"/>
    </xf>
    <xf numFmtId="0" fontId="14" fillId="0" borderId="23" xfId="0" applyFont="1" applyBorder="1">
      <alignment vertical="center"/>
    </xf>
    <xf numFmtId="0" fontId="14" fillId="0" borderId="24" xfId="0" applyFont="1" applyBorder="1">
      <alignment vertical="center"/>
    </xf>
    <xf numFmtId="0" fontId="14" fillId="0" borderId="25" xfId="0" applyFont="1" applyBorder="1">
      <alignment vertical="center"/>
    </xf>
    <xf numFmtId="0" fontId="14" fillId="0" borderId="26" xfId="0" applyFont="1" applyBorder="1">
      <alignment vertical="center"/>
    </xf>
    <xf numFmtId="0" fontId="14" fillId="0" borderId="27" xfId="0" applyFont="1" applyBorder="1">
      <alignment vertical="center"/>
    </xf>
    <xf numFmtId="0" fontId="14" fillId="0" borderId="28" xfId="0" applyFont="1" applyBorder="1">
      <alignment vertical="center"/>
    </xf>
    <xf numFmtId="0" fontId="14" fillId="0" borderId="29" xfId="0" applyFont="1" applyBorder="1">
      <alignment vertical="center"/>
    </xf>
    <xf numFmtId="0" fontId="14" fillId="0" borderId="30" xfId="0" applyFont="1" applyBorder="1">
      <alignment vertical="center"/>
    </xf>
    <xf numFmtId="0" fontId="14" fillId="0" borderId="31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8" fillId="0" borderId="2" xfId="0" applyFont="1" applyBorder="1">
      <alignment vertical="center"/>
    </xf>
    <xf numFmtId="0" fontId="11" fillId="0" borderId="0" xfId="0" applyFont="1">
      <alignment vertical="center"/>
    </xf>
    <xf numFmtId="0" fontId="3" fillId="0" borderId="0" xfId="0" applyFont="1">
      <alignment vertical="center"/>
    </xf>
    <xf numFmtId="0" fontId="15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6" fillId="0" borderId="2" xfId="0" applyFont="1" applyBorder="1">
      <alignment vertical="center"/>
    </xf>
    <xf numFmtId="0" fontId="6" fillId="0" borderId="10" xfId="0" applyFont="1" applyBorder="1">
      <alignment vertical="center"/>
    </xf>
    <xf numFmtId="49" fontId="6" fillId="0" borderId="10" xfId="0" applyNumberFormat="1" applyFont="1" applyBorder="1">
      <alignment vertical="center"/>
    </xf>
    <xf numFmtId="0" fontId="6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0" xfId="0" applyFont="1" applyBorder="1" applyAlignment="1">
      <alignment vertical="top" wrapText="1"/>
    </xf>
    <xf numFmtId="0" fontId="14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49" fontId="6" fillId="0" borderId="10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2" borderId="56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14" fillId="0" borderId="10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1" xfId="0" applyFont="1" applyBorder="1" applyAlignment="1">
      <alignment vertical="center" wrapText="1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0" fontId="8" fillId="0" borderId="37" xfId="0" applyFont="1" applyBorder="1">
      <alignment vertical="center"/>
    </xf>
    <xf numFmtId="0" fontId="6" fillId="0" borderId="1" xfId="0" applyFont="1" applyBorder="1">
      <alignment vertical="center"/>
    </xf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181" fontId="7" fillId="0" borderId="34" xfId="0" applyNumberFormat="1" applyFont="1" applyBorder="1" applyAlignment="1">
      <alignment horizontal="center"/>
    </xf>
    <xf numFmtId="180" fontId="7" fillId="0" borderId="34" xfId="0" applyNumberFormat="1" applyFont="1" applyBorder="1" applyAlignment="1">
      <alignment horizontal="center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46" xfId="0" applyFont="1" applyFill="1" applyBorder="1" applyAlignment="1">
      <alignment horizontal="center" vertical="center" shrinkToFit="1"/>
    </xf>
    <xf numFmtId="0" fontId="6" fillId="2" borderId="47" xfId="0" applyFont="1" applyFill="1" applyBorder="1" applyAlignment="1">
      <alignment horizontal="center" vertical="center" shrinkToFit="1"/>
    </xf>
    <xf numFmtId="0" fontId="7" fillId="0" borderId="34" xfId="0" applyFont="1" applyBorder="1" applyAlignment="1">
      <alignment horizontal="center"/>
    </xf>
    <xf numFmtId="0" fontId="4" fillId="0" borderId="34" xfId="0" applyFont="1" applyBorder="1" applyAlignment="1"/>
    <xf numFmtId="0" fontId="4" fillId="0" borderId="27" xfId="0" applyFont="1" applyBorder="1" applyAlignment="1"/>
    <xf numFmtId="0" fontId="6" fillId="2" borderId="5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32" xfId="0" applyFont="1" applyBorder="1" applyAlignment="1"/>
    <xf numFmtId="0" fontId="1" fillId="0" borderId="31" xfId="0" applyFont="1" applyBorder="1" applyAlignment="1"/>
    <xf numFmtId="0" fontId="7" fillId="0" borderId="32" xfId="0" applyFont="1" applyBorder="1" applyAlignment="1">
      <alignment horizontal="center"/>
    </xf>
    <xf numFmtId="180" fontId="7" fillId="0" borderId="32" xfId="0" applyNumberFormat="1" applyFont="1" applyBorder="1" applyAlignment="1">
      <alignment horizontal="center"/>
    </xf>
    <xf numFmtId="181" fontId="7" fillId="0" borderId="32" xfId="0" applyNumberFormat="1" applyFont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6" fillId="2" borderId="2" xfId="0" applyFont="1" applyFill="1" applyBorder="1" applyAlignment="1">
      <alignment horizontal="center" shrinkToFit="1"/>
    </xf>
    <xf numFmtId="0" fontId="6" fillId="2" borderId="37" xfId="0" applyFont="1" applyFill="1" applyBorder="1" applyAlignment="1">
      <alignment horizontal="center"/>
    </xf>
    <xf numFmtId="0" fontId="9" fillId="0" borderId="37" xfId="0" applyFont="1" applyBorder="1" applyAlignment="1">
      <alignment horizontal="center"/>
    </xf>
    <xf numFmtId="180" fontId="7" fillId="0" borderId="33" xfId="0" applyNumberFormat="1" applyFont="1" applyBorder="1" applyAlignment="1">
      <alignment horizontal="center"/>
    </xf>
    <xf numFmtId="0" fontId="4" fillId="0" borderId="32" xfId="0" applyFont="1" applyBorder="1" applyAlignment="1"/>
    <xf numFmtId="0" fontId="4" fillId="0" borderId="31" xfId="0" applyFont="1" applyBorder="1" applyAlignment="1"/>
    <xf numFmtId="0" fontId="1" fillId="0" borderId="34" xfId="0" applyFont="1" applyBorder="1" applyAlignment="1"/>
    <xf numFmtId="0" fontId="1" fillId="0" borderId="27" xfId="0" applyFont="1" applyBorder="1" applyAlignment="1"/>
    <xf numFmtId="179" fontId="7" fillId="0" borderId="44" xfId="0" applyNumberFormat="1" applyFont="1" applyBorder="1" applyAlignment="1">
      <alignment horizontal="center"/>
    </xf>
    <xf numFmtId="179" fontId="7" fillId="0" borderId="33" xfId="0" applyNumberFormat="1" applyFont="1" applyBorder="1" applyAlignment="1">
      <alignment horizontal="center"/>
    </xf>
    <xf numFmtId="179" fontId="7" fillId="0" borderId="26" xfId="0" applyNumberFormat="1" applyFont="1" applyBorder="1" applyAlignment="1">
      <alignment horizontal="center"/>
    </xf>
    <xf numFmtId="179" fontId="7" fillId="0" borderId="34" xfId="0" applyNumberFormat="1" applyFont="1" applyBorder="1" applyAlignment="1">
      <alignment horizontal="center"/>
    </xf>
    <xf numFmtId="181" fontId="7" fillId="0" borderId="33" xfId="0" applyNumberFormat="1" applyFont="1" applyBorder="1" applyAlignment="1">
      <alignment horizontal="center"/>
    </xf>
    <xf numFmtId="179" fontId="7" fillId="0" borderId="30" xfId="0" applyNumberFormat="1" applyFont="1" applyBorder="1" applyAlignment="1">
      <alignment horizontal="center"/>
    </xf>
    <xf numFmtId="179" fontId="7" fillId="0" borderId="32" xfId="0" applyNumberFormat="1" applyFont="1" applyBorder="1" applyAlignment="1">
      <alignment horizontal="center"/>
    </xf>
    <xf numFmtId="0" fontId="6" fillId="2" borderId="38" xfId="0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6" fillId="2" borderId="40" xfId="0" applyFont="1" applyFill="1" applyBorder="1" applyAlignment="1">
      <alignment horizontal="center"/>
    </xf>
    <xf numFmtId="180" fontId="12" fillId="0" borderId="2" xfId="0" applyNumberFormat="1" applyFont="1" applyBorder="1" applyAlignment="1">
      <alignment horizontal="center"/>
    </xf>
    <xf numFmtId="0" fontId="6" fillId="2" borderId="41" xfId="0" applyFont="1" applyFill="1" applyBorder="1" applyAlignment="1">
      <alignment horizontal="center"/>
    </xf>
    <xf numFmtId="0" fontId="6" fillId="2" borderId="42" xfId="0" applyFont="1" applyFill="1" applyBorder="1" applyAlignment="1">
      <alignment horizontal="center"/>
    </xf>
    <xf numFmtId="0" fontId="6" fillId="2" borderId="43" xfId="0" applyFont="1" applyFill="1" applyBorder="1" applyAlignment="1">
      <alignment horizontal="center"/>
    </xf>
    <xf numFmtId="0" fontId="9" fillId="3" borderId="2" xfId="0" applyFont="1" applyFill="1" applyBorder="1" applyAlignment="1" applyProtection="1">
      <alignment horizontal="center"/>
      <protection locked="0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distributed" vertical="center" indent="4"/>
    </xf>
    <xf numFmtId="0" fontId="4" fillId="0" borderId="4" xfId="0" applyFont="1" applyBorder="1" applyAlignment="1">
      <alignment horizontal="distributed" vertical="center" indent="4"/>
    </xf>
    <xf numFmtId="0" fontId="4" fillId="0" borderId="35" xfId="0" applyFont="1" applyBorder="1" applyAlignment="1">
      <alignment horizontal="distributed" vertical="center" indent="4"/>
    </xf>
    <xf numFmtId="0" fontId="4" fillId="0" borderId="3" xfId="0" applyFont="1" applyBorder="1" applyAlignment="1">
      <alignment horizontal="distributed" vertical="center" indent="3"/>
    </xf>
    <xf numFmtId="0" fontId="4" fillId="0" borderId="4" xfId="0" applyFont="1" applyBorder="1" applyAlignment="1">
      <alignment horizontal="distributed" vertical="center" indent="3"/>
    </xf>
    <xf numFmtId="0" fontId="4" fillId="0" borderId="35" xfId="0" applyFont="1" applyBorder="1" applyAlignment="1">
      <alignment horizontal="distributed" vertical="center" indent="3"/>
    </xf>
    <xf numFmtId="0" fontId="0" fillId="0" borderId="0" xfId="0">
      <alignment vertical="center"/>
    </xf>
    <xf numFmtId="0" fontId="7" fillId="3" borderId="45" xfId="0" applyFont="1" applyFill="1" applyBorder="1" applyAlignment="1" applyProtection="1">
      <alignment horizontal="center" vertical="center" wrapText="1"/>
      <protection locked="0"/>
    </xf>
    <xf numFmtId="0" fontId="7" fillId="0" borderId="46" xfId="0" applyFont="1" applyBorder="1" applyAlignment="1">
      <alignment horizontal="center" vertical="center" wrapText="1"/>
    </xf>
    <xf numFmtId="0" fontId="7" fillId="0" borderId="47" xfId="0" applyFont="1" applyBorder="1" applyAlignment="1">
      <alignment horizontal="center" vertical="center" wrapText="1"/>
    </xf>
    <xf numFmtId="0" fontId="7" fillId="0" borderId="48" xfId="0" applyFont="1" applyBorder="1" applyAlignment="1">
      <alignment horizontal="center" vertical="center" wrapText="1"/>
    </xf>
    <xf numFmtId="0" fontId="7" fillId="0" borderId="49" xfId="0" applyFont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shrinkToFit="1"/>
    </xf>
    <xf numFmtId="49" fontId="9" fillId="3" borderId="2" xfId="0" applyNumberFormat="1" applyFont="1" applyFill="1" applyBorder="1" applyAlignment="1" applyProtection="1">
      <alignment horizontal="center" vertical="center" shrinkToFit="1"/>
      <protection locked="0"/>
    </xf>
    <xf numFmtId="0" fontId="7" fillId="0" borderId="50" xfId="0" applyFont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177" fontId="7" fillId="0" borderId="52" xfId="0" applyNumberFormat="1" applyFont="1" applyBorder="1" applyAlignment="1">
      <alignment horizontal="center" vertical="center" shrinkToFit="1"/>
    </xf>
    <xf numFmtId="177" fontId="7" fillId="0" borderId="45" xfId="0" applyNumberFormat="1" applyFont="1" applyBorder="1" applyAlignment="1">
      <alignment horizontal="center" vertical="center" shrinkToFit="1"/>
    </xf>
    <xf numFmtId="0" fontId="4" fillId="0" borderId="45" xfId="0" applyFont="1" applyBorder="1" applyAlignment="1">
      <alignment horizontal="center" vertical="center" shrinkToFit="1"/>
    </xf>
    <xf numFmtId="0" fontId="4" fillId="3" borderId="45" xfId="0" applyFont="1" applyFill="1" applyBorder="1" applyAlignment="1" applyProtection="1">
      <alignment horizontal="center" vertical="center" shrinkToFit="1"/>
      <protection locked="0"/>
    </xf>
    <xf numFmtId="0" fontId="7" fillId="0" borderId="54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178" fontId="7" fillId="0" borderId="45" xfId="0" applyNumberFormat="1" applyFont="1" applyBorder="1" applyAlignment="1">
      <alignment horizontal="center" vertical="center" shrinkToFit="1"/>
    </xf>
    <xf numFmtId="0" fontId="4" fillId="0" borderId="55" xfId="0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/>
    </xf>
    <xf numFmtId="0" fontId="7" fillId="0" borderId="33" xfId="0" applyFont="1" applyBorder="1" applyAlignment="1">
      <alignment horizontal="center"/>
    </xf>
    <xf numFmtId="0" fontId="4" fillId="0" borderId="33" xfId="0" applyFont="1" applyBorder="1" applyAlignment="1"/>
    <xf numFmtId="0" fontId="4" fillId="0" borderId="36" xfId="0" applyFont="1" applyBorder="1" applyAlignment="1"/>
    <xf numFmtId="0" fontId="7" fillId="0" borderId="2" xfId="0" applyFont="1" applyBorder="1" applyAlignment="1">
      <alignment horizontal="distributed" vertical="center" indent="4"/>
    </xf>
    <xf numFmtId="0" fontId="4" fillId="0" borderId="53" xfId="0" applyFont="1" applyBorder="1" applyAlignment="1">
      <alignment horizontal="center" vertical="center"/>
    </xf>
    <xf numFmtId="0" fontId="6" fillId="2" borderId="3" xfId="0" applyFont="1" applyFill="1" applyBorder="1" applyAlignment="1">
      <alignment horizontal="distributed" indent="2"/>
    </xf>
    <xf numFmtId="0" fontId="6" fillId="2" borderId="4" xfId="0" applyFont="1" applyFill="1" applyBorder="1" applyAlignment="1">
      <alignment horizontal="distributed" indent="2"/>
    </xf>
    <xf numFmtId="0" fontId="6" fillId="2" borderId="35" xfId="0" applyFont="1" applyFill="1" applyBorder="1" applyAlignment="1">
      <alignment horizontal="distributed" indent="2"/>
    </xf>
    <xf numFmtId="0" fontId="1" fillId="0" borderId="33" xfId="0" applyFont="1" applyBorder="1" applyAlignment="1"/>
    <xf numFmtId="0" fontId="1" fillId="0" borderId="36" xfId="0" applyFont="1" applyBorder="1" applyAlignment="1"/>
    <xf numFmtId="182" fontId="9" fillId="3" borderId="37" xfId="0" applyNumberFormat="1" applyFont="1" applyFill="1" applyBorder="1" applyAlignment="1" applyProtection="1">
      <alignment horizontal="center"/>
      <protection locked="0"/>
    </xf>
    <xf numFmtId="0" fontId="14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0" xfId="0" applyFont="1" applyBorder="1" applyAlignment="1">
      <alignment vertical="top" wrapText="1"/>
    </xf>
    <xf numFmtId="0" fontId="14" fillId="0" borderId="0" xfId="0" applyFont="1" applyAlignment="1">
      <alignment vertical="top" wrapText="1"/>
    </xf>
    <xf numFmtId="0" fontId="14" fillId="0" borderId="1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14" fillId="0" borderId="13" xfId="0" applyFont="1" applyBorder="1" applyAlignment="1">
      <alignment vertical="top" wrapText="1"/>
    </xf>
    <xf numFmtId="0" fontId="14" fillId="0" borderId="14" xfId="0" applyFont="1" applyBorder="1" applyAlignment="1">
      <alignment vertical="top" wrapText="1"/>
    </xf>
    <xf numFmtId="0" fontId="14" fillId="0" borderId="15" xfId="0" applyFont="1" applyBorder="1" applyAlignment="1">
      <alignment vertical="top" wrapText="1"/>
    </xf>
    <xf numFmtId="0" fontId="14" fillId="0" borderId="16" xfId="0" applyFont="1" applyBorder="1" applyAlignment="1">
      <alignment vertical="top" wrapText="1"/>
    </xf>
    <xf numFmtId="0" fontId="14" fillId="0" borderId="14" xfId="0" applyFont="1" applyBorder="1" applyAlignment="1">
      <alignment horizontal="center" vertical="top" wrapText="1"/>
    </xf>
    <xf numFmtId="0" fontId="14" fillId="0" borderId="15" xfId="0" applyFont="1" applyBorder="1" applyAlignment="1">
      <alignment horizontal="center" vertical="top" wrapText="1"/>
    </xf>
    <xf numFmtId="0" fontId="14" fillId="0" borderId="10" xfId="0" applyFont="1" applyBorder="1" applyAlignment="1">
      <alignment horizontal="center" vertical="center"/>
    </xf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14" fillId="0" borderId="10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1" xfId="0" applyFont="1" applyBorder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9" fillId="0" borderId="57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32" xfId="0" applyFont="1" applyBorder="1" applyAlignment="1">
      <alignment horizontal="center"/>
    </xf>
  </cellXfs>
  <cellStyles count="1">
    <cellStyle name="標準" xfId="0" builtinId="0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1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153080</xdr:colOff>
      <xdr:row>23</xdr:row>
      <xdr:rowOff>0</xdr:rowOff>
    </xdr:from>
    <xdr:to>
      <xdr:col>9</xdr:col>
      <xdr:colOff>153081</xdr:colOff>
      <xdr:row>28</xdr:row>
      <xdr:rowOff>0</xdr:rowOff>
    </xdr:to>
    <xdr:grpSp>
      <xdr:nvGrpSpPr>
        <xdr:cNvPr id="1193" name="Group 7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GrpSpPr>
          <a:grpSpLocks/>
        </xdr:cNvGrpSpPr>
      </xdr:nvGrpSpPr>
      <xdr:grpSpPr bwMode="auto">
        <a:xfrm>
          <a:off x="1279693" y="5049274"/>
          <a:ext cx="983227" cy="952500"/>
          <a:chOff x="475" y="512"/>
          <a:chExt cx="130" cy="115"/>
        </a:xfrm>
      </xdr:grpSpPr>
      <xdr:sp macro="" textlink="">
        <xdr:nvSpPr>
          <xdr:cNvPr id="1203" name="Rectangle 8">
            <a:extLst>
              <a:ext uri="{FF2B5EF4-FFF2-40B4-BE49-F238E27FC236}">
                <a16:creationId xmlns:a16="http://schemas.microsoft.com/office/drawing/2014/main" id="{00000000-0008-0000-0000-0000B3040000}"/>
              </a:ext>
            </a:extLst>
          </xdr:cNvPr>
          <xdr:cNvSpPr>
            <a:spLocks noChangeArrowheads="1"/>
          </xdr:cNvSpPr>
        </xdr:nvSpPr>
        <xdr:spPr bwMode="auto">
          <a:xfrm>
            <a:off x="475" y="535"/>
            <a:ext cx="130" cy="92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3" name="Rectangle 9">
            <a:extLst>
              <a:ext uri="{FF2B5EF4-FFF2-40B4-BE49-F238E27FC236}">
                <a16:creationId xmlns:a16="http://schemas.microsoft.com/office/drawing/2014/main" id="{00000000-0008-0000-0000-000009040000}"/>
              </a:ext>
            </a:extLst>
          </xdr:cNvPr>
          <xdr:cNvSpPr>
            <a:spLocks noChangeArrowheads="1"/>
          </xdr:cNvSpPr>
        </xdr:nvSpPr>
        <xdr:spPr bwMode="auto">
          <a:xfrm>
            <a:off x="475" y="512"/>
            <a:ext cx="130" cy="23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追加照射計画者</a:t>
            </a:r>
          </a:p>
        </xdr:txBody>
      </xdr:sp>
    </xdr:grpSp>
    <xdr:clientData/>
  </xdr:twoCellAnchor>
  <xdr:twoCellAnchor>
    <xdr:from>
      <xdr:col>1</xdr:col>
      <xdr:colOff>133350</xdr:colOff>
      <xdr:row>23</xdr:row>
      <xdr:rowOff>0</xdr:rowOff>
    </xdr:from>
    <xdr:to>
      <xdr:col>5</xdr:col>
      <xdr:colOff>101150</xdr:colOff>
      <xdr:row>28</xdr:row>
      <xdr:rowOff>0</xdr:rowOff>
    </xdr:to>
    <xdr:grpSp>
      <xdr:nvGrpSpPr>
        <xdr:cNvPr id="1194" name="Group 10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GrpSpPr>
          <a:grpSpLocks/>
        </xdr:cNvGrpSpPr>
      </xdr:nvGrpSpPr>
      <xdr:grpSpPr bwMode="auto">
        <a:xfrm>
          <a:off x="276737" y="5049274"/>
          <a:ext cx="951026" cy="952500"/>
          <a:chOff x="475" y="512"/>
          <a:chExt cx="130" cy="115"/>
        </a:xfrm>
      </xdr:grpSpPr>
      <xdr:sp macro="" textlink="">
        <xdr:nvSpPr>
          <xdr:cNvPr id="1201" name="Rectangle 11">
            <a:extLst>
              <a:ext uri="{FF2B5EF4-FFF2-40B4-BE49-F238E27FC236}">
                <a16:creationId xmlns:a16="http://schemas.microsoft.com/office/drawing/2014/main" id="{00000000-0008-0000-0000-0000B1040000}"/>
              </a:ext>
            </a:extLst>
          </xdr:cNvPr>
          <xdr:cNvSpPr>
            <a:spLocks noChangeArrowheads="1"/>
          </xdr:cNvSpPr>
        </xdr:nvSpPr>
        <xdr:spPr bwMode="auto">
          <a:xfrm>
            <a:off x="475" y="535"/>
            <a:ext cx="130" cy="92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6" name="Rectangle 12">
            <a:extLst>
              <a:ext uri="{FF2B5EF4-FFF2-40B4-BE49-F238E27FC236}">
                <a16:creationId xmlns:a16="http://schemas.microsoft.com/office/drawing/2014/main" id="{00000000-0008-0000-0000-00000C040000}"/>
              </a:ext>
            </a:extLst>
          </xdr:cNvPr>
          <xdr:cNvSpPr>
            <a:spLocks noChangeArrowheads="1"/>
          </xdr:cNvSpPr>
        </xdr:nvSpPr>
        <xdr:spPr bwMode="auto">
          <a:xfrm>
            <a:off x="475" y="512"/>
            <a:ext cx="130" cy="23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追加照射指示者</a:t>
            </a:r>
          </a:p>
        </xdr:txBody>
      </xdr:sp>
    </xdr:grpSp>
    <xdr:clientData/>
  </xdr:twoCellAnchor>
  <xdr:oneCellAnchor>
    <xdr:from>
      <xdr:col>17</xdr:col>
      <xdr:colOff>192522</xdr:colOff>
      <xdr:row>22</xdr:row>
      <xdr:rowOff>51155</xdr:rowOff>
    </xdr:from>
    <xdr:ext cx="5490372" cy="986367"/>
    <xdr:sp macro="" textlink="">
      <xdr:nvSpPr>
        <xdr:cNvPr id="1051" name="Text Box 27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SpPr txBox="1">
          <a:spLocks noChangeArrowheads="1"/>
        </xdr:cNvSpPr>
      </xdr:nvSpPr>
      <xdr:spPr bwMode="auto">
        <a:xfrm>
          <a:off x="4430612" y="4888571"/>
          <a:ext cx="5490372" cy="9863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・追加ﾊﾟｽ数の計算方法：　不足線量（測定線量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-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下限線量）を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1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ﾊﾟｽ当たりの線量で</a:t>
          </a:r>
          <a:endParaRPr lang="en-US" altLang="ja-JP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割った値より大きく最も近い整数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・追加線量の合格範囲の計算方法：上限線量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=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上限線量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-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測定線量　　下限線量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=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不足線量</a:t>
          </a:r>
          <a:endParaRPr lang="en-US" altLang="ja-JP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FF0000"/>
              </a:solidFill>
              <a:latin typeface="ＭＳ Ｐゴシック"/>
              <a:ea typeface="ＭＳ Ｐゴシック"/>
            </a:rPr>
            <a:t>休日に追加照射が発生した場合品証課に連絡すること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FF0000"/>
              </a:solidFill>
              <a:latin typeface="ＭＳ Ｐゴシック"/>
              <a:ea typeface="ＭＳ Ｐゴシック"/>
            </a:rPr>
            <a:t>注：追加照射指示者：その製品の出荷判定資格を有するもの</a:t>
          </a:r>
        </a:p>
      </xdr:txBody>
    </xdr:sp>
    <xdr:clientData/>
  </xdr:oneCellAnchor>
  <xdr:twoCellAnchor editAs="oneCell">
    <xdr:from>
      <xdr:col>6</xdr:col>
      <xdr:colOff>151725</xdr:colOff>
      <xdr:row>2</xdr:row>
      <xdr:rowOff>68530</xdr:rowOff>
    </xdr:from>
    <xdr:to>
      <xdr:col>11</xdr:col>
      <xdr:colOff>151726</xdr:colOff>
      <xdr:row>3</xdr:row>
      <xdr:rowOff>97105</xdr:rowOff>
    </xdr:to>
    <xdr:sp macro="" textlink="">
      <xdr:nvSpPr>
        <xdr:cNvPr id="1052" name="Text Box 28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 txBox="1">
          <a:spLocks noChangeArrowheads="1"/>
        </xdr:cNvSpPr>
      </xdr:nvSpPr>
      <xdr:spPr bwMode="auto">
        <a:xfrm>
          <a:off x="1677411" y="616428"/>
          <a:ext cx="1222235" cy="289881"/>
        </a:xfrm>
        <a:prstGeom prst="rect">
          <a:avLst/>
        </a:pr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1" i="0" strike="noStrike">
              <a:solidFill>
                <a:srgbClr val="0000FF"/>
              </a:solidFill>
              <a:latin typeface="ＭＳ ゴシック"/>
              <a:ea typeface="ＭＳ ゴシック"/>
            </a:rPr>
            <a:t>黄色地入力セル</a:t>
          </a:r>
        </a:p>
      </xdr:txBody>
    </xdr:sp>
    <xdr:clientData fPrintsWithSheet="0"/>
  </xdr:twoCellAnchor>
  <xdr:oneCellAnchor>
    <xdr:from>
      <xdr:col>18</xdr:col>
      <xdr:colOff>136894</xdr:colOff>
      <xdr:row>0</xdr:row>
      <xdr:rowOff>52673</xdr:rowOff>
    </xdr:from>
    <xdr:ext cx="2632324" cy="275717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61551" y="52673"/>
          <a:ext cx="2632324" cy="275717"/>
        </a:xfrm>
        <a:prstGeom prst="rect">
          <a:avLst/>
        </a:prstGeom>
        <a:solidFill>
          <a:srgbClr val="00FFCC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注：追加照射指定済は再印刷出来ません</a:t>
          </a:r>
        </a:p>
      </xdr:txBody>
    </xdr:sp>
    <xdr:clientData fPrintsWithSheet="0"/>
  </xdr:oneCellAnchor>
  <xdr:twoCellAnchor>
    <xdr:from>
      <xdr:col>0</xdr:col>
      <xdr:colOff>0</xdr:colOff>
      <xdr:row>1</xdr:row>
      <xdr:rowOff>51211</xdr:rowOff>
    </xdr:from>
    <xdr:to>
      <xdr:col>1</xdr:col>
      <xdr:colOff>0</xdr:colOff>
      <xdr:row>2</xdr:row>
      <xdr:rowOff>0</xdr:rowOff>
    </xdr:to>
    <xdr:sp macro="[0]!CTRCls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0" y="297017"/>
          <a:ext cx="143387" cy="256048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</xdr:col>
      <xdr:colOff>0</xdr:colOff>
      <xdr:row>8</xdr:row>
      <xdr:rowOff>0</xdr:rowOff>
    </xdr:to>
    <xdr:grpSp>
      <xdr:nvGrpSpPr>
        <xdr:cNvPr id="3172" name="Group 3">
          <a:extLst>
            <a:ext uri="{FF2B5EF4-FFF2-40B4-BE49-F238E27FC236}">
              <a16:creationId xmlns:a16="http://schemas.microsoft.com/office/drawing/2014/main" id="{00000000-0008-0000-0100-0000640C0000}"/>
            </a:ext>
          </a:extLst>
        </xdr:cNvPr>
        <xdr:cNvGrpSpPr>
          <a:grpSpLocks/>
        </xdr:cNvGrpSpPr>
      </xdr:nvGrpSpPr>
      <xdr:grpSpPr bwMode="auto">
        <a:xfrm>
          <a:off x="438150" y="542925"/>
          <a:ext cx="1095375" cy="904875"/>
          <a:chOff x="69" y="95"/>
          <a:chExt cx="115" cy="95"/>
        </a:xfrm>
      </xdr:grpSpPr>
      <xdr:sp macro="" textlink="">
        <xdr:nvSpPr>
          <xdr:cNvPr id="3073" name="Rectangle 1">
            <a:extLst>
              <a:ext uri="{FF2B5EF4-FFF2-40B4-BE49-F238E27FC236}">
                <a16:creationId xmlns:a16="http://schemas.microsoft.com/office/drawing/2014/main" id="{00000000-0008-0000-0100-0000010C0000}"/>
              </a:ext>
            </a:extLst>
          </xdr:cNvPr>
          <xdr:cNvSpPr>
            <a:spLocks noChangeArrowheads="1"/>
          </xdr:cNvSpPr>
        </xdr:nvSpPr>
        <xdr:spPr bwMode="auto">
          <a:xfrm>
            <a:off x="69" y="95"/>
            <a:ext cx="115" cy="19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確認試験書作成者</a:t>
            </a:r>
          </a:p>
        </xdr:txBody>
      </xdr:sp>
      <xdr:sp macro="" textlink="">
        <xdr:nvSpPr>
          <xdr:cNvPr id="3180" name="Rectangle 2">
            <a:extLst>
              <a:ext uri="{FF2B5EF4-FFF2-40B4-BE49-F238E27FC236}">
                <a16:creationId xmlns:a16="http://schemas.microsoft.com/office/drawing/2014/main" id="{00000000-0008-0000-0100-00006C0C0000}"/>
              </a:ext>
            </a:extLst>
          </xdr:cNvPr>
          <xdr:cNvSpPr>
            <a:spLocks noChangeArrowheads="1"/>
          </xdr:cNvSpPr>
        </xdr:nvSpPr>
        <xdr:spPr bwMode="auto">
          <a:xfrm>
            <a:off x="69" y="114"/>
            <a:ext cx="115" cy="7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8</xdr:col>
      <xdr:colOff>0</xdr:colOff>
      <xdr:row>3</xdr:row>
      <xdr:rowOff>0</xdr:rowOff>
    </xdr:from>
    <xdr:to>
      <xdr:col>13</xdr:col>
      <xdr:colOff>0</xdr:colOff>
      <xdr:row>8</xdr:row>
      <xdr:rowOff>0</xdr:rowOff>
    </xdr:to>
    <xdr:grpSp>
      <xdr:nvGrpSpPr>
        <xdr:cNvPr id="3173" name="Group 4">
          <a:extLst>
            <a:ext uri="{FF2B5EF4-FFF2-40B4-BE49-F238E27FC236}">
              <a16:creationId xmlns:a16="http://schemas.microsoft.com/office/drawing/2014/main" id="{00000000-0008-0000-0100-0000650C0000}"/>
            </a:ext>
          </a:extLst>
        </xdr:cNvPr>
        <xdr:cNvGrpSpPr>
          <a:grpSpLocks/>
        </xdr:cNvGrpSpPr>
      </xdr:nvGrpSpPr>
      <xdr:grpSpPr bwMode="auto">
        <a:xfrm>
          <a:off x="1752600" y="542925"/>
          <a:ext cx="1095375" cy="904875"/>
          <a:chOff x="69" y="95"/>
          <a:chExt cx="115" cy="95"/>
        </a:xfrm>
      </xdr:grpSpPr>
      <xdr:sp macro="" textlink="">
        <xdr:nvSpPr>
          <xdr:cNvPr id="3077" name="Rectangle 5">
            <a:extLst>
              <a:ext uri="{FF2B5EF4-FFF2-40B4-BE49-F238E27FC236}">
                <a16:creationId xmlns:a16="http://schemas.microsoft.com/office/drawing/2014/main" id="{00000000-0008-0000-0100-0000050C0000}"/>
              </a:ext>
            </a:extLst>
          </xdr:cNvPr>
          <xdr:cNvSpPr>
            <a:spLocks noChangeArrowheads="1"/>
          </xdr:cNvSpPr>
        </xdr:nvSpPr>
        <xdr:spPr bwMode="auto">
          <a:xfrm>
            <a:off x="69" y="95"/>
            <a:ext cx="115" cy="19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確認試験者</a:t>
            </a:r>
          </a:p>
        </xdr:txBody>
      </xdr:sp>
      <xdr:sp macro="" textlink="">
        <xdr:nvSpPr>
          <xdr:cNvPr id="3178" name="Rectangle 6">
            <a:extLst>
              <a:ext uri="{FF2B5EF4-FFF2-40B4-BE49-F238E27FC236}">
                <a16:creationId xmlns:a16="http://schemas.microsoft.com/office/drawing/2014/main" id="{00000000-0008-0000-0100-00006A0C0000}"/>
              </a:ext>
            </a:extLst>
          </xdr:cNvPr>
          <xdr:cNvSpPr>
            <a:spLocks noChangeArrowheads="1"/>
          </xdr:cNvSpPr>
        </xdr:nvSpPr>
        <xdr:spPr bwMode="auto">
          <a:xfrm>
            <a:off x="69" y="114"/>
            <a:ext cx="115" cy="7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14</xdr:col>
      <xdr:colOff>0</xdr:colOff>
      <xdr:row>3</xdr:row>
      <xdr:rowOff>0</xdr:rowOff>
    </xdr:from>
    <xdr:to>
      <xdr:col>19</xdr:col>
      <xdr:colOff>0</xdr:colOff>
      <xdr:row>8</xdr:row>
      <xdr:rowOff>0</xdr:rowOff>
    </xdr:to>
    <xdr:grpSp>
      <xdr:nvGrpSpPr>
        <xdr:cNvPr id="3174" name="Group 7">
          <a:extLst>
            <a:ext uri="{FF2B5EF4-FFF2-40B4-BE49-F238E27FC236}">
              <a16:creationId xmlns:a16="http://schemas.microsoft.com/office/drawing/2014/main" id="{00000000-0008-0000-0100-0000660C0000}"/>
            </a:ext>
          </a:extLst>
        </xdr:cNvPr>
        <xdr:cNvGrpSpPr>
          <a:grpSpLocks/>
        </xdr:cNvGrpSpPr>
      </xdr:nvGrpSpPr>
      <xdr:grpSpPr bwMode="auto">
        <a:xfrm>
          <a:off x="3067050" y="542925"/>
          <a:ext cx="1095375" cy="904875"/>
          <a:chOff x="69" y="95"/>
          <a:chExt cx="115" cy="95"/>
        </a:xfrm>
      </xdr:grpSpPr>
      <xdr:sp macro="" textlink="">
        <xdr:nvSpPr>
          <xdr:cNvPr id="3080" name="Rectangle 8">
            <a:extLst>
              <a:ext uri="{FF2B5EF4-FFF2-40B4-BE49-F238E27FC236}">
                <a16:creationId xmlns:a16="http://schemas.microsoft.com/office/drawing/2014/main" id="{00000000-0008-0000-0100-0000080C0000}"/>
              </a:ext>
            </a:extLst>
          </xdr:cNvPr>
          <xdr:cNvSpPr>
            <a:spLocks noChangeArrowheads="1"/>
          </xdr:cNvSpPr>
        </xdr:nvSpPr>
        <xdr:spPr bwMode="auto">
          <a:xfrm>
            <a:off x="69" y="95"/>
            <a:ext cx="115" cy="19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使用承認者</a:t>
            </a:r>
          </a:p>
        </xdr:txBody>
      </xdr:sp>
      <xdr:sp macro="" textlink="">
        <xdr:nvSpPr>
          <xdr:cNvPr id="3176" name="Rectangle 9">
            <a:extLst>
              <a:ext uri="{FF2B5EF4-FFF2-40B4-BE49-F238E27FC236}">
                <a16:creationId xmlns:a16="http://schemas.microsoft.com/office/drawing/2014/main" id="{00000000-0008-0000-0100-0000680C0000}"/>
              </a:ext>
            </a:extLst>
          </xdr:cNvPr>
          <xdr:cNvSpPr>
            <a:spLocks noChangeArrowheads="1"/>
          </xdr:cNvSpPr>
        </xdr:nvSpPr>
        <xdr:spPr bwMode="auto">
          <a:xfrm>
            <a:off x="69" y="114"/>
            <a:ext cx="115" cy="7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3390900</xdr:colOff>
      <xdr:row>0</xdr:row>
      <xdr:rowOff>95250</xdr:rowOff>
    </xdr:from>
    <xdr:to>
      <xdr:col>3</xdr:col>
      <xdr:colOff>171450</xdr:colOff>
      <xdr:row>3</xdr:row>
      <xdr:rowOff>180975</xdr:rowOff>
    </xdr:to>
    <xdr:sp macro="[0]!ブック保存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77F6F351-4480-4EDC-8D63-FCB6259967CB}"/>
            </a:ext>
          </a:extLst>
        </xdr:cNvPr>
        <xdr:cNvSpPr txBox="1"/>
      </xdr:nvSpPr>
      <xdr:spPr>
        <a:xfrm>
          <a:off x="5543550" y="95250"/>
          <a:ext cx="2000250" cy="92392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 b="1">
              <a:solidFill>
                <a:srgbClr val="0070C0"/>
              </a:solidFill>
            </a:rPr>
            <a:t>改定時の保存の仕方</a:t>
          </a:r>
          <a:endParaRPr kumimoji="1" lang="en-US" altLang="ja-JP" sz="1200" b="1">
            <a:solidFill>
              <a:srgbClr val="0070C0"/>
            </a:solidFill>
          </a:endParaRPr>
        </a:p>
        <a:p>
          <a:r>
            <a:rPr kumimoji="1" lang="en-US" altLang="ja-JP" sz="1200"/>
            <a:t>BOOK</a:t>
          </a:r>
          <a:r>
            <a:rPr kumimoji="1" lang="ja-JP" altLang="en-US" sz="1200"/>
            <a:t>内容変更して改訂履歴に入力後ここをクリックして</a:t>
          </a:r>
          <a:r>
            <a:rPr kumimoji="1" lang="en-US" altLang="ja-JP" sz="1200"/>
            <a:t>Ex</a:t>
          </a:r>
          <a:r>
            <a:rPr kumimoji="1" lang="ja-JP" altLang="en-US" sz="1200"/>
            <a:t>ﾒﾆｭｰを再起動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A1:BH48"/>
  <sheetViews>
    <sheetView showGridLines="0" showZeros="0" tabSelected="1" showOutlineSymbols="0" zoomScale="93" zoomScaleNormal="93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:F7"/>
    </sheetView>
  </sheetViews>
  <sheetFormatPr defaultColWidth="2.625" defaultRowHeight="14.25" x14ac:dyDescent="0.15"/>
  <cols>
    <col min="1" max="1" width="1.875" customWidth="1"/>
    <col min="2" max="40" width="3.25" customWidth="1"/>
    <col min="41" max="41" width="2.125" customWidth="1"/>
    <col min="42" max="42" width="1.5" customWidth="1"/>
    <col min="43" max="47" width="6" customWidth="1"/>
    <col min="48" max="48" width="14.75" customWidth="1"/>
    <col min="49" max="49" width="6.5" customWidth="1"/>
    <col min="50" max="50" width="7.5" customWidth="1"/>
    <col min="51" max="51" width="19.5" style="46" customWidth="1"/>
    <col min="52" max="54" width="8.625" customWidth="1"/>
    <col min="55" max="55" width="15.125" style="7" customWidth="1"/>
    <col min="56" max="56" width="15.625" style="7" customWidth="1"/>
    <col min="57" max="57" width="3.5" style="7" customWidth="1"/>
    <col min="58" max="58" width="13.75" style="7" customWidth="1"/>
    <col min="59" max="59" width="14.75" style="7" customWidth="1"/>
    <col min="60" max="60" width="8.625" style="7" customWidth="1"/>
    <col min="61" max="61" width="8.625" customWidth="1"/>
    <col min="62" max="62" width="2.625" customWidth="1"/>
    <col min="63" max="63" width="7.5" customWidth="1"/>
    <col min="64" max="247" width="2.625" customWidth="1"/>
  </cols>
  <sheetData>
    <row r="1" spans="1:60" ht="19.5" customHeight="1" x14ac:dyDescent="0.15">
      <c r="A1" s="55"/>
      <c r="B1" t="str">
        <f>"様式 G3-08("&amp;MAX(改訂履歴!A6:A112)&amp;")"</f>
        <v>様式 G3-08(16)</v>
      </c>
      <c r="H1" t="s">
        <v>141</v>
      </c>
      <c r="AI1" s="1"/>
      <c r="AJ1" s="1"/>
      <c r="AK1" s="124" t="s">
        <v>134</v>
      </c>
      <c r="AL1" s="125"/>
      <c r="AM1" s="125"/>
      <c r="AN1" s="126"/>
      <c r="AY1" s="44"/>
    </row>
    <row r="2" spans="1:60" ht="24" x14ac:dyDescent="0.15">
      <c r="B2" s="47" t="s">
        <v>238</v>
      </c>
      <c r="AI2" s="1"/>
      <c r="AJ2" s="1"/>
      <c r="AK2" s="127"/>
      <c r="AL2" s="128"/>
      <c r="AM2" s="128"/>
      <c r="AN2" s="129"/>
      <c r="AY2" s="44"/>
      <c r="BC2" s="50" t="s">
        <v>128</v>
      </c>
      <c r="BD2" s="50" t="s">
        <v>64</v>
      </c>
      <c r="BE2" s="51"/>
      <c r="BF2" s="73"/>
      <c r="BG2" s="45" t="s">
        <v>129</v>
      </c>
      <c r="BH2" s="45" t="s">
        <v>130</v>
      </c>
    </row>
    <row r="3" spans="1:60" ht="20.25" customHeight="1" x14ac:dyDescent="0.15">
      <c r="B3" s="70" t="s">
        <v>182</v>
      </c>
      <c r="E3" s="71"/>
      <c r="F3" s="70" t="s">
        <v>183</v>
      </c>
      <c r="M3" s="142" t="str">
        <f>IF(SebkNoTB&gt;BH3,"追加照射データが多過ぎるため管理者に連絡","")</f>
        <v/>
      </c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AI3" s="2"/>
      <c r="AJ3" s="1"/>
      <c r="AK3" s="130"/>
      <c r="AL3" s="131"/>
      <c r="AM3" s="131"/>
      <c r="AN3" s="132"/>
      <c r="AY3" s="44"/>
      <c r="BC3" s="56">
        <v>1</v>
      </c>
      <c r="BD3" s="50" t="s">
        <v>135</v>
      </c>
      <c r="BE3" s="52"/>
      <c r="BF3" s="74" t="s">
        <v>184</v>
      </c>
      <c r="BG3" s="54"/>
      <c r="BH3" s="54">
        <v>30</v>
      </c>
    </row>
    <row r="4" spans="1:60" ht="11.25" customHeight="1" x14ac:dyDescent="0.15">
      <c r="AK4" s="133"/>
      <c r="AL4" s="134"/>
      <c r="AM4" s="134"/>
      <c r="AN4" s="135"/>
      <c r="AX4">
        <v>1</v>
      </c>
      <c r="AY4" s="44"/>
      <c r="BC4" s="56">
        <v>2</v>
      </c>
      <c r="BD4" s="50" t="s">
        <v>136</v>
      </c>
      <c r="BE4" s="52"/>
      <c r="BF4" s="75" t="s">
        <v>184</v>
      </c>
      <c r="BG4" s="56" t="s">
        <v>185</v>
      </c>
    </row>
    <row r="5" spans="1:60" ht="17.25" customHeight="1" x14ac:dyDescent="0.15">
      <c r="A5" s="3"/>
      <c r="B5" s="136" t="s">
        <v>126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8"/>
      <c r="AA5" s="139" t="s">
        <v>40</v>
      </c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1"/>
      <c r="AY5" s="44"/>
      <c r="BC5" s="56">
        <v>3</v>
      </c>
      <c r="BD5" s="50" t="s">
        <v>137</v>
      </c>
      <c r="BE5" s="52"/>
      <c r="BF5" s="75" t="s">
        <v>184</v>
      </c>
      <c r="BG5" s="50" t="s">
        <v>200</v>
      </c>
    </row>
    <row r="6" spans="1:60" s="43" customFormat="1" ht="22.5" x14ac:dyDescent="0.15">
      <c r="A6" s="60"/>
      <c r="B6" s="148" t="s">
        <v>125</v>
      </c>
      <c r="C6" s="148"/>
      <c r="D6" s="148"/>
      <c r="E6" s="148"/>
      <c r="F6" s="148"/>
      <c r="G6" s="148" t="s">
        <v>42</v>
      </c>
      <c r="H6" s="148"/>
      <c r="I6" s="148"/>
      <c r="J6" s="148"/>
      <c r="K6" s="148" t="s">
        <v>43</v>
      </c>
      <c r="L6" s="148"/>
      <c r="M6" s="148"/>
      <c r="N6" s="148"/>
      <c r="O6" s="148" t="s">
        <v>44</v>
      </c>
      <c r="P6" s="148"/>
      <c r="Q6" s="148"/>
      <c r="R6" s="148"/>
      <c r="S6" s="148" t="s">
        <v>45</v>
      </c>
      <c r="T6" s="148"/>
      <c r="U6" s="148"/>
      <c r="V6" s="148"/>
      <c r="W6" s="148" t="s">
        <v>46</v>
      </c>
      <c r="X6" s="148"/>
      <c r="Y6" s="148"/>
      <c r="Z6" s="148"/>
      <c r="AA6" s="88" t="s">
        <v>47</v>
      </c>
      <c r="AB6" s="89"/>
      <c r="AC6" s="64" t="s">
        <v>172</v>
      </c>
      <c r="AD6" s="86" t="s">
        <v>48</v>
      </c>
      <c r="AE6" s="87"/>
      <c r="AF6" s="64" t="s">
        <v>172</v>
      </c>
      <c r="AG6" s="148" t="s">
        <v>67</v>
      </c>
      <c r="AH6" s="148"/>
      <c r="AI6" s="148"/>
      <c r="AJ6" s="88" t="s">
        <v>49</v>
      </c>
      <c r="AK6" s="89"/>
      <c r="AL6" s="89"/>
      <c r="AM6" s="89" t="s">
        <v>173</v>
      </c>
      <c r="AN6" s="93"/>
      <c r="AU6" s="61"/>
      <c r="BC6" s="56"/>
      <c r="BD6" s="56"/>
      <c r="BE6" s="62"/>
      <c r="BF6" s="75" t="s">
        <v>184</v>
      </c>
      <c r="BG6" s="50" t="s">
        <v>201</v>
      </c>
      <c r="BH6" s="63"/>
    </row>
    <row r="7" spans="1:60" s="43" customFormat="1" ht="17.25" customHeight="1" x14ac:dyDescent="0.15">
      <c r="A7" s="60"/>
      <c r="B7" s="149" t="s">
        <v>184</v>
      </c>
      <c r="C7" s="149"/>
      <c r="D7" s="149"/>
      <c r="E7" s="149"/>
      <c r="F7" s="149"/>
      <c r="G7" s="152"/>
      <c r="H7" s="153"/>
      <c r="I7" s="153"/>
      <c r="J7" s="153"/>
      <c r="K7" s="154"/>
      <c r="L7" s="154"/>
      <c r="M7" s="154"/>
      <c r="N7" s="154"/>
      <c r="O7" s="155"/>
      <c r="P7" s="155"/>
      <c r="Q7" s="155"/>
      <c r="R7" s="155"/>
      <c r="S7" s="158"/>
      <c r="T7" s="158"/>
      <c r="U7" s="158"/>
      <c r="V7" s="158"/>
      <c r="W7" s="154"/>
      <c r="X7" s="154"/>
      <c r="Y7" s="154"/>
      <c r="Z7" s="159"/>
      <c r="AA7" s="144"/>
      <c r="AB7" s="145"/>
      <c r="AC7" s="65"/>
      <c r="AD7" s="146"/>
      <c r="AE7" s="147"/>
      <c r="AF7" s="66"/>
      <c r="AG7" s="143"/>
      <c r="AH7" s="143"/>
      <c r="AI7" s="143"/>
      <c r="AJ7" s="156"/>
      <c r="AK7" s="157"/>
      <c r="AL7" s="157"/>
      <c r="AM7" s="150"/>
      <c r="AN7" s="151"/>
      <c r="AU7" s="61"/>
      <c r="BC7" s="56"/>
      <c r="BD7" s="56"/>
      <c r="BE7" s="62"/>
      <c r="BF7" s="75" t="s">
        <v>184</v>
      </c>
      <c r="BG7" s="50" t="s">
        <v>202</v>
      </c>
      <c r="BH7" s="63"/>
    </row>
    <row r="8" spans="1:60" s="43" customFormat="1" ht="17.25" x14ac:dyDescent="0.15">
      <c r="A8" s="60"/>
      <c r="B8" s="148" t="s">
        <v>50</v>
      </c>
      <c r="C8" s="148"/>
      <c r="D8" s="148"/>
      <c r="E8" s="148"/>
      <c r="F8" s="148"/>
      <c r="G8" s="148" t="s">
        <v>51</v>
      </c>
      <c r="H8" s="148"/>
      <c r="I8" s="148"/>
      <c r="J8" s="148"/>
      <c r="K8" s="148" t="s">
        <v>52</v>
      </c>
      <c r="L8" s="148"/>
      <c r="M8" s="148"/>
      <c r="N8" s="148"/>
      <c r="O8" s="148" t="s">
        <v>53</v>
      </c>
      <c r="P8" s="148"/>
      <c r="Q8" s="148"/>
      <c r="R8" s="148"/>
      <c r="S8" s="148" t="s">
        <v>54</v>
      </c>
      <c r="T8" s="148"/>
      <c r="U8" s="148"/>
      <c r="V8" s="148"/>
      <c r="W8" s="148" t="s">
        <v>55</v>
      </c>
      <c r="X8" s="148"/>
      <c r="Y8" s="148"/>
      <c r="Z8" s="148"/>
      <c r="AA8" s="148" t="s">
        <v>56</v>
      </c>
      <c r="AB8" s="148"/>
      <c r="AC8" s="148"/>
      <c r="AD8" s="148" t="s">
        <v>57</v>
      </c>
      <c r="AE8" s="148"/>
      <c r="AF8" s="148"/>
      <c r="AG8" s="148" t="s">
        <v>58</v>
      </c>
      <c r="AH8" s="160"/>
      <c r="AI8" s="160"/>
      <c r="AJ8" s="160"/>
      <c r="AK8" s="160"/>
      <c r="AL8" s="160"/>
      <c r="AM8" s="160"/>
      <c r="AN8" s="160"/>
      <c r="AU8" s="61"/>
      <c r="BC8" s="63"/>
      <c r="BD8" s="63"/>
      <c r="BE8" s="63"/>
      <c r="BF8" s="75"/>
      <c r="BG8" s="50" t="s">
        <v>203</v>
      </c>
      <c r="BH8" s="63"/>
    </row>
    <row r="9" spans="1:60" s="4" customFormat="1" ht="17.25" x14ac:dyDescent="0.2">
      <c r="A9" s="5"/>
      <c r="B9" s="109"/>
      <c r="C9" s="110"/>
      <c r="D9" s="110"/>
      <c r="E9" s="110"/>
      <c r="F9" s="110"/>
      <c r="G9" s="104"/>
      <c r="H9" s="104"/>
      <c r="I9" s="104"/>
      <c r="J9" s="104"/>
      <c r="K9" s="104"/>
      <c r="L9" s="104"/>
      <c r="M9" s="104"/>
      <c r="N9" s="104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61"/>
      <c r="AB9" s="161"/>
      <c r="AC9" s="161"/>
      <c r="AD9" s="161"/>
      <c r="AE9" s="161"/>
      <c r="AF9" s="161"/>
      <c r="AG9" s="162"/>
      <c r="AH9" s="162"/>
      <c r="AI9" s="162"/>
      <c r="AJ9" s="162"/>
      <c r="AK9" s="162"/>
      <c r="AL9" s="162"/>
      <c r="AM9" s="162"/>
      <c r="AN9" s="163"/>
      <c r="AU9" s="7"/>
      <c r="BC9" s="50" t="s">
        <v>127</v>
      </c>
      <c r="BD9" s="45" t="s">
        <v>68</v>
      </c>
      <c r="BE9" s="53"/>
      <c r="BF9" s="75"/>
      <c r="BG9" s="50" t="s">
        <v>204</v>
      </c>
      <c r="BH9" s="53"/>
    </row>
    <row r="10" spans="1:60" s="4" customFormat="1" ht="17.25" x14ac:dyDescent="0.2">
      <c r="A10" s="5"/>
      <c r="B10" s="111"/>
      <c r="C10" s="112"/>
      <c r="D10" s="112"/>
      <c r="E10" s="112"/>
      <c r="F10" s="112"/>
      <c r="G10" s="85"/>
      <c r="H10" s="85"/>
      <c r="I10" s="85"/>
      <c r="J10" s="85"/>
      <c r="K10" s="85"/>
      <c r="L10" s="85"/>
      <c r="M10" s="85"/>
      <c r="N10" s="85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90"/>
      <c r="AB10" s="90"/>
      <c r="AC10" s="90"/>
      <c r="AD10" s="90"/>
      <c r="AE10" s="90"/>
      <c r="AF10" s="90"/>
      <c r="AG10" s="91"/>
      <c r="AH10" s="91"/>
      <c r="AI10" s="91"/>
      <c r="AJ10" s="91"/>
      <c r="AK10" s="91"/>
      <c r="AL10" s="91"/>
      <c r="AM10" s="91"/>
      <c r="AN10" s="92"/>
      <c r="AU10" s="7"/>
      <c r="BC10" s="50" t="s">
        <v>235</v>
      </c>
      <c r="BD10" s="45" t="s">
        <v>69</v>
      </c>
      <c r="BE10" s="53"/>
      <c r="BF10" s="75"/>
      <c r="BG10" s="50" t="s">
        <v>205</v>
      </c>
      <c r="BH10" s="53"/>
    </row>
    <row r="11" spans="1:60" s="4" customFormat="1" ht="17.25" x14ac:dyDescent="0.2">
      <c r="A11" s="5"/>
      <c r="B11" s="111"/>
      <c r="C11" s="112"/>
      <c r="D11" s="112"/>
      <c r="E11" s="112"/>
      <c r="F11" s="112"/>
      <c r="G11" s="85"/>
      <c r="H11" s="85"/>
      <c r="I11" s="85"/>
      <c r="J11" s="85"/>
      <c r="K11" s="85"/>
      <c r="L11" s="85"/>
      <c r="M11" s="85"/>
      <c r="N11" s="85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90"/>
      <c r="AB11" s="90"/>
      <c r="AC11" s="90"/>
      <c r="AD11" s="90"/>
      <c r="AE11" s="90"/>
      <c r="AF11" s="90"/>
      <c r="AG11" s="91"/>
      <c r="AH11" s="91"/>
      <c r="AI11" s="91"/>
      <c r="AJ11" s="91"/>
      <c r="AK11" s="91"/>
      <c r="AL11" s="91"/>
      <c r="AM11" s="91"/>
      <c r="AN11" s="92"/>
      <c r="AU11" s="7"/>
      <c r="BC11" s="50" t="s">
        <v>236</v>
      </c>
      <c r="BD11" s="45" t="s">
        <v>70</v>
      </c>
      <c r="BE11" s="53"/>
      <c r="BF11" s="75"/>
      <c r="BG11" s="50" t="s">
        <v>206</v>
      </c>
      <c r="BH11" s="53"/>
    </row>
    <row r="12" spans="1:60" s="4" customFormat="1" ht="17.25" x14ac:dyDescent="0.2">
      <c r="A12" s="5"/>
      <c r="B12" s="111"/>
      <c r="C12" s="112"/>
      <c r="D12" s="112"/>
      <c r="E12" s="112"/>
      <c r="F12" s="112"/>
      <c r="G12" s="85"/>
      <c r="H12" s="85"/>
      <c r="I12" s="85"/>
      <c r="J12" s="85"/>
      <c r="K12" s="85"/>
      <c r="L12" s="85"/>
      <c r="M12" s="85"/>
      <c r="N12" s="85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90"/>
      <c r="AB12" s="90"/>
      <c r="AC12" s="90"/>
      <c r="AD12" s="90"/>
      <c r="AE12" s="90"/>
      <c r="AF12" s="90"/>
      <c r="AG12" s="91"/>
      <c r="AH12" s="91"/>
      <c r="AI12" s="91"/>
      <c r="AJ12" s="91"/>
      <c r="AK12" s="91"/>
      <c r="AL12" s="91"/>
      <c r="AM12" s="91"/>
      <c r="AN12" s="92"/>
      <c r="AU12" s="7"/>
      <c r="BC12" s="50" t="s">
        <v>237</v>
      </c>
      <c r="BD12" s="51"/>
      <c r="BE12" s="53"/>
      <c r="BF12" s="75"/>
      <c r="BG12" s="50" t="s">
        <v>207</v>
      </c>
      <c r="BH12" s="53"/>
    </row>
    <row r="13" spans="1:60" s="4" customFormat="1" ht="17.25" x14ac:dyDescent="0.2">
      <c r="A13" s="43"/>
      <c r="B13" s="114"/>
      <c r="C13" s="115"/>
      <c r="D13" s="115"/>
      <c r="E13" s="115"/>
      <c r="F13" s="115"/>
      <c r="G13" s="98"/>
      <c r="H13" s="98"/>
      <c r="I13" s="98"/>
      <c r="J13" s="98"/>
      <c r="K13" s="98"/>
      <c r="L13" s="98"/>
      <c r="M13" s="98"/>
      <c r="N13" s="98"/>
      <c r="O13" s="99"/>
      <c r="P13" s="99"/>
      <c r="Q13" s="99"/>
      <c r="R13" s="99"/>
      <c r="S13" s="99"/>
      <c r="T13" s="99"/>
      <c r="U13" s="99"/>
      <c r="V13" s="99"/>
      <c r="W13" s="99"/>
      <c r="X13" s="99"/>
      <c r="Y13" s="99"/>
      <c r="Z13" s="99"/>
      <c r="AA13" s="97"/>
      <c r="AB13" s="97"/>
      <c r="AC13" s="97"/>
      <c r="AD13" s="97"/>
      <c r="AE13" s="97"/>
      <c r="AF13" s="97"/>
      <c r="AG13" s="105"/>
      <c r="AH13" s="105"/>
      <c r="AI13" s="105"/>
      <c r="AJ13" s="105"/>
      <c r="AK13" s="105"/>
      <c r="AL13" s="105"/>
      <c r="AM13" s="105"/>
      <c r="AN13" s="106"/>
      <c r="AU13" s="7"/>
      <c r="BC13" s="50"/>
      <c r="BD13" s="51"/>
      <c r="BE13" s="53"/>
      <c r="BF13" s="75"/>
      <c r="BG13" s="50" t="s">
        <v>208</v>
      </c>
      <c r="BH13" s="53"/>
    </row>
    <row r="14" spans="1:60" s="6" customFormat="1" x14ac:dyDescent="0.15">
      <c r="AU14" s="7"/>
      <c r="BC14" s="50"/>
      <c r="BD14" s="51"/>
      <c r="BE14" s="53"/>
      <c r="BF14" s="75"/>
      <c r="BG14" s="50" t="s">
        <v>209</v>
      </c>
      <c r="BH14" s="53"/>
    </row>
    <row r="15" spans="1:60" s="6" customFormat="1" ht="18.75" x14ac:dyDescent="0.2">
      <c r="B15" s="116" t="s">
        <v>41</v>
      </c>
      <c r="C15" s="117"/>
      <c r="D15" s="117"/>
      <c r="E15" s="117"/>
      <c r="F15" s="118"/>
      <c r="G15" s="119" t="str">
        <f>RIGHT(SenkNo,4)</f>
        <v/>
      </c>
      <c r="H15" s="119"/>
      <c r="I15" s="119"/>
      <c r="J15" s="119"/>
      <c r="K15" s="164" t="s">
        <v>59</v>
      </c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164"/>
      <c r="AG15" s="164"/>
      <c r="AH15" s="164"/>
      <c r="AI15" s="164"/>
      <c r="AJ15" s="164"/>
      <c r="AK15" s="164"/>
      <c r="AL15" s="164"/>
      <c r="AM15" s="164"/>
      <c r="AN15" s="164"/>
      <c r="AU15" s="7"/>
      <c r="BC15" s="50"/>
      <c r="BD15" s="51"/>
      <c r="BE15" s="53"/>
      <c r="BF15" s="75"/>
      <c r="BG15" s="50" t="s">
        <v>210</v>
      </c>
      <c r="BH15" s="53"/>
    </row>
    <row r="16" spans="1:60" s="6" customFormat="1" ht="18" customHeight="1" x14ac:dyDescent="0.2">
      <c r="B16" s="120" t="s">
        <v>60</v>
      </c>
      <c r="C16" s="121"/>
      <c r="D16" s="121"/>
      <c r="E16" s="121"/>
      <c r="F16" s="122"/>
      <c r="G16" s="123"/>
      <c r="H16" s="123"/>
      <c r="I16" s="123"/>
      <c r="J16" s="123"/>
      <c r="K16" s="102" t="s">
        <v>62</v>
      </c>
      <c r="L16" s="102"/>
      <c r="M16" s="102"/>
      <c r="N16" s="102"/>
      <c r="O16" s="171"/>
      <c r="P16" s="171"/>
      <c r="Q16" s="171"/>
      <c r="R16" s="171"/>
      <c r="S16" s="102" t="s">
        <v>63</v>
      </c>
      <c r="T16" s="102"/>
      <c r="U16" s="102"/>
      <c r="V16" s="102"/>
      <c r="W16" s="103"/>
      <c r="X16" s="103"/>
      <c r="Y16" s="103"/>
      <c r="Z16" s="103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165"/>
      <c r="AL16" s="165"/>
      <c r="AM16" s="165"/>
      <c r="AN16" s="165"/>
      <c r="AU16" s="7"/>
      <c r="BC16" s="50"/>
      <c r="BD16" s="51"/>
      <c r="BE16" s="53"/>
      <c r="BF16" s="75"/>
      <c r="BG16" s="50" t="s">
        <v>211</v>
      </c>
      <c r="BH16" s="53"/>
    </row>
    <row r="17" spans="2:60" s="6" customFormat="1" x14ac:dyDescent="0.15">
      <c r="B17" s="101" t="s">
        <v>50</v>
      </c>
      <c r="C17" s="101"/>
      <c r="D17" s="101"/>
      <c r="E17" s="101"/>
      <c r="F17" s="101"/>
      <c r="G17" s="101" t="s">
        <v>51</v>
      </c>
      <c r="H17" s="101"/>
      <c r="I17" s="101"/>
      <c r="J17" s="101"/>
      <c r="K17" s="101" t="s">
        <v>52</v>
      </c>
      <c r="L17" s="101"/>
      <c r="M17" s="101"/>
      <c r="N17" s="101"/>
      <c r="O17" s="101" t="s">
        <v>53</v>
      </c>
      <c r="P17" s="101"/>
      <c r="Q17" s="101"/>
      <c r="R17" s="101"/>
      <c r="S17" s="101" t="s">
        <v>54</v>
      </c>
      <c r="T17" s="101"/>
      <c r="U17" s="101"/>
      <c r="V17" s="101"/>
      <c r="W17" s="101" t="s">
        <v>55</v>
      </c>
      <c r="X17" s="101"/>
      <c r="Y17" s="101"/>
      <c r="Z17" s="101"/>
      <c r="AA17" s="9" t="s">
        <v>61</v>
      </c>
      <c r="AB17" s="10"/>
      <c r="AC17" s="10"/>
      <c r="AD17" s="166" t="s">
        <v>58</v>
      </c>
      <c r="AE17" s="167"/>
      <c r="AF17" s="167"/>
      <c r="AG17" s="167"/>
      <c r="AH17" s="167"/>
      <c r="AI17" s="167"/>
      <c r="AJ17" s="167"/>
      <c r="AK17" s="167"/>
      <c r="AL17" s="167"/>
      <c r="AM17" s="167"/>
      <c r="AN17" s="168"/>
      <c r="AU17" s="7"/>
      <c r="BC17" s="50"/>
      <c r="BD17" s="7"/>
      <c r="BE17" s="53"/>
      <c r="BF17" s="75"/>
      <c r="BG17" s="50" t="s">
        <v>212</v>
      </c>
      <c r="BH17" s="53"/>
    </row>
    <row r="18" spans="2:60" s="6" customFormat="1" ht="17.25" x14ac:dyDescent="0.2">
      <c r="B18" s="109" t="str">
        <f>IF(UkeNo1="","",UkeNo1)</f>
        <v/>
      </c>
      <c r="C18" s="110"/>
      <c r="D18" s="110"/>
      <c r="E18" s="110"/>
      <c r="F18" s="110"/>
      <c r="G18" s="104">
        <f>RicNoS1</f>
        <v>0</v>
      </c>
      <c r="H18" s="104"/>
      <c r="I18" s="104"/>
      <c r="J18" s="104"/>
      <c r="K18" s="104">
        <f>RicNoE1</f>
        <v>0</v>
      </c>
      <c r="L18" s="104"/>
      <c r="M18" s="104"/>
      <c r="N18" s="104"/>
      <c r="O18" s="113" t="str">
        <f>IF(B18="","",Kagen1-SokutSN)</f>
        <v/>
      </c>
      <c r="P18" s="113"/>
      <c r="Q18" s="113"/>
      <c r="R18" s="113"/>
      <c r="S18" s="113" t="str">
        <f>O18</f>
        <v/>
      </c>
      <c r="T18" s="113"/>
      <c r="U18" s="113"/>
      <c r="V18" s="113"/>
      <c r="W18" s="113" t="str">
        <f>IF(B18="","",W9-$S$7)</f>
        <v/>
      </c>
      <c r="X18" s="113"/>
      <c r="Y18" s="113"/>
      <c r="Z18" s="113"/>
      <c r="AA18" s="193" t="str">
        <f>IF(B18="","",IF(ROUNDUP(O18/($S$7/AA9),0)*$S$7/AA9-O18&lt;2,ROUNDUP(O18/($S$7/AA9),0)+1,ROUNDUP(O18/($S$7/AA9),0)))</f>
        <v/>
      </c>
      <c r="AB18" s="193"/>
      <c r="AC18" s="193"/>
      <c r="AD18" s="169">
        <f>KaiName1</f>
        <v>0</v>
      </c>
      <c r="AE18" s="169"/>
      <c r="AF18" s="169"/>
      <c r="AG18" s="169"/>
      <c r="AH18" s="169"/>
      <c r="AI18" s="169"/>
      <c r="AJ18" s="169"/>
      <c r="AK18" s="169"/>
      <c r="AL18" s="169"/>
      <c r="AM18" s="169"/>
      <c r="AN18" s="170"/>
      <c r="AU18" s="7"/>
      <c r="BC18" s="50"/>
      <c r="BD18" s="7"/>
      <c r="BE18" s="53"/>
      <c r="BF18" s="75"/>
      <c r="BG18" s="50" t="s">
        <v>213</v>
      </c>
      <c r="BH18" s="53"/>
    </row>
    <row r="19" spans="2:60" ht="17.25" x14ac:dyDescent="0.2">
      <c r="B19" s="111" t="str">
        <f>IF(UkeNo2="","",UkeNo2)</f>
        <v/>
      </c>
      <c r="C19" s="112"/>
      <c r="D19" s="112"/>
      <c r="E19" s="112"/>
      <c r="F19" s="112"/>
      <c r="G19" s="85">
        <f>RicNoS2</f>
        <v>0</v>
      </c>
      <c r="H19" s="85"/>
      <c r="I19" s="85"/>
      <c r="J19" s="85"/>
      <c r="K19" s="85">
        <f>RicNoE2</f>
        <v>0</v>
      </c>
      <c r="L19" s="85"/>
      <c r="M19" s="85"/>
      <c r="N19" s="85"/>
      <c r="O19" s="84" t="str">
        <f>IF(B19="","",Kagen2-SokutSN)</f>
        <v/>
      </c>
      <c r="P19" s="84"/>
      <c r="Q19" s="84"/>
      <c r="R19" s="84"/>
      <c r="S19" s="84" t="str">
        <f>O19</f>
        <v/>
      </c>
      <c r="T19" s="84"/>
      <c r="U19" s="84"/>
      <c r="V19" s="84"/>
      <c r="W19" s="84" t="str">
        <f t="shared" ref="W19:W22" si="0">IF(B19="","",W10-$S$7)</f>
        <v/>
      </c>
      <c r="X19" s="84"/>
      <c r="Y19" s="84"/>
      <c r="Z19" s="84"/>
      <c r="AA19" s="194" t="str">
        <f t="shared" ref="AA19:AA22" si="1">IF(B19="","",IF(ROUNDUP(O19/($S$7/AA10),0)*$S$7/AA10-O19&lt;2,ROUNDUP(O19/($S$7/AA10),0)+1,ROUNDUP(O19/($S$7/AA10),0)))</f>
        <v/>
      </c>
      <c r="AB19" s="194"/>
      <c r="AC19" s="194"/>
      <c r="AD19" s="107">
        <f>KaiName2</f>
        <v>0</v>
      </c>
      <c r="AE19" s="107"/>
      <c r="AF19" s="107"/>
      <c r="AG19" s="107"/>
      <c r="AH19" s="107"/>
      <c r="AI19" s="107"/>
      <c r="AJ19" s="107"/>
      <c r="AK19" s="107"/>
      <c r="AL19" s="107"/>
      <c r="AM19" s="107"/>
      <c r="AN19" s="108"/>
      <c r="AU19" s="7"/>
      <c r="BF19" s="75"/>
      <c r="BG19" s="50" t="s">
        <v>214</v>
      </c>
    </row>
    <row r="20" spans="2:60" ht="17.25" x14ac:dyDescent="0.2">
      <c r="B20" s="111" t="str">
        <f>IF(UkeNo3="","",UkeNo3)</f>
        <v/>
      </c>
      <c r="C20" s="112"/>
      <c r="D20" s="112"/>
      <c r="E20" s="112"/>
      <c r="F20" s="112"/>
      <c r="G20" s="85">
        <f>RicNoS3</f>
        <v>0</v>
      </c>
      <c r="H20" s="85"/>
      <c r="I20" s="85"/>
      <c r="J20" s="85"/>
      <c r="K20" s="85">
        <f>RicNoE3</f>
        <v>0</v>
      </c>
      <c r="L20" s="85"/>
      <c r="M20" s="85"/>
      <c r="N20" s="85"/>
      <c r="O20" s="84" t="str">
        <f>IF(B20="","",Kagen3-SokutSN)</f>
        <v/>
      </c>
      <c r="P20" s="84"/>
      <c r="Q20" s="84"/>
      <c r="R20" s="84"/>
      <c r="S20" s="84" t="str">
        <f>O20</f>
        <v/>
      </c>
      <c r="T20" s="84"/>
      <c r="U20" s="84"/>
      <c r="V20" s="84"/>
      <c r="W20" s="84" t="str">
        <f t="shared" si="0"/>
        <v/>
      </c>
      <c r="X20" s="84"/>
      <c r="Y20" s="84"/>
      <c r="Z20" s="84"/>
      <c r="AA20" s="194" t="str">
        <f t="shared" si="1"/>
        <v/>
      </c>
      <c r="AB20" s="194"/>
      <c r="AC20" s="194"/>
      <c r="AD20" s="107">
        <f>KaiName3</f>
        <v>0</v>
      </c>
      <c r="AE20" s="107"/>
      <c r="AF20" s="107"/>
      <c r="AG20" s="107"/>
      <c r="AH20" s="107"/>
      <c r="AI20" s="107"/>
      <c r="AJ20" s="107"/>
      <c r="AK20" s="107"/>
      <c r="AL20" s="107"/>
      <c r="AM20" s="107"/>
      <c r="AN20" s="108"/>
      <c r="AU20" s="7"/>
      <c r="BC20" s="45" t="s">
        <v>140</v>
      </c>
      <c r="BF20" s="75"/>
      <c r="BG20" s="50" t="s">
        <v>215</v>
      </c>
    </row>
    <row r="21" spans="2:60" ht="17.25" x14ac:dyDescent="0.2">
      <c r="B21" s="111" t="str">
        <f>IF(UkeNo4="","",UkeNo4)</f>
        <v/>
      </c>
      <c r="C21" s="112"/>
      <c r="D21" s="112"/>
      <c r="E21" s="112"/>
      <c r="F21" s="112"/>
      <c r="G21" s="85">
        <f>RicNoS4</f>
        <v>0</v>
      </c>
      <c r="H21" s="85"/>
      <c r="I21" s="85"/>
      <c r="J21" s="85"/>
      <c r="K21" s="85">
        <f>RicNoE4</f>
        <v>0</v>
      </c>
      <c r="L21" s="85"/>
      <c r="M21" s="85"/>
      <c r="N21" s="85"/>
      <c r="O21" s="84" t="str">
        <f>IF(B21="","",Kagen4-SokutSN)</f>
        <v/>
      </c>
      <c r="P21" s="84"/>
      <c r="Q21" s="84"/>
      <c r="R21" s="84"/>
      <c r="S21" s="84" t="str">
        <f>O21</f>
        <v/>
      </c>
      <c r="T21" s="84"/>
      <c r="U21" s="84"/>
      <c r="V21" s="84"/>
      <c r="W21" s="84" t="str">
        <f t="shared" si="0"/>
        <v/>
      </c>
      <c r="X21" s="84"/>
      <c r="Y21" s="84"/>
      <c r="Z21" s="84"/>
      <c r="AA21" s="194" t="str">
        <f t="shared" si="1"/>
        <v/>
      </c>
      <c r="AB21" s="194"/>
      <c r="AC21" s="194"/>
      <c r="AD21" s="107">
        <f>KaiName4</f>
        <v>0</v>
      </c>
      <c r="AE21" s="107"/>
      <c r="AF21" s="107"/>
      <c r="AG21" s="107"/>
      <c r="AH21" s="107"/>
      <c r="AI21" s="107"/>
      <c r="AJ21" s="107"/>
      <c r="AK21" s="107"/>
      <c r="AL21" s="107"/>
      <c r="AM21" s="107"/>
      <c r="AN21" s="108"/>
      <c r="AU21" s="7"/>
      <c r="BC21" s="45">
        <v>5</v>
      </c>
      <c r="BF21" s="75"/>
      <c r="BG21" s="50" t="s">
        <v>216</v>
      </c>
    </row>
    <row r="22" spans="2:60" ht="17.25" x14ac:dyDescent="0.2">
      <c r="B22" s="114" t="str">
        <f>IF(UkeNo5="","",UkeNo5)</f>
        <v/>
      </c>
      <c r="C22" s="115"/>
      <c r="D22" s="115"/>
      <c r="E22" s="115"/>
      <c r="F22" s="115"/>
      <c r="G22" s="98">
        <f>RicNoS5</f>
        <v>0</v>
      </c>
      <c r="H22" s="98"/>
      <c r="I22" s="98"/>
      <c r="J22" s="98"/>
      <c r="K22" s="98">
        <f>RicNoE5</f>
        <v>0</v>
      </c>
      <c r="L22" s="98"/>
      <c r="M22" s="98"/>
      <c r="N22" s="98"/>
      <c r="O22" s="99" t="str">
        <f>IF(B22="","",Kagen5-SokutSN)</f>
        <v/>
      </c>
      <c r="P22" s="99"/>
      <c r="Q22" s="99"/>
      <c r="R22" s="99"/>
      <c r="S22" s="99" t="str">
        <f>O22</f>
        <v/>
      </c>
      <c r="T22" s="99"/>
      <c r="U22" s="99"/>
      <c r="V22" s="99"/>
      <c r="W22" s="99" t="str">
        <f t="shared" si="0"/>
        <v/>
      </c>
      <c r="X22" s="99"/>
      <c r="Y22" s="99"/>
      <c r="Z22" s="99"/>
      <c r="AA22" s="195" t="str">
        <f t="shared" si="1"/>
        <v/>
      </c>
      <c r="AB22" s="195"/>
      <c r="AC22" s="195"/>
      <c r="AD22" s="95">
        <f>KaiName5</f>
        <v>0</v>
      </c>
      <c r="AE22" s="95"/>
      <c r="AF22" s="95"/>
      <c r="AG22" s="95"/>
      <c r="AH22" s="95"/>
      <c r="AI22" s="95"/>
      <c r="AJ22" s="95"/>
      <c r="AK22" s="95"/>
      <c r="AL22" s="95"/>
      <c r="AM22" s="95"/>
      <c r="AN22" s="96"/>
      <c r="AU22" s="7"/>
      <c r="BF22" s="75"/>
      <c r="BG22" s="50" t="s">
        <v>217</v>
      </c>
    </row>
    <row r="23" spans="2:60" x14ac:dyDescent="0.15">
      <c r="AU23" s="7"/>
      <c r="BF23" s="75"/>
      <c r="BG23" s="50" t="s">
        <v>218</v>
      </c>
    </row>
    <row r="24" spans="2:60" x14ac:dyDescent="0.15">
      <c r="M24" s="94" t="str">
        <f>IF(OR(AA18&lt;0,AA19&lt;0,AA20&lt;0,AA21&lt;0,AA22&lt;0),"測定データが不適切","")</f>
        <v/>
      </c>
      <c r="N24" s="94"/>
      <c r="O24" s="94"/>
      <c r="P24" s="94"/>
      <c r="Q24" s="94"/>
      <c r="R24" s="94"/>
      <c r="S24" s="100" t="str">
        <f>IF(MAX(AA18:AC22)&lt;&gt;MIN(AA18:AC22),"追加ﾊﾟｽ数異なるため課長に報告のこと","")</f>
        <v/>
      </c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BF24" s="75"/>
      <c r="BG24" s="50" t="s">
        <v>219</v>
      </c>
    </row>
    <row r="25" spans="2:60" ht="14.25" customHeight="1" x14ac:dyDescent="0.15"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BF25" s="75"/>
      <c r="BG25" s="50" t="s">
        <v>220</v>
      </c>
    </row>
    <row r="26" spans="2:60" ht="14.25" customHeight="1" x14ac:dyDescent="0.15"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BF26" s="75"/>
      <c r="BG26" s="50" t="s">
        <v>221</v>
      </c>
    </row>
    <row r="27" spans="2:60" ht="14.25" customHeight="1" x14ac:dyDescent="0.15">
      <c r="BF27" s="75"/>
      <c r="BG27" s="50" t="s">
        <v>222</v>
      </c>
    </row>
    <row r="28" spans="2:60" ht="17.25" customHeight="1" x14ac:dyDescent="0.15">
      <c r="BF28" s="75"/>
      <c r="BG28" s="50" t="s">
        <v>223</v>
      </c>
    </row>
    <row r="29" spans="2:60" ht="17.25" customHeight="1" x14ac:dyDescent="0.15">
      <c r="BF29" s="75"/>
      <c r="BG29" s="50" t="s">
        <v>224</v>
      </c>
    </row>
    <row r="30" spans="2:60" ht="17.25" customHeight="1" x14ac:dyDescent="0.15">
      <c r="B30" t="s">
        <v>65</v>
      </c>
      <c r="BF30" s="75"/>
      <c r="BG30" s="50" t="s">
        <v>225</v>
      </c>
    </row>
    <row r="31" spans="2:60" ht="17.25" customHeight="1" x14ac:dyDescent="0.15">
      <c r="BF31" s="75"/>
      <c r="BG31" s="45" t="s">
        <v>226</v>
      </c>
    </row>
    <row r="32" spans="2:60" ht="17.25" customHeight="1" x14ac:dyDescent="0.15">
      <c r="BF32" s="75"/>
      <c r="BG32" s="45" t="s">
        <v>227</v>
      </c>
    </row>
    <row r="33" spans="1:60" s="8" customFormat="1" ht="17.25" customHeight="1" x14ac:dyDescent="0.15">
      <c r="BC33" s="7"/>
      <c r="BD33" s="7"/>
      <c r="BE33" s="7"/>
      <c r="BF33" s="75"/>
      <c r="BG33" s="45" t="s">
        <v>228</v>
      </c>
      <c r="BH33" s="7"/>
    </row>
    <row r="34" spans="1:60" ht="17.25" hidden="1" customHeight="1" x14ac:dyDescent="0.15">
      <c r="A34" s="7">
        <v>1</v>
      </c>
      <c r="B34" s="7">
        <v>2</v>
      </c>
      <c r="C34" s="7">
        <v>3</v>
      </c>
      <c r="D34" s="7">
        <v>4</v>
      </c>
      <c r="E34" s="7">
        <v>5</v>
      </c>
      <c r="F34" s="7">
        <v>6</v>
      </c>
      <c r="G34" s="7">
        <v>7</v>
      </c>
      <c r="H34" s="7">
        <v>8</v>
      </c>
      <c r="I34" s="7">
        <v>9</v>
      </c>
      <c r="J34" s="7">
        <v>10</v>
      </c>
      <c r="K34" s="7">
        <v>11</v>
      </c>
      <c r="L34" s="7">
        <v>12</v>
      </c>
      <c r="M34" s="7">
        <v>13</v>
      </c>
      <c r="N34" s="7">
        <v>14</v>
      </c>
      <c r="O34" s="7">
        <v>15</v>
      </c>
      <c r="P34" s="7">
        <v>16</v>
      </c>
      <c r="Q34" s="7">
        <v>17</v>
      </c>
      <c r="R34" s="7">
        <v>18</v>
      </c>
      <c r="S34" s="7">
        <v>19</v>
      </c>
      <c r="T34" s="7">
        <v>20</v>
      </c>
      <c r="U34" s="7">
        <v>21</v>
      </c>
      <c r="V34" s="7">
        <v>22</v>
      </c>
      <c r="W34" s="7">
        <v>23</v>
      </c>
      <c r="X34" s="7">
        <v>24</v>
      </c>
      <c r="Y34" s="7">
        <v>25</v>
      </c>
      <c r="Z34" s="7">
        <v>26</v>
      </c>
      <c r="AA34" s="7">
        <v>27</v>
      </c>
      <c r="AB34" s="7">
        <v>28</v>
      </c>
      <c r="AC34" s="7">
        <v>29</v>
      </c>
      <c r="AD34" s="7">
        <v>30</v>
      </c>
      <c r="AE34" s="7">
        <v>31</v>
      </c>
      <c r="AF34" s="7">
        <v>32</v>
      </c>
      <c r="AG34" s="7">
        <v>33</v>
      </c>
      <c r="AH34" s="7">
        <v>34</v>
      </c>
      <c r="AI34" s="7">
        <v>35</v>
      </c>
      <c r="AJ34" s="7">
        <v>36</v>
      </c>
      <c r="AK34" s="7">
        <v>37</v>
      </c>
      <c r="AL34" s="7">
        <v>38</v>
      </c>
      <c r="AM34" s="7">
        <v>39</v>
      </c>
      <c r="AN34" s="7">
        <v>40</v>
      </c>
      <c r="AO34" s="7">
        <v>41</v>
      </c>
      <c r="AP34" s="7">
        <v>42</v>
      </c>
      <c r="AQ34" s="7">
        <v>43</v>
      </c>
      <c r="AR34" s="7">
        <v>44</v>
      </c>
      <c r="AS34" s="7">
        <v>45</v>
      </c>
      <c r="AT34" s="7">
        <v>46</v>
      </c>
      <c r="AU34" s="7">
        <v>47</v>
      </c>
      <c r="AV34" s="7">
        <v>48</v>
      </c>
      <c r="AW34" s="7">
        <v>49</v>
      </c>
      <c r="AX34" s="7">
        <v>50</v>
      </c>
      <c r="AY34" s="7"/>
      <c r="BF34" s="72" t="e">
        <f>#REF!</f>
        <v>#REF!</v>
      </c>
      <c r="BG34" s="7" t="s">
        <v>229</v>
      </c>
    </row>
    <row r="35" spans="1:60" ht="17.25" hidden="1" customHeight="1" x14ac:dyDescent="0.15">
      <c r="A35" s="49" t="s">
        <v>116</v>
      </c>
      <c r="B35" s="8" t="s">
        <v>0</v>
      </c>
      <c r="C35" s="8" t="s">
        <v>1</v>
      </c>
      <c r="D35" s="8" t="s">
        <v>2</v>
      </c>
      <c r="E35" s="8" t="s">
        <v>3</v>
      </c>
      <c r="F35" s="8" t="s">
        <v>4</v>
      </c>
      <c r="G35" s="8" t="s">
        <v>5</v>
      </c>
      <c r="H35" s="8" t="s">
        <v>6</v>
      </c>
      <c r="I35" s="8" t="s">
        <v>7</v>
      </c>
      <c r="J35" s="8" t="s">
        <v>8</v>
      </c>
      <c r="K35" s="8" t="s">
        <v>9</v>
      </c>
      <c r="L35" s="8" t="s">
        <v>10</v>
      </c>
      <c r="M35" s="8" t="s">
        <v>11</v>
      </c>
      <c r="N35" s="8" t="s">
        <v>117</v>
      </c>
      <c r="O35" s="8" t="s">
        <v>12</v>
      </c>
      <c r="P35" s="8" t="s">
        <v>13</v>
      </c>
      <c r="Q35" s="8" t="s">
        <v>14</v>
      </c>
      <c r="R35" s="8" t="s">
        <v>15</v>
      </c>
      <c r="S35" s="8" t="s">
        <v>118</v>
      </c>
      <c r="T35" s="8" t="s">
        <v>16</v>
      </c>
      <c r="U35" s="8" t="s">
        <v>17</v>
      </c>
      <c r="V35" s="8" t="s">
        <v>18</v>
      </c>
      <c r="W35" s="8" t="s">
        <v>19</v>
      </c>
      <c r="X35" s="8" t="s">
        <v>119</v>
      </c>
      <c r="Y35" s="8" t="s">
        <v>20</v>
      </c>
      <c r="Z35" s="8" t="s">
        <v>21</v>
      </c>
      <c r="AA35" s="8" t="s">
        <v>22</v>
      </c>
      <c r="AB35" s="8" t="s">
        <v>23</v>
      </c>
      <c r="AC35" s="8" t="s">
        <v>120</v>
      </c>
      <c r="AD35" s="8" t="s">
        <v>24</v>
      </c>
      <c r="AE35" s="8" t="s">
        <v>25</v>
      </c>
      <c r="AF35" s="8" t="s">
        <v>26</v>
      </c>
      <c r="AG35" s="8" t="s">
        <v>27</v>
      </c>
      <c r="AH35" s="8" t="s">
        <v>121</v>
      </c>
      <c r="AI35" s="8" t="s">
        <v>28</v>
      </c>
      <c r="AJ35" s="8" t="s">
        <v>29</v>
      </c>
      <c r="AK35" s="8" t="s">
        <v>30</v>
      </c>
      <c r="AL35" s="8" t="s">
        <v>31</v>
      </c>
      <c r="AM35" s="8" t="s">
        <v>122</v>
      </c>
      <c r="AN35" s="8" t="s">
        <v>32</v>
      </c>
      <c r="AO35" s="8" t="s">
        <v>33</v>
      </c>
      <c r="AP35" s="8" t="s">
        <v>35</v>
      </c>
      <c r="AQ35" s="8" t="s">
        <v>34</v>
      </c>
      <c r="AR35" s="8" t="s">
        <v>123</v>
      </c>
      <c r="AS35" s="8" t="s">
        <v>36</v>
      </c>
      <c r="AT35" s="8" t="s">
        <v>37</v>
      </c>
      <c r="AU35" s="8" t="s">
        <v>38</v>
      </c>
      <c r="AV35" s="48" t="s">
        <v>39</v>
      </c>
      <c r="AW35" s="8" t="s">
        <v>124</v>
      </c>
      <c r="AX35" s="8" t="s">
        <v>66</v>
      </c>
      <c r="AY35" s="8"/>
      <c r="BG35" s="7" t="s">
        <v>230</v>
      </c>
    </row>
    <row r="36" spans="1:60" ht="17.25" hidden="1" customHeight="1" x14ac:dyDescent="0.15">
      <c r="A36" s="7" t="str">
        <f t="shared" ref="A36:AF36" si="2">IF(ISERROR(VLOOKUP(SenkNo,Data,A34,FALSE)),"",VLOOKUP(SenkNo,Data,A34,FALSE))</f>
        <v/>
      </c>
      <c r="B36" s="7" t="str">
        <f t="shared" si="2"/>
        <v/>
      </c>
      <c r="C36" s="7" t="str">
        <f t="shared" si="2"/>
        <v/>
      </c>
      <c r="D36" s="7" t="str">
        <f t="shared" si="2"/>
        <v/>
      </c>
      <c r="E36" s="7" t="str">
        <f t="shared" si="2"/>
        <v/>
      </c>
      <c r="F36" s="7" t="str">
        <f t="shared" si="2"/>
        <v/>
      </c>
      <c r="G36" s="7" t="str">
        <f t="shared" si="2"/>
        <v/>
      </c>
      <c r="H36" s="7" t="str">
        <f t="shared" si="2"/>
        <v/>
      </c>
      <c r="I36" s="7" t="str">
        <f t="shared" si="2"/>
        <v/>
      </c>
      <c r="J36" s="7" t="str">
        <f t="shared" si="2"/>
        <v/>
      </c>
      <c r="K36" s="7" t="str">
        <f t="shared" si="2"/>
        <v/>
      </c>
      <c r="L36" s="7" t="str">
        <f t="shared" si="2"/>
        <v/>
      </c>
      <c r="M36" s="7" t="str">
        <f t="shared" si="2"/>
        <v/>
      </c>
      <c r="N36" s="7" t="str">
        <f t="shared" si="2"/>
        <v/>
      </c>
      <c r="O36" s="7" t="str">
        <f t="shared" si="2"/>
        <v/>
      </c>
      <c r="P36" s="7" t="str">
        <f t="shared" si="2"/>
        <v/>
      </c>
      <c r="Q36" s="7" t="str">
        <f t="shared" si="2"/>
        <v/>
      </c>
      <c r="R36" s="7" t="str">
        <f t="shared" si="2"/>
        <v/>
      </c>
      <c r="S36" s="7" t="str">
        <f t="shared" si="2"/>
        <v/>
      </c>
      <c r="T36" s="7" t="str">
        <f t="shared" si="2"/>
        <v/>
      </c>
      <c r="U36" s="7" t="str">
        <f t="shared" si="2"/>
        <v/>
      </c>
      <c r="V36" s="7" t="str">
        <f t="shared" si="2"/>
        <v/>
      </c>
      <c r="W36" s="7" t="str">
        <f t="shared" si="2"/>
        <v/>
      </c>
      <c r="X36" s="7" t="str">
        <f t="shared" si="2"/>
        <v/>
      </c>
      <c r="Y36" s="7" t="str">
        <f t="shared" si="2"/>
        <v/>
      </c>
      <c r="Z36" s="7" t="str">
        <f t="shared" si="2"/>
        <v/>
      </c>
      <c r="AA36" s="7" t="str">
        <f t="shared" si="2"/>
        <v/>
      </c>
      <c r="AB36" s="7" t="str">
        <f t="shared" si="2"/>
        <v/>
      </c>
      <c r="AC36" s="7" t="str">
        <f t="shared" si="2"/>
        <v/>
      </c>
      <c r="AD36" s="7" t="str">
        <f t="shared" si="2"/>
        <v/>
      </c>
      <c r="AE36" s="7" t="str">
        <f t="shared" si="2"/>
        <v/>
      </c>
      <c r="AF36" s="7" t="str">
        <f t="shared" si="2"/>
        <v/>
      </c>
      <c r="AG36" s="7" t="str">
        <f t="shared" ref="AG36:AX36" si="3">IF(ISERROR(VLOOKUP(SenkNo,Data,AG34,FALSE)),"",VLOOKUP(SenkNo,Data,AG34,FALSE))</f>
        <v/>
      </c>
      <c r="AH36" s="7" t="str">
        <f t="shared" si="3"/>
        <v/>
      </c>
      <c r="AI36" s="7" t="str">
        <f t="shared" si="3"/>
        <v/>
      </c>
      <c r="AJ36" s="7" t="str">
        <f t="shared" si="3"/>
        <v/>
      </c>
      <c r="AK36" s="7" t="str">
        <f t="shared" si="3"/>
        <v/>
      </c>
      <c r="AL36" s="7" t="str">
        <f t="shared" si="3"/>
        <v/>
      </c>
      <c r="AM36" s="7" t="str">
        <f t="shared" si="3"/>
        <v/>
      </c>
      <c r="AN36" s="7" t="str">
        <f t="shared" si="3"/>
        <v/>
      </c>
      <c r="AO36" s="7" t="str">
        <f t="shared" si="3"/>
        <v/>
      </c>
      <c r="AP36" s="7" t="str">
        <f t="shared" si="3"/>
        <v/>
      </c>
      <c r="AQ36" s="7" t="str">
        <f t="shared" si="3"/>
        <v/>
      </c>
      <c r="AR36" s="7" t="str">
        <f t="shared" si="3"/>
        <v/>
      </c>
      <c r="AS36" s="7" t="str">
        <f t="shared" si="3"/>
        <v/>
      </c>
      <c r="AT36" s="7" t="str">
        <f t="shared" si="3"/>
        <v/>
      </c>
      <c r="AU36" s="7" t="str">
        <f t="shared" si="3"/>
        <v/>
      </c>
      <c r="AV36" s="7" t="str">
        <f t="shared" si="3"/>
        <v/>
      </c>
      <c r="AW36" s="7" t="str">
        <f t="shared" si="3"/>
        <v/>
      </c>
      <c r="AX36" s="7" t="str">
        <f t="shared" si="3"/>
        <v/>
      </c>
      <c r="AY36" s="7"/>
      <c r="BG36" s="7" t="s">
        <v>231</v>
      </c>
    </row>
    <row r="37" spans="1:60" s="7" customFormat="1" ht="17.2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Y37" s="46"/>
      <c r="BG37" s="7" t="s">
        <v>232</v>
      </c>
    </row>
    <row r="38" spans="1:60" s="7" customFormat="1" ht="17.2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Q38" s="8"/>
      <c r="AY38" s="46"/>
      <c r="BG38" s="7" t="s">
        <v>233</v>
      </c>
    </row>
    <row r="39" spans="1:60" s="7" customFormat="1" ht="17.2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Q39" s="7" t="str">
        <f>IF(ISERROR(VLOOKUP(TEXT(SenkNo,"0000"),Data,AQ37,FALSE)),"",VLOOKUP(TEXT(SenkNo,"0000"),Data,AQ37,FALSE))</f>
        <v/>
      </c>
      <c r="AV39"/>
      <c r="AW39"/>
      <c r="AX39"/>
      <c r="AY39" s="46"/>
      <c r="BG39" s="7" t="s">
        <v>234</v>
      </c>
    </row>
    <row r="40" spans="1:60" ht="17.25" customHeight="1" x14ac:dyDescent="0.15"/>
    <row r="41" spans="1:60" ht="17.25" customHeight="1" x14ac:dyDescent="0.15"/>
    <row r="42" spans="1:60" ht="17.25" customHeight="1" x14ac:dyDescent="0.15"/>
    <row r="43" spans="1:60" ht="17.25" customHeight="1" x14ac:dyDescent="0.15"/>
    <row r="44" spans="1:60" ht="17.25" customHeight="1" x14ac:dyDescent="0.15"/>
    <row r="45" spans="1:60" ht="17.25" customHeight="1" x14ac:dyDescent="0.15"/>
    <row r="46" spans="1:60" ht="17.25" customHeight="1" x14ac:dyDescent="0.15"/>
    <row r="47" spans="1:60" ht="17.25" customHeight="1" x14ac:dyDescent="0.15"/>
    <row r="48" spans="1:60" ht="17.25" customHeight="1" x14ac:dyDescent="0.15"/>
  </sheetData>
  <sheetProtection sheet="1" objects="1" scenarios="1" selectLockedCells="1"/>
  <customSheetViews>
    <customSheetView guid="{483C5E02-A279-4E47-B34C-46BF3C195F01}" scale="90" showGridLines="0" showRowCol="0" zeroValues="0" showRuler="0">
      <pane xSplit="41" ySplit="25" topLeftCell="AP26" activePane="bottomRight" state="frozen"/>
      <selection pane="bottomRight" activeCell="B7" sqref="B7:F7"/>
      <pageMargins left="0.78740157480314965" right="0.78740157480314965" top="0.98425196850393704" bottom="0.98425196850393704" header="0.51181102362204722" footer="0.51181102362204722"/>
      <pageSetup paperSize="9" scale="90" orientation="landscape" blackAndWhite="1" verticalDpi="180" r:id="rId1"/>
      <headerFooter alignWithMargins="0"/>
    </customSheetView>
  </customSheetViews>
  <mergeCells count="140">
    <mergeCell ref="W20:Z20"/>
    <mergeCell ref="AD20:AN20"/>
    <mergeCell ref="K19:N19"/>
    <mergeCell ref="W19:Z19"/>
    <mergeCell ref="S19:V19"/>
    <mergeCell ref="W17:Z17"/>
    <mergeCell ref="S17:V17"/>
    <mergeCell ref="AA12:AC12"/>
    <mergeCell ref="AA13:AC13"/>
    <mergeCell ref="AA18:AC18"/>
    <mergeCell ref="K15:AN15"/>
    <mergeCell ref="AA16:AN16"/>
    <mergeCell ref="AD12:AF12"/>
    <mergeCell ref="AG12:AN12"/>
    <mergeCell ref="AD17:AN17"/>
    <mergeCell ref="AD18:AN18"/>
    <mergeCell ref="AD19:AN19"/>
    <mergeCell ref="O16:R16"/>
    <mergeCell ref="S16:V16"/>
    <mergeCell ref="W13:Z13"/>
    <mergeCell ref="B9:F9"/>
    <mergeCell ref="G9:J9"/>
    <mergeCell ref="K9:N9"/>
    <mergeCell ref="AG8:AN8"/>
    <mergeCell ref="W9:Z9"/>
    <mergeCell ref="O9:R9"/>
    <mergeCell ref="S9:V9"/>
    <mergeCell ref="AA9:AC9"/>
    <mergeCell ref="S8:V8"/>
    <mergeCell ref="W8:Z8"/>
    <mergeCell ref="B8:F8"/>
    <mergeCell ref="G8:J8"/>
    <mergeCell ref="K8:N8"/>
    <mergeCell ref="O8:R8"/>
    <mergeCell ref="AA8:AC8"/>
    <mergeCell ref="AD8:AF8"/>
    <mergeCell ref="AG9:AN9"/>
    <mergeCell ref="AD9:AF9"/>
    <mergeCell ref="AK1:AN1"/>
    <mergeCell ref="AK2:AN4"/>
    <mergeCell ref="B5:Z5"/>
    <mergeCell ref="AA5:AN5"/>
    <mergeCell ref="M3:Y3"/>
    <mergeCell ref="AG7:AI7"/>
    <mergeCell ref="AA7:AB7"/>
    <mergeCell ref="AD7:AE7"/>
    <mergeCell ref="B6:F6"/>
    <mergeCell ref="G6:J6"/>
    <mergeCell ref="K6:N6"/>
    <mergeCell ref="O6:R6"/>
    <mergeCell ref="B7:F7"/>
    <mergeCell ref="AM7:AN7"/>
    <mergeCell ref="G7:J7"/>
    <mergeCell ref="K7:N7"/>
    <mergeCell ref="O7:R7"/>
    <mergeCell ref="AG6:AI6"/>
    <mergeCell ref="S6:V6"/>
    <mergeCell ref="W6:Z6"/>
    <mergeCell ref="AJ7:AL7"/>
    <mergeCell ref="S7:V7"/>
    <mergeCell ref="W7:Z7"/>
    <mergeCell ref="AA6:AB6"/>
    <mergeCell ref="B22:F22"/>
    <mergeCell ref="W18:Z18"/>
    <mergeCell ref="B10:F10"/>
    <mergeCell ref="B15:F15"/>
    <mergeCell ref="G15:J15"/>
    <mergeCell ref="B17:F17"/>
    <mergeCell ref="G17:J17"/>
    <mergeCell ref="B16:F16"/>
    <mergeCell ref="G16:J16"/>
    <mergeCell ref="K17:N17"/>
    <mergeCell ref="K13:N13"/>
    <mergeCell ref="K10:N10"/>
    <mergeCell ref="G12:J12"/>
    <mergeCell ref="K12:N12"/>
    <mergeCell ref="B11:F11"/>
    <mergeCell ref="B12:F12"/>
    <mergeCell ref="G11:J11"/>
    <mergeCell ref="K11:N11"/>
    <mergeCell ref="B13:F13"/>
    <mergeCell ref="S13:V13"/>
    <mergeCell ref="W10:Z10"/>
    <mergeCell ref="S11:V11"/>
    <mergeCell ref="W11:Z11"/>
    <mergeCell ref="W12:Z12"/>
    <mergeCell ref="B18:F18"/>
    <mergeCell ref="B19:F19"/>
    <mergeCell ref="B20:F20"/>
    <mergeCell ref="B21:F21"/>
    <mergeCell ref="S20:V20"/>
    <mergeCell ref="G21:J21"/>
    <mergeCell ref="K21:N21"/>
    <mergeCell ref="G19:J19"/>
    <mergeCell ref="G20:J20"/>
    <mergeCell ref="O19:R19"/>
    <mergeCell ref="O18:R18"/>
    <mergeCell ref="S18:V18"/>
    <mergeCell ref="S21:V21"/>
    <mergeCell ref="K20:N20"/>
    <mergeCell ref="O20:R20"/>
    <mergeCell ref="M24:R24"/>
    <mergeCell ref="AD22:AN22"/>
    <mergeCell ref="AD13:AF13"/>
    <mergeCell ref="G13:J13"/>
    <mergeCell ref="G22:J22"/>
    <mergeCell ref="K22:N22"/>
    <mergeCell ref="O22:R22"/>
    <mergeCell ref="S22:V22"/>
    <mergeCell ref="S24:AN25"/>
    <mergeCell ref="O13:R13"/>
    <mergeCell ref="O17:R17"/>
    <mergeCell ref="K16:N16"/>
    <mergeCell ref="O21:R21"/>
    <mergeCell ref="W16:Z16"/>
    <mergeCell ref="G18:J18"/>
    <mergeCell ref="K18:N18"/>
    <mergeCell ref="W22:Z22"/>
    <mergeCell ref="AA22:AC22"/>
    <mergeCell ref="W21:Z21"/>
    <mergeCell ref="AG13:AN13"/>
    <mergeCell ref="AD21:AN21"/>
    <mergeCell ref="AA19:AC19"/>
    <mergeCell ref="AA20:AC20"/>
    <mergeCell ref="AA21:AC21"/>
    <mergeCell ref="O11:R11"/>
    <mergeCell ref="S10:V10"/>
    <mergeCell ref="G10:J10"/>
    <mergeCell ref="O12:R12"/>
    <mergeCell ref="O10:R10"/>
    <mergeCell ref="AD6:AE6"/>
    <mergeCell ref="AJ6:AL6"/>
    <mergeCell ref="AD10:AF10"/>
    <mergeCell ref="AG11:AN11"/>
    <mergeCell ref="AD11:AF11"/>
    <mergeCell ref="S12:V12"/>
    <mergeCell ref="AM6:AN6"/>
    <mergeCell ref="AG10:AN10"/>
    <mergeCell ref="AA11:AC11"/>
    <mergeCell ref="AA10:AC10"/>
  </mergeCells>
  <phoneticPr fontId="2"/>
  <conditionalFormatting sqref="O7:R7">
    <cfRule type="expression" dxfId="7" priority="5" stopIfTrue="1">
      <formula>$O$7=""</formula>
    </cfRule>
  </conditionalFormatting>
  <conditionalFormatting sqref="S24:AN25">
    <cfRule type="expression" dxfId="6" priority="6" stopIfTrue="1">
      <formula>$S$24&lt;&gt;""</formula>
    </cfRule>
  </conditionalFormatting>
  <conditionalFormatting sqref="W16:Z16">
    <cfRule type="expression" dxfId="5" priority="7" stopIfTrue="1">
      <formula>$W$16="未登録"</formula>
    </cfRule>
  </conditionalFormatting>
  <conditionalFormatting sqref="M3">
    <cfRule type="expression" dxfId="4" priority="8" stopIfTrue="1">
      <formula>$BG$3&gt;$BH$3</formula>
    </cfRule>
  </conditionalFormatting>
  <conditionalFormatting sqref="B18:AN22">
    <cfRule type="expression" dxfId="3" priority="4" stopIfTrue="1">
      <formula>$AA$18&lt;=0</formula>
    </cfRule>
  </conditionalFormatting>
  <conditionalFormatting sqref="M24:R24">
    <cfRule type="expression" dxfId="2" priority="3" stopIfTrue="1">
      <formula>$P$24&lt;&gt;""</formula>
    </cfRule>
  </conditionalFormatting>
  <conditionalFormatting sqref="M24">
    <cfRule type="expression" dxfId="1" priority="2" stopIfTrue="1">
      <formula>$M$24&lt;&gt;""</formula>
    </cfRule>
  </conditionalFormatting>
  <conditionalFormatting sqref="A1">
    <cfRule type="expression" dxfId="0" priority="1">
      <formula>$A$1&lt;&gt;""</formula>
    </cfRule>
  </conditionalFormatting>
  <dataValidations count="4">
    <dataValidation type="list" allowBlank="1" showInputMessage="1" showErrorMessage="1" sqref="C7:F7" xr:uid="{00000000-0002-0000-0000-000000000000}">
      <formula1>SebkNoTB</formula1>
    </dataValidation>
    <dataValidation type="list" allowBlank="1" showInputMessage="1" showErrorMessage="1" sqref="O7:R7" xr:uid="{00000000-0002-0000-0000-000001000000}">
      <formula1>SyainTB</formula1>
    </dataValidation>
    <dataValidation type="list" allowBlank="1" showInputMessage="1" showErrorMessage="1" sqref="G16:J16" xr:uid="{00000000-0002-0000-0000-000002000000}">
      <formula1>SenSyu</formula1>
    </dataValidation>
    <dataValidation type="list" allowBlank="1" showInputMessage="1" showErrorMessage="1" sqref="AG7:AI7" xr:uid="{00000000-0002-0000-0000-000003000000}">
      <formula1>"無し,有"</formula1>
    </dataValidation>
  </dataValidations>
  <pageMargins left="0.78740157480314965" right="0.78740157480314965" top="0.98425196850393704" bottom="0.98425196850393704" header="0.51181102362204722" footer="0.51181102362204722"/>
  <pageSetup paperSize="9" scale="95" orientation="landscape" blackAndWhite="1" horizontalDpi="4294967293" verticalDpi="180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AE61"/>
  <sheetViews>
    <sheetView workbookViewId="0">
      <pane xSplit="31" ySplit="13" topLeftCell="AF14" activePane="bottomRight" state="frozen"/>
      <selection pane="topRight" activeCell="AE1" sqref="AE1"/>
      <selection pane="bottomLeft" activeCell="A5" sqref="A5"/>
      <selection pane="bottomRight" activeCell="W6" sqref="W6"/>
    </sheetView>
  </sheetViews>
  <sheetFormatPr defaultColWidth="2.875" defaultRowHeight="14.25" customHeight="1" x14ac:dyDescent="0.15"/>
  <cols>
    <col min="1" max="21" width="2.875" style="12" customWidth="1"/>
    <col min="22" max="22" width="3.125" style="12" customWidth="1"/>
    <col min="23" max="16384" width="2.875" style="12"/>
  </cols>
  <sheetData>
    <row r="2" spans="1:31" ht="14.25" customHeight="1" x14ac:dyDescent="0.15">
      <c r="F2" s="12" t="s">
        <v>138</v>
      </c>
    </row>
    <row r="3" spans="1:31" ht="14.25" customHeight="1" x14ac:dyDescent="0.15"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</row>
    <row r="4" spans="1:31" ht="14.25" customHeight="1" x14ac:dyDescent="0.15"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</row>
    <row r="5" spans="1:31" ht="14.25" customHeight="1" x14ac:dyDescent="0.15"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</row>
    <row r="6" spans="1:31" ht="14.25" customHeight="1" x14ac:dyDescent="0.15"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</row>
    <row r="7" spans="1:31" ht="14.25" customHeight="1" x14ac:dyDescent="0.15"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</row>
    <row r="10" spans="1:31" ht="14.25" customHeight="1" x14ac:dyDescent="0.15">
      <c r="A10" s="12" t="s">
        <v>181</v>
      </c>
    </row>
    <row r="11" spans="1:31" ht="14.25" customHeight="1" x14ac:dyDescent="0.15">
      <c r="A11" s="13"/>
      <c r="B11" s="15"/>
      <c r="C11" s="13"/>
      <c r="D11" s="14"/>
      <c r="E11" s="14"/>
      <c r="F11" s="14"/>
      <c r="G11" s="14"/>
      <c r="H11" s="14"/>
      <c r="I11" s="15"/>
      <c r="J11" s="13"/>
      <c r="K11" s="14"/>
      <c r="L11" s="14"/>
      <c r="M11" s="14"/>
      <c r="N11" s="14"/>
      <c r="O11" s="14"/>
      <c r="P11" s="14"/>
      <c r="Q11" s="14"/>
      <c r="R11" s="14"/>
      <c r="S11" s="15"/>
      <c r="T11" s="13"/>
      <c r="U11" s="14"/>
      <c r="V11" s="14"/>
      <c r="W11" s="14"/>
      <c r="X11" s="14"/>
      <c r="Y11" s="14"/>
      <c r="Z11" s="14"/>
      <c r="AA11" s="14"/>
      <c r="AB11" s="14"/>
      <c r="AC11" s="15"/>
      <c r="AD11" s="14"/>
      <c r="AE11" s="15"/>
    </row>
    <row r="12" spans="1:31" ht="14.25" customHeight="1" x14ac:dyDescent="0.15">
      <c r="A12" s="185" t="s">
        <v>71</v>
      </c>
      <c r="B12" s="173"/>
      <c r="C12" s="185" t="s">
        <v>72</v>
      </c>
      <c r="D12" s="172"/>
      <c r="E12" s="172"/>
      <c r="F12" s="172"/>
      <c r="G12" s="172"/>
      <c r="H12" s="172"/>
      <c r="I12" s="173"/>
      <c r="J12" s="185" t="s">
        <v>73</v>
      </c>
      <c r="K12" s="172"/>
      <c r="L12" s="172"/>
      <c r="M12" s="172"/>
      <c r="N12" s="172"/>
      <c r="O12" s="172"/>
      <c r="P12" s="172"/>
      <c r="Q12" s="172"/>
      <c r="R12" s="172"/>
      <c r="S12" s="173"/>
      <c r="T12" s="185" t="s">
        <v>74</v>
      </c>
      <c r="U12" s="172"/>
      <c r="V12" s="172"/>
      <c r="W12" s="172"/>
      <c r="X12" s="172"/>
      <c r="Y12" s="172"/>
      <c r="Z12" s="172"/>
      <c r="AA12" s="172"/>
      <c r="AB12" s="172"/>
      <c r="AC12" s="173"/>
      <c r="AD12" s="172" t="s">
        <v>75</v>
      </c>
      <c r="AE12" s="173"/>
    </row>
    <row r="13" spans="1:31" ht="14.25" customHeight="1" x14ac:dyDescent="0.15">
      <c r="A13" s="18"/>
      <c r="B13" s="20"/>
      <c r="C13" s="18"/>
      <c r="D13" s="19"/>
      <c r="E13" s="19"/>
      <c r="F13" s="19"/>
      <c r="G13" s="19"/>
      <c r="H13" s="19"/>
      <c r="I13" s="20"/>
      <c r="J13" s="18"/>
      <c r="K13" s="19"/>
      <c r="L13" s="19"/>
      <c r="M13" s="19"/>
      <c r="N13" s="19"/>
      <c r="O13" s="19"/>
      <c r="P13" s="19"/>
      <c r="Q13" s="19"/>
      <c r="R13" s="19"/>
      <c r="S13" s="20"/>
      <c r="T13" s="18"/>
      <c r="U13" s="19"/>
      <c r="V13" s="19"/>
      <c r="W13" s="19"/>
      <c r="X13" s="19"/>
      <c r="Y13" s="19"/>
      <c r="Z13" s="19"/>
      <c r="AA13" s="19"/>
      <c r="AB13" s="19"/>
      <c r="AC13" s="20"/>
      <c r="AD13" s="41" t="s">
        <v>108</v>
      </c>
      <c r="AE13" s="42" t="s">
        <v>109</v>
      </c>
    </row>
    <row r="14" spans="1:31" ht="14.25" customHeight="1" x14ac:dyDescent="0.15">
      <c r="A14" s="16"/>
      <c r="B14" s="17"/>
      <c r="C14" s="16"/>
      <c r="I14" s="17"/>
      <c r="J14" s="16"/>
      <c r="S14" s="17"/>
      <c r="T14" s="16"/>
      <c r="AC14" s="17"/>
      <c r="AD14" s="33"/>
      <c r="AE14" s="34"/>
    </row>
    <row r="15" spans="1:31" ht="14.25" customHeight="1" x14ac:dyDescent="0.15">
      <c r="A15" s="185">
        <v>1</v>
      </c>
      <c r="B15" s="173"/>
      <c r="C15" s="16" t="s">
        <v>76</v>
      </c>
      <c r="I15" s="17"/>
      <c r="J15" s="16" t="s">
        <v>113</v>
      </c>
      <c r="S15" s="17"/>
      <c r="T15" s="24" t="s">
        <v>77</v>
      </c>
      <c r="U15" s="25"/>
      <c r="V15" s="25"/>
      <c r="W15" s="25"/>
      <c r="X15" s="25"/>
      <c r="Y15" s="25"/>
      <c r="Z15" s="25"/>
      <c r="AA15" s="25"/>
      <c r="AB15" s="25"/>
      <c r="AC15" s="26"/>
      <c r="AD15" s="35"/>
      <c r="AE15" s="36"/>
    </row>
    <row r="16" spans="1:31" ht="14.25" customHeight="1" x14ac:dyDescent="0.15">
      <c r="A16" s="16"/>
      <c r="B16" s="17"/>
      <c r="C16" s="16"/>
      <c r="I16" s="17"/>
      <c r="J16" s="16"/>
      <c r="S16" s="17"/>
      <c r="T16" s="16"/>
      <c r="AC16" s="17"/>
      <c r="AD16" s="33"/>
      <c r="AE16" s="34"/>
    </row>
    <row r="17" spans="1:31" ht="14.25" customHeight="1" x14ac:dyDescent="0.15">
      <c r="A17" s="16"/>
      <c r="B17" s="17"/>
      <c r="C17" s="16"/>
      <c r="I17" s="17"/>
      <c r="J17" s="16"/>
      <c r="K17" s="21"/>
      <c r="L17" s="21"/>
      <c r="M17" s="21"/>
      <c r="N17" s="21"/>
      <c r="O17" s="21"/>
      <c r="P17" s="21"/>
      <c r="Q17" s="21"/>
      <c r="R17" s="21"/>
      <c r="S17" s="22"/>
      <c r="T17" s="174" t="s">
        <v>78</v>
      </c>
      <c r="U17" s="186"/>
      <c r="V17" s="186"/>
      <c r="W17" s="186"/>
      <c r="X17" s="186"/>
      <c r="Y17" s="186"/>
      <c r="Z17" s="186"/>
      <c r="AA17" s="186"/>
      <c r="AB17" s="186"/>
      <c r="AC17" s="187"/>
      <c r="AD17" s="33"/>
      <c r="AE17" s="34"/>
    </row>
    <row r="18" spans="1:31" ht="14.25" customHeight="1" x14ac:dyDescent="0.15">
      <c r="A18" s="16"/>
      <c r="B18" s="17"/>
      <c r="C18" s="16"/>
      <c r="I18" s="17"/>
      <c r="J18" s="16"/>
      <c r="K18" s="21"/>
      <c r="L18" s="21"/>
      <c r="M18" s="21"/>
      <c r="N18" s="21"/>
      <c r="O18" s="21"/>
      <c r="P18" s="21"/>
      <c r="Q18" s="21"/>
      <c r="R18" s="21"/>
      <c r="S18" s="22"/>
      <c r="T18" s="188"/>
      <c r="U18" s="186"/>
      <c r="V18" s="186"/>
      <c r="W18" s="186"/>
      <c r="X18" s="186"/>
      <c r="Y18" s="186"/>
      <c r="Z18" s="186"/>
      <c r="AA18" s="186"/>
      <c r="AB18" s="186"/>
      <c r="AC18" s="187"/>
      <c r="AD18" s="33"/>
      <c r="AE18" s="34"/>
    </row>
    <row r="19" spans="1:31" ht="14.25" customHeight="1" x14ac:dyDescent="0.15">
      <c r="A19" s="16"/>
      <c r="B19" s="17"/>
      <c r="C19" s="16"/>
      <c r="I19" s="17"/>
      <c r="J19" s="16"/>
      <c r="S19" s="17"/>
      <c r="T19" s="24"/>
      <c r="U19" s="25" t="s">
        <v>79</v>
      </c>
      <c r="V19" s="25"/>
      <c r="W19" s="25"/>
      <c r="X19" s="25"/>
      <c r="Y19" s="25"/>
      <c r="Z19" s="25"/>
      <c r="AA19" s="25"/>
      <c r="AB19" s="25"/>
      <c r="AC19" s="26"/>
      <c r="AD19" s="35"/>
      <c r="AE19" s="36"/>
    </row>
    <row r="20" spans="1:31" ht="14.25" customHeight="1" x14ac:dyDescent="0.15">
      <c r="A20" s="18"/>
      <c r="B20" s="20"/>
      <c r="C20" s="18"/>
      <c r="D20" s="19"/>
      <c r="E20" s="19"/>
      <c r="F20" s="19"/>
      <c r="G20" s="19"/>
      <c r="H20" s="19"/>
      <c r="I20" s="20"/>
      <c r="J20" s="18"/>
      <c r="K20" s="19"/>
      <c r="L20" s="19"/>
      <c r="M20" s="19"/>
      <c r="N20" s="19"/>
      <c r="O20" s="19"/>
      <c r="P20" s="19"/>
      <c r="Q20" s="19"/>
      <c r="R20" s="19"/>
      <c r="S20" s="20"/>
      <c r="T20" s="18"/>
      <c r="U20" s="19" t="s">
        <v>80</v>
      </c>
      <c r="V20" s="19"/>
      <c r="W20" s="19"/>
      <c r="X20" s="19"/>
      <c r="Y20" s="19"/>
      <c r="Z20" s="19"/>
      <c r="AA20" s="19"/>
      <c r="AB20" s="19"/>
      <c r="AC20" s="20"/>
      <c r="AD20" s="31"/>
      <c r="AE20" s="32"/>
    </row>
    <row r="21" spans="1:31" ht="14.25" customHeight="1" x14ac:dyDescent="0.15">
      <c r="A21" s="16"/>
      <c r="B21" s="17"/>
      <c r="C21" s="16"/>
      <c r="I21" s="17"/>
      <c r="J21" s="16"/>
      <c r="S21" s="17"/>
      <c r="T21" s="16"/>
      <c r="AC21" s="17"/>
      <c r="AD21" s="33"/>
      <c r="AE21" s="34"/>
    </row>
    <row r="22" spans="1:31" ht="14.25" customHeight="1" x14ac:dyDescent="0.15">
      <c r="A22" s="185">
        <v>2</v>
      </c>
      <c r="B22" s="173"/>
      <c r="C22" s="16" t="s">
        <v>104</v>
      </c>
      <c r="I22" s="17"/>
      <c r="J22" s="174" t="s">
        <v>132</v>
      </c>
      <c r="K22" s="175"/>
      <c r="L22" s="175"/>
      <c r="M22" s="175"/>
      <c r="N22" s="175"/>
      <c r="O22" s="175"/>
      <c r="P22" s="175"/>
      <c r="Q22" s="175"/>
      <c r="R22" s="175"/>
      <c r="S22" s="176"/>
      <c r="T22" s="174" t="s">
        <v>131</v>
      </c>
      <c r="U22" s="175"/>
      <c r="V22" s="175"/>
      <c r="W22" s="175"/>
      <c r="X22" s="175"/>
      <c r="Y22" s="175"/>
      <c r="Z22" s="175"/>
      <c r="AA22" s="175"/>
      <c r="AB22" s="175"/>
      <c r="AC22" s="176"/>
      <c r="AD22" s="33"/>
      <c r="AE22" s="34"/>
    </row>
    <row r="23" spans="1:31" ht="14.25" customHeight="1" x14ac:dyDescent="0.15">
      <c r="A23" s="16"/>
      <c r="B23" s="17"/>
      <c r="C23" s="16"/>
      <c r="I23" s="17"/>
      <c r="J23" s="180"/>
      <c r="K23" s="181"/>
      <c r="L23" s="181"/>
      <c r="M23" s="181"/>
      <c r="N23" s="181"/>
      <c r="O23" s="181"/>
      <c r="P23" s="181"/>
      <c r="Q23" s="181"/>
      <c r="R23" s="181"/>
      <c r="S23" s="182"/>
      <c r="T23" s="180"/>
      <c r="U23" s="181"/>
      <c r="V23" s="181"/>
      <c r="W23" s="181"/>
      <c r="X23" s="181"/>
      <c r="Y23" s="181"/>
      <c r="Z23" s="181"/>
      <c r="AA23" s="181"/>
      <c r="AB23" s="181"/>
      <c r="AC23" s="182"/>
      <c r="AD23" s="35"/>
      <c r="AE23" s="36"/>
    </row>
    <row r="24" spans="1:31" ht="14.25" customHeight="1" x14ac:dyDescent="0.15">
      <c r="A24" s="16"/>
      <c r="B24" s="17"/>
      <c r="C24" s="16"/>
      <c r="I24" s="17"/>
      <c r="J24" s="16"/>
      <c r="S24" s="17"/>
      <c r="T24" s="16"/>
      <c r="AC24" s="17"/>
      <c r="AD24" s="33"/>
      <c r="AE24" s="34"/>
    </row>
    <row r="25" spans="1:31" ht="14.25" customHeight="1" x14ac:dyDescent="0.15">
      <c r="A25" s="16"/>
      <c r="B25" s="17"/>
      <c r="C25" s="16"/>
      <c r="I25" s="17"/>
      <c r="J25" s="174" t="s">
        <v>133</v>
      </c>
      <c r="K25" s="175"/>
      <c r="L25" s="175"/>
      <c r="M25" s="175"/>
      <c r="N25" s="175"/>
      <c r="O25" s="175"/>
      <c r="P25" s="175"/>
      <c r="Q25" s="175"/>
      <c r="R25" s="175"/>
      <c r="S25" s="176"/>
      <c r="T25" s="183" t="s">
        <v>81</v>
      </c>
      <c r="U25" s="184"/>
      <c r="V25" s="184"/>
      <c r="W25" s="184"/>
      <c r="X25" s="184"/>
      <c r="Y25" s="184"/>
      <c r="Z25" s="184"/>
      <c r="AA25" s="184"/>
      <c r="AB25" s="184"/>
      <c r="AC25" s="17"/>
      <c r="AD25" s="33"/>
      <c r="AE25" s="34"/>
    </row>
    <row r="26" spans="1:31" ht="14.25" customHeight="1" x14ac:dyDescent="0.15">
      <c r="A26" s="16"/>
      <c r="B26" s="17"/>
      <c r="C26" s="16"/>
      <c r="I26" s="17"/>
      <c r="J26" s="174"/>
      <c r="K26" s="175"/>
      <c r="L26" s="175"/>
      <c r="M26" s="175"/>
      <c r="N26" s="175"/>
      <c r="O26" s="175"/>
      <c r="P26" s="175"/>
      <c r="Q26" s="175"/>
      <c r="R26" s="175"/>
      <c r="S26" s="176"/>
      <c r="T26" s="27" t="s">
        <v>82</v>
      </c>
      <c r="U26" s="28"/>
      <c r="V26" s="28"/>
      <c r="W26" s="28"/>
      <c r="X26" s="28"/>
      <c r="Y26" s="28" t="s">
        <v>83</v>
      </c>
      <c r="Z26" s="28"/>
      <c r="AA26" s="28"/>
      <c r="AB26" s="28"/>
      <c r="AC26" s="29"/>
      <c r="AD26" s="37"/>
      <c r="AE26" s="38"/>
    </row>
    <row r="27" spans="1:31" ht="14.25" customHeight="1" x14ac:dyDescent="0.15">
      <c r="A27" s="16"/>
      <c r="B27" s="17"/>
      <c r="C27" s="16"/>
      <c r="I27" s="17"/>
      <c r="J27" s="16"/>
      <c r="K27" s="21"/>
      <c r="L27" s="21"/>
      <c r="M27" s="21"/>
      <c r="N27" s="21"/>
      <c r="O27" s="21"/>
      <c r="P27" s="21"/>
      <c r="Q27" s="21"/>
      <c r="R27" s="21"/>
      <c r="S27" s="22"/>
      <c r="T27" s="16" t="s">
        <v>84</v>
      </c>
      <c r="Y27" s="12" t="s">
        <v>85</v>
      </c>
      <c r="AC27" s="17"/>
      <c r="AD27" s="33"/>
      <c r="AE27" s="34"/>
    </row>
    <row r="28" spans="1:31" ht="14.25" customHeight="1" x14ac:dyDescent="0.15">
      <c r="A28" s="16"/>
      <c r="B28" s="17"/>
      <c r="C28" s="16"/>
      <c r="I28" s="17"/>
      <c r="J28" s="16"/>
      <c r="S28" s="17"/>
      <c r="T28" s="27" t="s">
        <v>86</v>
      </c>
      <c r="U28" s="28"/>
      <c r="V28" s="28"/>
      <c r="W28" s="28"/>
      <c r="X28" s="28"/>
      <c r="Y28" s="28" t="s">
        <v>87</v>
      </c>
      <c r="Z28" s="28"/>
      <c r="AA28" s="28"/>
      <c r="AB28" s="28"/>
      <c r="AC28" s="29"/>
      <c r="AD28" s="37"/>
      <c r="AE28" s="38"/>
    </row>
    <row r="29" spans="1:31" ht="14.25" customHeight="1" x14ac:dyDescent="0.15">
      <c r="A29" s="16"/>
      <c r="B29" s="17"/>
      <c r="C29" s="16"/>
      <c r="I29" s="17"/>
      <c r="J29" s="16"/>
      <c r="S29" s="17"/>
      <c r="T29" s="16" t="s">
        <v>88</v>
      </c>
      <c r="AC29" s="17"/>
      <c r="AD29" s="33"/>
      <c r="AE29" s="34"/>
    </row>
    <row r="30" spans="1:31" ht="14.25" customHeight="1" x14ac:dyDescent="0.15">
      <c r="A30" s="16"/>
      <c r="B30" s="17"/>
      <c r="C30" s="16"/>
      <c r="I30" s="17"/>
      <c r="J30" s="16"/>
      <c r="S30" s="17"/>
      <c r="T30" s="27" t="s">
        <v>89</v>
      </c>
      <c r="U30" s="28"/>
      <c r="V30" s="28"/>
      <c r="W30" s="28"/>
      <c r="X30" s="28"/>
      <c r="Y30" s="28" t="s">
        <v>90</v>
      </c>
      <c r="Z30" s="28"/>
      <c r="AA30" s="28"/>
      <c r="AB30" s="28"/>
      <c r="AC30" s="29"/>
      <c r="AD30" s="37"/>
      <c r="AE30" s="38"/>
    </row>
    <row r="31" spans="1:31" ht="14.25" customHeight="1" x14ac:dyDescent="0.15">
      <c r="A31" s="16"/>
      <c r="B31" s="17"/>
      <c r="C31" s="16"/>
      <c r="I31" s="17"/>
      <c r="J31" s="16"/>
      <c r="S31" s="17"/>
      <c r="T31" s="16" t="s">
        <v>91</v>
      </c>
      <c r="Y31" s="12" t="s">
        <v>92</v>
      </c>
      <c r="AC31" s="17"/>
      <c r="AD31" s="33"/>
      <c r="AE31" s="34"/>
    </row>
    <row r="32" spans="1:31" ht="14.25" customHeight="1" x14ac:dyDescent="0.15">
      <c r="A32" s="16"/>
      <c r="B32" s="17"/>
      <c r="C32" s="16"/>
      <c r="I32" s="17"/>
      <c r="J32" s="16"/>
      <c r="S32" s="17"/>
      <c r="T32" s="27" t="s">
        <v>94</v>
      </c>
      <c r="U32" s="28"/>
      <c r="V32" s="28"/>
      <c r="W32" s="28"/>
      <c r="X32" s="28"/>
      <c r="Y32" s="28" t="s">
        <v>93</v>
      </c>
      <c r="Z32" s="28"/>
      <c r="AA32" s="28"/>
      <c r="AB32" s="28"/>
      <c r="AC32" s="29"/>
      <c r="AD32" s="37"/>
      <c r="AE32" s="38"/>
    </row>
    <row r="33" spans="1:31" ht="14.25" customHeight="1" x14ac:dyDescent="0.15">
      <c r="A33" s="16"/>
      <c r="B33" s="17"/>
      <c r="C33" s="16"/>
      <c r="I33" s="17"/>
      <c r="J33" s="16"/>
      <c r="S33" s="17"/>
      <c r="T33" s="16" t="s">
        <v>95</v>
      </c>
      <c r="Y33" s="12" t="s">
        <v>96</v>
      </c>
      <c r="AC33" s="17"/>
      <c r="AD33" s="33"/>
      <c r="AE33" s="34"/>
    </row>
    <row r="34" spans="1:31" ht="14.25" customHeight="1" x14ac:dyDescent="0.15">
      <c r="A34" s="16"/>
      <c r="B34" s="17"/>
      <c r="C34" s="16"/>
      <c r="I34" s="17"/>
      <c r="J34" s="16"/>
      <c r="S34" s="17"/>
      <c r="T34" s="27" t="s">
        <v>97</v>
      </c>
      <c r="U34" s="28"/>
      <c r="V34" s="28"/>
      <c r="W34" s="28"/>
      <c r="X34" s="28"/>
      <c r="Y34" s="28"/>
      <c r="Z34" s="28"/>
      <c r="AA34" s="28"/>
      <c r="AB34" s="28"/>
      <c r="AC34" s="29"/>
      <c r="AD34" s="37"/>
      <c r="AE34" s="38"/>
    </row>
    <row r="35" spans="1:31" ht="14.25" customHeight="1" x14ac:dyDescent="0.15">
      <c r="A35" s="16"/>
      <c r="B35" s="17"/>
      <c r="C35" s="16"/>
      <c r="I35" s="17"/>
      <c r="J35" s="16"/>
      <c r="S35" s="17"/>
      <c r="T35" s="16"/>
      <c r="AC35" s="17"/>
      <c r="AD35" s="33"/>
      <c r="AE35" s="34"/>
    </row>
    <row r="36" spans="1:31" ht="14.25" customHeight="1" x14ac:dyDescent="0.15">
      <c r="A36" s="16"/>
      <c r="B36" s="17"/>
      <c r="C36" s="16"/>
      <c r="I36" s="17"/>
      <c r="J36" s="16"/>
      <c r="S36" s="17"/>
      <c r="T36" s="27" t="s">
        <v>98</v>
      </c>
      <c r="U36" s="28"/>
      <c r="V36" s="28"/>
      <c r="W36" s="28"/>
      <c r="X36" s="28"/>
      <c r="Y36" s="28"/>
      <c r="Z36" s="28"/>
      <c r="AA36" s="28"/>
      <c r="AB36" s="28"/>
      <c r="AC36" s="29"/>
      <c r="AD36" s="37"/>
      <c r="AE36" s="38"/>
    </row>
    <row r="37" spans="1:31" ht="14.25" customHeight="1" x14ac:dyDescent="0.15">
      <c r="A37" s="16"/>
      <c r="B37" s="17"/>
      <c r="C37" s="16"/>
      <c r="I37" s="17"/>
      <c r="J37" s="16"/>
      <c r="S37" s="17"/>
      <c r="T37" s="27" t="s">
        <v>89</v>
      </c>
      <c r="U37" s="28"/>
      <c r="V37" s="28"/>
      <c r="W37" s="28"/>
      <c r="X37" s="28"/>
      <c r="Y37" s="28" t="s">
        <v>90</v>
      </c>
      <c r="Z37" s="28"/>
      <c r="AA37" s="28"/>
      <c r="AB37" s="28"/>
      <c r="AC37" s="29"/>
      <c r="AD37" s="37"/>
      <c r="AE37" s="38"/>
    </row>
    <row r="38" spans="1:31" ht="14.25" customHeight="1" x14ac:dyDescent="0.15">
      <c r="A38" s="16"/>
      <c r="B38" s="17"/>
      <c r="C38" s="16"/>
      <c r="I38" s="17"/>
      <c r="J38" s="16"/>
      <c r="S38" s="17"/>
      <c r="T38" s="27" t="s">
        <v>91</v>
      </c>
      <c r="U38" s="28"/>
      <c r="V38" s="28"/>
      <c r="W38" s="28"/>
      <c r="X38" s="28"/>
      <c r="Y38" s="28" t="s">
        <v>92</v>
      </c>
      <c r="Z38" s="28"/>
      <c r="AA38" s="28"/>
      <c r="AB38" s="28"/>
      <c r="AC38" s="29"/>
      <c r="AD38" s="37"/>
      <c r="AE38" s="38"/>
    </row>
    <row r="39" spans="1:31" ht="14.25" customHeight="1" x14ac:dyDescent="0.15">
      <c r="A39" s="16"/>
      <c r="B39" s="17"/>
      <c r="C39" s="16"/>
      <c r="I39" s="17"/>
      <c r="J39" s="16"/>
      <c r="S39" s="17"/>
      <c r="T39" s="27" t="s">
        <v>94</v>
      </c>
      <c r="U39" s="28"/>
      <c r="V39" s="28"/>
      <c r="W39" s="28"/>
      <c r="X39" s="28"/>
      <c r="Y39" s="28" t="s">
        <v>93</v>
      </c>
      <c r="Z39" s="28"/>
      <c r="AA39" s="28"/>
      <c r="AB39" s="28"/>
      <c r="AC39" s="29"/>
      <c r="AD39" s="37"/>
      <c r="AE39" s="38"/>
    </row>
    <row r="40" spans="1:31" ht="14.25" customHeight="1" x14ac:dyDescent="0.15">
      <c r="A40" s="16"/>
      <c r="B40" s="17"/>
      <c r="C40" s="16"/>
      <c r="I40" s="17"/>
      <c r="J40" s="16"/>
      <c r="S40" s="17"/>
      <c r="T40" s="27" t="s">
        <v>99</v>
      </c>
      <c r="U40" s="28"/>
      <c r="V40" s="28"/>
      <c r="W40" s="28"/>
      <c r="X40" s="28"/>
      <c r="Y40" s="28" t="s">
        <v>97</v>
      </c>
      <c r="Z40" s="28"/>
      <c r="AA40" s="28"/>
      <c r="AB40" s="28"/>
      <c r="AC40" s="29"/>
      <c r="AD40" s="37"/>
      <c r="AE40" s="38"/>
    </row>
    <row r="41" spans="1:31" ht="14.25" customHeight="1" x14ac:dyDescent="0.15">
      <c r="A41" s="18"/>
      <c r="B41" s="20"/>
      <c r="C41" s="18"/>
      <c r="D41" s="19"/>
      <c r="E41" s="19"/>
      <c r="F41" s="19"/>
      <c r="G41" s="19"/>
      <c r="H41" s="19"/>
      <c r="I41" s="20"/>
      <c r="J41" s="18"/>
      <c r="K41" s="19"/>
      <c r="L41" s="19"/>
      <c r="M41" s="19"/>
      <c r="N41" s="19"/>
      <c r="O41" s="19"/>
      <c r="P41" s="19"/>
      <c r="Q41" s="19"/>
      <c r="R41" s="19"/>
      <c r="S41" s="20"/>
      <c r="T41" s="18" t="s">
        <v>175</v>
      </c>
      <c r="U41" s="19"/>
      <c r="V41" s="19"/>
      <c r="W41" s="19"/>
      <c r="X41" s="19"/>
      <c r="Y41" s="19"/>
      <c r="Z41" s="19"/>
      <c r="AA41" s="19"/>
      <c r="AB41" s="19"/>
      <c r="AC41" s="20"/>
      <c r="AD41" s="31"/>
      <c r="AE41" s="32"/>
    </row>
    <row r="42" spans="1:31" ht="14.25" customHeight="1" x14ac:dyDescent="0.15">
      <c r="A42" s="16"/>
      <c r="B42" s="17"/>
      <c r="C42" s="16"/>
      <c r="I42" s="17"/>
      <c r="J42" s="16"/>
      <c r="S42" s="17"/>
      <c r="T42" s="16"/>
      <c r="AC42" s="17"/>
      <c r="AD42" s="33"/>
      <c r="AE42" s="34"/>
    </row>
    <row r="43" spans="1:31" ht="14.25" customHeight="1" x14ac:dyDescent="0.15">
      <c r="A43" s="185">
        <v>3</v>
      </c>
      <c r="B43" s="173"/>
      <c r="C43" s="16" t="s">
        <v>100</v>
      </c>
      <c r="I43" s="17"/>
      <c r="J43" s="16" t="s">
        <v>114</v>
      </c>
      <c r="S43" s="17"/>
      <c r="T43" s="16" t="s">
        <v>101</v>
      </c>
      <c r="AC43" s="17"/>
      <c r="AD43" s="33"/>
      <c r="AE43" s="34"/>
    </row>
    <row r="44" spans="1:31" ht="14.25" customHeight="1" x14ac:dyDescent="0.15">
      <c r="A44" s="16"/>
      <c r="B44" s="17"/>
      <c r="C44" s="16"/>
      <c r="I44" s="17"/>
      <c r="J44" s="16"/>
      <c r="S44" s="17"/>
      <c r="T44" s="174" t="s">
        <v>110</v>
      </c>
      <c r="U44" s="175"/>
      <c r="V44" s="175"/>
      <c r="W44" s="175"/>
      <c r="X44" s="175"/>
      <c r="Y44" s="175"/>
      <c r="Z44" s="175"/>
      <c r="AA44" s="175"/>
      <c r="AB44" s="175"/>
      <c r="AC44" s="176"/>
      <c r="AD44" s="33"/>
      <c r="AE44" s="34"/>
    </row>
    <row r="45" spans="1:31" ht="14.25" customHeight="1" x14ac:dyDescent="0.15">
      <c r="A45" s="18"/>
      <c r="B45" s="20"/>
      <c r="C45" s="18"/>
      <c r="D45" s="19"/>
      <c r="E45" s="19"/>
      <c r="F45" s="19"/>
      <c r="G45" s="19"/>
      <c r="H45" s="19"/>
      <c r="I45" s="20"/>
      <c r="J45" s="18"/>
      <c r="K45" s="19"/>
      <c r="L45" s="19"/>
      <c r="M45" s="19"/>
      <c r="N45" s="19"/>
      <c r="O45" s="19"/>
      <c r="P45" s="19"/>
      <c r="Q45" s="19"/>
      <c r="R45" s="19"/>
      <c r="S45" s="20"/>
      <c r="T45" s="177"/>
      <c r="U45" s="178"/>
      <c r="V45" s="178"/>
      <c r="W45" s="178"/>
      <c r="X45" s="178"/>
      <c r="Y45" s="178"/>
      <c r="Z45" s="178"/>
      <c r="AA45" s="178"/>
      <c r="AB45" s="178"/>
      <c r="AC45" s="179"/>
      <c r="AD45" s="31"/>
      <c r="AE45" s="32"/>
    </row>
    <row r="46" spans="1:31" ht="14.25" customHeight="1" x14ac:dyDescent="0.15">
      <c r="A46" s="16"/>
      <c r="B46" s="17"/>
      <c r="C46" s="16"/>
      <c r="I46" s="17"/>
      <c r="J46" s="16"/>
      <c r="S46" s="17"/>
      <c r="T46" s="58"/>
      <c r="U46" s="21"/>
      <c r="V46" s="21"/>
      <c r="W46" s="21"/>
      <c r="X46" s="21"/>
      <c r="Y46" s="21"/>
      <c r="Z46" s="21"/>
      <c r="AA46" s="21"/>
      <c r="AB46" s="21"/>
      <c r="AC46" s="22"/>
      <c r="AD46" s="33"/>
      <c r="AE46" s="34"/>
    </row>
    <row r="47" spans="1:31" ht="14.25" customHeight="1" x14ac:dyDescent="0.15">
      <c r="A47" s="185">
        <v>4</v>
      </c>
      <c r="B47" s="173"/>
      <c r="C47" s="16" t="s">
        <v>176</v>
      </c>
      <c r="I47" s="17"/>
      <c r="J47" s="189" t="s">
        <v>180</v>
      </c>
      <c r="K47" s="190"/>
      <c r="L47" s="190"/>
      <c r="M47" s="190"/>
      <c r="N47" s="190"/>
      <c r="O47" s="190"/>
      <c r="P47" s="190"/>
      <c r="Q47" s="190"/>
      <c r="R47" s="190"/>
      <c r="S47" s="191"/>
      <c r="T47" s="174" t="s">
        <v>179</v>
      </c>
      <c r="U47" s="175"/>
      <c r="V47" s="175"/>
      <c r="W47" s="175"/>
      <c r="X47" s="175"/>
      <c r="Y47" s="175"/>
      <c r="Z47" s="175"/>
      <c r="AA47" s="175"/>
      <c r="AB47" s="175"/>
      <c r="AC47" s="176"/>
      <c r="AD47" s="33"/>
      <c r="AE47" s="34"/>
    </row>
    <row r="48" spans="1:31" ht="14.25" customHeight="1" x14ac:dyDescent="0.15">
      <c r="A48" s="59"/>
      <c r="B48" s="57"/>
      <c r="C48" s="16"/>
      <c r="D48" s="12" t="s">
        <v>177</v>
      </c>
      <c r="I48" s="17"/>
      <c r="J48" s="189"/>
      <c r="K48" s="190"/>
      <c r="L48" s="190"/>
      <c r="M48" s="190"/>
      <c r="N48" s="190"/>
      <c r="O48" s="190"/>
      <c r="P48" s="190"/>
      <c r="Q48" s="190"/>
      <c r="R48" s="190"/>
      <c r="S48" s="191"/>
      <c r="T48" s="174"/>
      <c r="U48" s="175"/>
      <c r="V48" s="175"/>
      <c r="W48" s="175"/>
      <c r="X48" s="175"/>
      <c r="Y48" s="175"/>
      <c r="Z48" s="175"/>
      <c r="AA48" s="175"/>
      <c r="AB48" s="175"/>
      <c r="AC48" s="176"/>
      <c r="AD48" s="33"/>
      <c r="AE48" s="34"/>
    </row>
    <row r="49" spans="1:31" ht="14.25" customHeight="1" x14ac:dyDescent="0.15">
      <c r="A49" s="16"/>
      <c r="B49" s="17"/>
      <c r="C49" s="16"/>
      <c r="D49" s="12" t="s">
        <v>178</v>
      </c>
      <c r="I49" s="17"/>
      <c r="J49" s="189"/>
      <c r="K49" s="190"/>
      <c r="L49" s="190"/>
      <c r="M49" s="190"/>
      <c r="N49" s="190"/>
      <c r="O49" s="190"/>
      <c r="P49" s="190"/>
      <c r="Q49" s="190"/>
      <c r="R49" s="190"/>
      <c r="S49" s="191"/>
      <c r="T49" s="174"/>
      <c r="U49" s="175"/>
      <c r="V49" s="175"/>
      <c r="W49" s="175"/>
      <c r="X49" s="175"/>
      <c r="Y49" s="175"/>
      <c r="Z49" s="175"/>
      <c r="AA49" s="175"/>
      <c r="AB49" s="175"/>
      <c r="AC49" s="176"/>
      <c r="AD49" s="33"/>
      <c r="AE49" s="34"/>
    </row>
    <row r="50" spans="1:31" ht="14.25" customHeight="1" x14ac:dyDescent="0.15">
      <c r="A50" s="16"/>
      <c r="B50" s="17"/>
      <c r="C50" s="16"/>
      <c r="I50" s="17"/>
      <c r="J50" s="67"/>
      <c r="K50" s="68"/>
      <c r="L50" s="68"/>
      <c r="M50" s="68"/>
      <c r="N50" s="68"/>
      <c r="O50" s="68"/>
      <c r="P50" s="68"/>
      <c r="Q50" s="68"/>
      <c r="R50" s="68"/>
      <c r="S50" s="69"/>
      <c r="T50" s="174"/>
      <c r="U50" s="175"/>
      <c r="V50" s="175"/>
      <c r="W50" s="175"/>
      <c r="X50" s="175"/>
      <c r="Y50" s="175"/>
      <c r="Z50" s="175"/>
      <c r="AA50" s="175"/>
      <c r="AB50" s="175"/>
      <c r="AC50" s="176"/>
      <c r="AD50" s="33"/>
      <c r="AE50" s="34"/>
    </row>
    <row r="51" spans="1:31" ht="14.25" customHeight="1" x14ac:dyDescent="0.15">
      <c r="A51" s="13"/>
      <c r="B51" s="15"/>
      <c r="C51" s="13"/>
      <c r="D51" s="14"/>
      <c r="E51" s="14"/>
      <c r="F51" s="14"/>
      <c r="G51" s="14"/>
      <c r="H51" s="14"/>
      <c r="I51" s="15"/>
      <c r="J51" s="13"/>
      <c r="K51" s="14"/>
      <c r="L51" s="14"/>
      <c r="M51" s="14"/>
      <c r="N51" s="14"/>
      <c r="O51" s="14"/>
      <c r="P51" s="14"/>
      <c r="Q51" s="14"/>
      <c r="R51" s="14"/>
      <c r="S51" s="15"/>
      <c r="T51" s="13"/>
      <c r="U51" s="14"/>
      <c r="V51" s="14"/>
      <c r="W51" s="14"/>
      <c r="X51" s="14"/>
      <c r="Y51" s="14"/>
      <c r="Z51" s="14"/>
      <c r="AA51" s="14"/>
      <c r="AB51" s="14"/>
      <c r="AC51" s="15"/>
      <c r="AD51" s="39"/>
      <c r="AE51" s="40"/>
    </row>
    <row r="52" spans="1:31" ht="14.25" customHeight="1" x14ac:dyDescent="0.15">
      <c r="A52" s="185">
        <v>5</v>
      </c>
      <c r="B52" s="173"/>
      <c r="C52" s="16" t="s">
        <v>102</v>
      </c>
      <c r="I52" s="17"/>
      <c r="J52" s="16" t="s">
        <v>115</v>
      </c>
      <c r="S52" s="17"/>
      <c r="T52" s="16" t="s">
        <v>103</v>
      </c>
      <c r="AC52" s="17"/>
      <c r="AD52" s="33"/>
      <c r="AE52" s="34"/>
    </row>
    <row r="53" spans="1:31" ht="14.25" customHeight="1" x14ac:dyDescent="0.15">
      <c r="A53" s="18"/>
      <c r="B53" s="20"/>
      <c r="C53" s="18"/>
      <c r="D53" s="19"/>
      <c r="E53" s="19"/>
      <c r="F53" s="19"/>
      <c r="G53" s="19"/>
      <c r="H53" s="19"/>
      <c r="I53" s="20"/>
      <c r="J53" s="18"/>
      <c r="K53" s="19"/>
      <c r="L53" s="19"/>
      <c r="M53" s="19"/>
      <c r="N53" s="19"/>
      <c r="O53" s="19"/>
      <c r="P53" s="19"/>
      <c r="Q53" s="19"/>
      <c r="R53" s="19"/>
      <c r="S53" s="20"/>
      <c r="T53" s="18"/>
      <c r="U53" s="19"/>
      <c r="V53" s="19"/>
      <c r="W53" s="19"/>
      <c r="X53" s="19"/>
      <c r="Y53" s="19"/>
      <c r="Z53" s="19"/>
      <c r="AA53" s="19"/>
      <c r="AB53" s="19"/>
      <c r="AC53" s="20"/>
      <c r="AD53" s="31"/>
      <c r="AE53" s="32"/>
    </row>
    <row r="55" spans="1:31" ht="14.25" customHeight="1" x14ac:dyDescent="0.15">
      <c r="C55" s="12" t="s">
        <v>105</v>
      </c>
      <c r="T55" s="19" t="s">
        <v>107</v>
      </c>
      <c r="U55" s="19"/>
      <c r="V55" s="19"/>
      <c r="W55" s="19"/>
      <c r="X55" s="19"/>
      <c r="Y55" s="19"/>
      <c r="Z55" s="19"/>
      <c r="AA55" s="19"/>
      <c r="AB55" s="19"/>
    </row>
    <row r="57" spans="1:31" ht="14.25" customHeight="1" x14ac:dyDescent="0.15">
      <c r="C57" s="19" t="s">
        <v>106</v>
      </c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</row>
    <row r="59" spans="1:31" ht="14.25" customHeight="1" x14ac:dyDescent="0.15">
      <c r="C59" s="19" t="s">
        <v>139</v>
      </c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</row>
    <row r="61" spans="1:31" ht="14.25" customHeight="1" x14ac:dyDescent="0.15">
      <c r="X61" s="12" t="s">
        <v>112</v>
      </c>
      <c r="AA61" s="30" t="s">
        <v>111</v>
      </c>
    </row>
  </sheetData>
  <mergeCells count="18">
    <mergeCell ref="A43:B43"/>
    <mergeCell ref="A52:B52"/>
    <mergeCell ref="A12:B12"/>
    <mergeCell ref="T17:AC18"/>
    <mergeCell ref="A15:B15"/>
    <mergeCell ref="A22:B22"/>
    <mergeCell ref="C12:I12"/>
    <mergeCell ref="J12:S12"/>
    <mergeCell ref="T12:AC12"/>
    <mergeCell ref="A47:B47"/>
    <mergeCell ref="J47:S49"/>
    <mergeCell ref="T47:AC50"/>
    <mergeCell ref="AD12:AE12"/>
    <mergeCell ref="T44:AC45"/>
    <mergeCell ref="J22:S23"/>
    <mergeCell ref="T22:AC23"/>
    <mergeCell ref="J25:S26"/>
    <mergeCell ref="T25:AB25"/>
  </mergeCells>
  <phoneticPr fontId="2"/>
  <pageMargins left="0.51181102362204722" right="0.19685039370078741" top="0.19685039370078741" bottom="7.874015748031496E-2" header="0.51181102362204722" footer="0.23622047244094491"/>
  <pageSetup paperSize="9" orientation="portrait" horizontalDpi="4294967293" verticalDpi="18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12"/>
  <sheetViews>
    <sheetView zoomScaleNormal="100" workbookViewId="0">
      <pane xSplit="1" ySplit="5" topLeftCell="B18" activePane="bottomRight" state="frozen"/>
      <selection pane="topRight" activeCell="B1" sqref="B1"/>
      <selection pane="bottomLeft" activeCell="A6" sqref="A6"/>
      <selection pane="bottomRight" activeCell="D22" sqref="D22"/>
    </sheetView>
  </sheetViews>
  <sheetFormatPr defaultRowHeight="14.25" x14ac:dyDescent="0.15"/>
  <cols>
    <col min="1" max="1" width="10" customWidth="1"/>
    <col min="2" max="2" width="18.25" style="76" customWidth="1"/>
    <col min="3" max="3" width="68.5" customWidth="1"/>
    <col min="4" max="4" width="13.375" style="76" customWidth="1"/>
    <col min="5" max="5" width="3.375" customWidth="1"/>
    <col min="6" max="6" width="22.625" customWidth="1"/>
    <col min="7" max="7" width="6.75" style="7" customWidth="1"/>
    <col min="8" max="18" width="11" customWidth="1"/>
    <col min="19" max="26" width="2.75" customWidth="1"/>
    <col min="220" max="282" width="2.75" customWidth="1"/>
    <col min="476" max="538" width="2.75" customWidth="1"/>
    <col min="732" max="794" width="2.75" customWidth="1"/>
    <col min="988" max="1050" width="2.75" customWidth="1"/>
    <col min="1244" max="1306" width="2.75" customWidth="1"/>
    <col min="1500" max="1562" width="2.75" customWidth="1"/>
    <col min="1756" max="1818" width="2.75" customWidth="1"/>
    <col min="2012" max="2074" width="2.75" customWidth="1"/>
    <col min="2268" max="2330" width="2.75" customWidth="1"/>
    <col min="2524" max="2586" width="2.75" customWidth="1"/>
    <col min="2780" max="2842" width="2.75" customWidth="1"/>
    <col min="3036" max="3098" width="2.75" customWidth="1"/>
    <col min="3292" max="3354" width="2.75" customWidth="1"/>
    <col min="3548" max="3610" width="2.75" customWidth="1"/>
    <col min="3804" max="3866" width="2.75" customWidth="1"/>
    <col min="4060" max="4122" width="2.75" customWidth="1"/>
    <col min="4316" max="4378" width="2.75" customWidth="1"/>
    <col min="4572" max="4634" width="2.75" customWidth="1"/>
    <col min="4828" max="4890" width="2.75" customWidth="1"/>
    <col min="5084" max="5146" width="2.75" customWidth="1"/>
    <col min="5340" max="5402" width="2.75" customWidth="1"/>
    <col min="5596" max="5658" width="2.75" customWidth="1"/>
    <col min="5852" max="5914" width="2.75" customWidth="1"/>
    <col min="6108" max="6170" width="2.75" customWidth="1"/>
    <col min="6364" max="6426" width="2.75" customWidth="1"/>
    <col min="6620" max="6682" width="2.75" customWidth="1"/>
    <col min="6876" max="6938" width="2.75" customWidth="1"/>
    <col min="7132" max="7194" width="2.75" customWidth="1"/>
    <col min="7388" max="7450" width="2.75" customWidth="1"/>
    <col min="7644" max="7706" width="2.75" customWidth="1"/>
    <col min="7900" max="7962" width="2.75" customWidth="1"/>
    <col min="8156" max="8218" width="2.75" customWidth="1"/>
    <col min="8412" max="8474" width="2.75" customWidth="1"/>
    <col min="8668" max="8730" width="2.75" customWidth="1"/>
    <col min="8924" max="8986" width="2.75" customWidth="1"/>
    <col min="9180" max="9242" width="2.75" customWidth="1"/>
    <col min="9436" max="9498" width="2.75" customWidth="1"/>
    <col min="9692" max="9754" width="2.75" customWidth="1"/>
    <col min="9948" max="10010" width="2.75" customWidth="1"/>
    <col min="10204" max="10266" width="2.75" customWidth="1"/>
    <col min="10460" max="10522" width="2.75" customWidth="1"/>
    <col min="10716" max="10778" width="2.75" customWidth="1"/>
    <col min="10972" max="11034" width="2.75" customWidth="1"/>
    <col min="11228" max="11290" width="2.75" customWidth="1"/>
    <col min="11484" max="11546" width="2.75" customWidth="1"/>
    <col min="11740" max="11802" width="2.75" customWidth="1"/>
    <col min="11996" max="12058" width="2.75" customWidth="1"/>
    <col min="12252" max="12314" width="2.75" customWidth="1"/>
    <col min="12508" max="12570" width="2.75" customWidth="1"/>
    <col min="12764" max="12826" width="2.75" customWidth="1"/>
    <col min="13020" max="13082" width="2.75" customWidth="1"/>
    <col min="13276" max="13338" width="2.75" customWidth="1"/>
    <col min="13532" max="13594" width="2.75" customWidth="1"/>
    <col min="13788" max="13850" width="2.75" customWidth="1"/>
    <col min="14044" max="14106" width="2.75" customWidth="1"/>
    <col min="14300" max="14362" width="2.75" customWidth="1"/>
    <col min="14556" max="14618" width="2.75" customWidth="1"/>
    <col min="14812" max="14874" width="2.75" customWidth="1"/>
    <col min="15068" max="15130" width="2.75" customWidth="1"/>
    <col min="15324" max="15386" width="2.75" customWidth="1"/>
    <col min="15580" max="15642" width="2.75" customWidth="1"/>
    <col min="15836" max="15898" width="2.75" customWidth="1"/>
    <col min="16092" max="16154" width="2.75" customWidth="1"/>
  </cols>
  <sheetData>
    <row r="1" spans="1:6" ht="36" customHeight="1" x14ac:dyDescent="0.15">
      <c r="A1" s="192" t="s">
        <v>191</v>
      </c>
      <c r="B1" s="192"/>
      <c r="C1" s="192"/>
      <c r="D1" s="192"/>
    </row>
    <row r="2" spans="1:6" ht="15" customHeight="1" x14ac:dyDescent="0.15"/>
    <row r="3" spans="1:6" ht="15" customHeight="1" x14ac:dyDescent="0.15">
      <c r="A3" t="s">
        <v>195</v>
      </c>
      <c r="B3" s="6"/>
      <c r="C3" s="6"/>
      <c r="D3" s="82" t="s">
        <v>198</v>
      </c>
    </row>
    <row r="4" spans="1:6" ht="15" customHeight="1" x14ac:dyDescent="0.15">
      <c r="A4" s="6" t="s">
        <v>196</v>
      </c>
      <c r="B4" s="82"/>
      <c r="C4" s="53" t="s">
        <v>199</v>
      </c>
      <c r="D4" s="82" t="s">
        <v>197</v>
      </c>
    </row>
    <row r="5" spans="1:6" ht="30" customHeight="1" x14ac:dyDescent="0.15">
      <c r="A5" s="77" t="s">
        <v>142</v>
      </c>
      <c r="B5" s="77" t="s">
        <v>143</v>
      </c>
      <c r="C5" s="80" t="s">
        <v>144</v>
      </c>
      <c r="D5" s="77" t="s">
        <v>145</v>
      </c>
      <c r="E5" s="83"/>
      <c r="F5" s="6"/>
    </row>
    <row r="6" spans="1:6" ht="30" customHeight="1" x14ac:dyDescent="0.15">
      <c r="A6" s="77">
        <v>0</v>
      </c>
      <c r="B6" s="79">
        <v>36089</v>
      </c>
      <c r="C6" s="81" t="s">
        <v>146</v>
      </c>
      <c r="D6" s="77" t="s">
        <v>155</v>
      </c>
      <c r="F6" s="7"/>
    </row>
    <row r="7" spans="1:6" ht="30" customHeight="1" x14ac:dyDescent="0.15">
      <c r="A7" s="77">
        <v>1</v>
      </c>
      <c r="B7" s="78" t="s">
        <v>160</v>
      </c>
      <c r="C7" s="81" t="s">
        <v>161</v>
      </c>
      <c r="D7" s="77" t="s">
        <v>147</v>
      </c>
      <c r="F7" s="76"/>
    </row>
    <row r="8" spans="1:6" ht="30" customHeight="1" x14ac:dyDescent="0.15">
      <c r="A8" s="77">
        <v>2</v>
      </c>
      <c r="B8" s="78" t="s">
        <v>162</v>
      </c>
      <c r="C8" s="81" t="s">
        <v>163</v>
      </c>
      <c r="D8" s="77" t="s">
        <v>147</v>
      </c>
      <c r="F8" s="76"/>
    </row>
    <row r="9" spans="1:6" ht="30" customHeight="1" x14ac:dyDescent="0.15">
      <c r="A9" s="77">
        <v>3</v>
      </c>
      <c r="B9" s="78" t="s">
        <v>148</v>
      </c>
      <c r="C9" s="81" t="s">
        <v>164</v>
      </c>
      <c r="D9" s="77" t="s">
        <v>147</v>
      </c>
      <c r="F9" s="76"/>
    </row>
    <row r="10" spans="1:6" ht="30" customHeight="1" x14ac:dyDescent="0.15">
      <c r="A10" s="77">
        <v>4</v>
      </c>
      <c r="B10" s="78" t="s">
        <v>149</v>
      </c>
      <c r="C10" s="81" t="s">
        <v>165</v>
      </c>
      <c r="D10" s="77" t="s">
        <v>147</v>
      </c>
      <c r="F10" s="76"/>
    </row>
    <row r="11" spans="1:6" ht="30" customHeight="1" x14ac:dyDescent="0.15">
      <c r="A11" s="77">
        <v>5</v>
      </c>
      <c r="B11" s="78" t="s">
        <v>150</v>
      </c>
      <c r="C11" s="81" t="s">
        <v>161</v>
      </c>
      <c r="D11" s="77" t="s">
        <v>147</v>
      </c>
      <c r="F11" s="76"/>
    </row>
    <row r="12" spans="1:6" ht="30" customHeight="1" x14ac:dyDescent="0.15">
      <c r="A12" s="77">
        <v>6</v>
      </c>
      <c r="B12" s="78" t="s">
        <v>151</v>
      </c>
      <c r="C12" s="81" t="s">
        <v>166</v>
      </c>
      <c r="D12" s="77" t="s">
        <v>147</v>
      </c>
      <c r="F12" s="76"/>
    </row>
    <row r="13" spans="1:6" ht="30" customHeight="1" x14ac:dyDescent="0.15">
      <c r="A13" s="77">
        <v>7</v>
      </c>
      <c r="B13" s="78" t="s">
        <v>152</v>
      </c>
      <c r="C13" s="81" t="s">
        <v>167</v>
      </c>
      <c r="D13" s="77" t="s">
        <v>147</v>
      </c>
    </row>
    <row r="14" spans="1:6" ht="30" customHeight="1" x14ac:dyDescent="0.15">
      <c r="A14" s="77">
        <v>8</v>
      </c>
      <c r="B14" s="78" t="s">
        <v>153</v>
      </c>
      <c r="C14" s="81" t="s">
        <v>168</v>
      </c>
      <c r="D14" s="77" t="s">
        <v>147</v>
      </c>
    </row>
    <row r="15" spans="1:6" ht="30" customHeight="1" x14ac:dyDescent="0.15">
      <c r="A15" s="77">
        <v>9</v>
      </c>
      <c r="B15" s="78" t="s">
        <v>169</v>
      </c>
      <c r="C15" s="81" t="s">
        <v>157</v>
      </c>
      <c r="D15" s="77" t="s">
        <v>155</v>
      </c>
    </row>
    <row r="16" spans="1:6" ht="30" customHeight="1" x14ac:dyDescent="0.15">
      <c r="A16" s="77">
        <v>10</v>
      </c>
      <c r="B16" s="78" t="s">
        <v>170</v>
      </c>
      <c r="C16" s="81" t="s">
        <v>154</v>
      </c>
      <c r="D16" s="77" t="s">
        <v>155</v>
      </c>
    </row>
    <row r="17" spans="1:4" ht="30" customHeight="1" x14ac:dyDescent="0.15">
      <c r="A17" s="77">
        <v>11</v>
      </c>
      <c r="B17" s="78" t="s">
        <v>156</v>
      </c>
      <c r="C17" s="81" t="s">
        <v>157</v>
      </c>
      <c r="D17" s="77" t="s">
        <v>158</v>
      </c>
    </row>
    <row r="18" spans="1:4" ht="30" customHeight="1" x14ac:dyDescent="0.15">
      <c r="A18" s="77">
        <v>12</v>
      </c>
      <c r="B18" s="78" t="s">
        <v>171</v>
      </c>
      <c r="C18" s="81" t="s">
        <v>174</v>
      </c>
      <c r="D18" s="77" t="s">
        <v>159</v>
      </c>
    </row>
    <row r="19" spans="1:4" ht="30" customHeight="1" x14ac:dyDescent="0.15">
      <c r="A19" s="77">
        <v>13</v>
      </c>
      <c r="B19" s="78" t="s">
        <v>186</v>
      </c>
      <c r="C19" s="81" t="s">
        <v>157</v>
      </c>
      <c r="D19" s="77" t="s">
        <v>155</v>
      </c>
    </row>
    <row r="20" spans="1:4" ht="30" customHeight="1" x14ac:dyDescent="0.15">
      <c r="A20" s="77">
        <v>14</v>
      </c>
      <c r="B20" s="78" t="s">
        <v>187</v>
      </c>
      <c r="C20" s="81" t="s">
        <v>188</v>
      </c>
      <c r="D20" s="77" t="s">
        <v>189</v>
      </c>
    </row>
    <row r="21" spans="1:4" ht="30" customHeight="1" x14ac:dyDescent="0.15">
      <c r="A21" s="77">
        <v>15</v>
      </c>
      <c r="B21" s="78" t="s">
        <v>192</v>
      </c>
      <c r="C21" s="81" t="s">
        <v>194</v>
      </c>
      <c r="D21" s="77" t="s">
        <v>193</v>
      </c>
    </row>
    <row r="22" spans="1:4" ht="30" customHeight="1" x14ac:dyDescent="0.15">
      <c r="A22" s="77">
        <v>16</v>
      </c>
      <c r="B22" s="78" t="s">
        <v>239</v>
      </c>
      <c r="C22" s="81" t="s">
        <v>240</v>
      </c>
      <c r="D22" s="77" t="s">
        <v>241</v>
      </c>
    </row>
    <row r="23" spans="1:4" ht="30" customHeight="1" x14ac:dyDescent="0.15">
      <c r="A23" s="77"/>
      <c r="B23" s="78" t="s">
        <v>190</v>
      </c>
      <c r="C23" s="81"/>
      <c r="D23" s="77"/>
    </row>
    <row r="24" spans="1:4" ht="30" customHeight="1" x14ac:dyDescent="0.15">
      <c r="A24" s="77"/>
      <c r="B24" s="78"/>
      <c r="C24" s="81"/>
      <c r="D24" s="77"/>
    </row>
    <row r="25" spans="1:4" ht="30" customHeight="1" x14ac:dyDescent="0.15">
      <c r="A25" s="77"/>
      <c r="B25" s="78"/>
      <c r="C25" s="81"/>
      <c r="D25" s="77"/>
    </row>
    <row r="26" spans="1:4" ht="30" customHeight="1" x14ac:dyDescent="0.15">
      <c r="A26" s="77"/>
      <c r="B26" s="78"/>
      <c r="C26" s="81"/>
      <c r="D26" s="77"/>
    </row>
    <row r="27" spans="1:4" ht="30" customHeight="1" x14ac:dyDescent="0.15">
      <c r="A27" s="77"/>
      <c r="B27" s="78"/>
      <c r="C27" s="81"/>
      <c r="D27" s="77"/>
    </row>
    <row r="28" spans="1:4" ht="30" customHeight="1" x14ac:dyDescent="0.15">
      <c r="A28" s="77"/>
      <c r="B28" s="78"/>
      <c r="C28" s="81"/>
      <c r="D28" s="77"/>
    </row>
    <row r="29" spans="1:4" ht="30" customHeight="1" x14ac:dyDescent="0.15">
      <c r="A29" s="77"/>
      <c r="B29" s="78"/>
      <c r="C29" s="81"/>
      <c r="D29" s="77"/>
    </row>
    <row r="30" spans="1:4" ht="30" customHeight="1" x14ac:dyDescent="0.15">
      <c r="A30" s="77"/>
      <c r="B30" s="78"/>
      <c r="C30" s="81"/>
      <c r="D30" s="77"/>
    </row>
    <row r="31" spans="1:4" ht="30" customHeight="1" x14ac:dyDescent="0.15">
      <c r="A31" s="77"/>
      <c r="B31" s="78"/>
      <c r="C31" s="81"/>
      <c r="D31" s="77"/>
    </row>
    <row r="32" spans="1:4" ht="30" customHeight="1" x14ac:dyDescent="0.15">
      <c r="A32" s="77"/>
      <c r="B32" s="78"/>
      <c r="C32" s="81"/>
      <c r="D32" s="77"/>
    </row>
    <row r="33" spans="1:4" ht="30" customHeight="1" x14ac:dyDescent="0.15">
      <c r="A33" s="77"/>
      <c r="B33" s="78"/>
      <c r="C33" s="81"/>
      <c r="D33" s="77"/>
    </row>
    <row r="34" spans="1:4" ht="30" customHeight="1" x14ac:dyDescent="0.15">
      <c r="A34" s="77"/>
      <c r="B34" s="78"/>
      <c r="C34" s="81"/>
      <c r="D34" s="77"/>
    </row>
    <row r="35" spans="1:4" ht="30" customHeight="1" x14ac:dyDescent="0.15">
      <c r="A35" s="77"/>
      <c r="B35" s="78"/>
      <c r="C35" s="81"/>
      <c r="D35" s="77"/>
    </row>
    <row r="36" spans="1:4" ht="30" customHeight="1" x14ac:dyDescent="0.15">
      <c r="A36" s="77"/>
      <c r="B36" s="78"/>
      <c r="C36" s="81"/>
      <c r="D36" s="77"/>
    </row>
    <row r="37" spans="1:4" ht="30" customHeight="1" x14ac:dyDescent="0.15">
      <c r="A37" s="77"/>
      <c r="B37" s="78"/>
      <c r="C37" s="81"/>
      <c r="D37" s="77"/>
    </row>
    <row r="38" spans="1:4" ht="30" customHeight="1" x14ac:dyDescent="0.15">
      <c r="A38" s="77"/>
      <c r="B38" s="78"/>
      <c r="C38" s="81"/>
      <c r="D38" s="77"/>
    </row>
    <row r="39" spans="1:4" ht="30" customHeight="1" x14ac:dyDescent="0.15">
      <c r="A39" s="77"/>
      <c r="B39" s="78"/>
      <c r="C39" s="81"/>
      <c r="D39" s="77"/>
    </row>
    <row r="40" spans="1:4" ht="30" customHeight="1" x14ac:dyDescent="0.15">
      <c r="A40" s="77"/>
      <c r="B40" s="78"/>
      <c r="C40" s="81"/>
      <c r="D40" s="77"/>
    </row>
    <row r="41" spans="1:4" ht="30" customHeight="1" x14ac:dyDescent="0.15">
      <c r="A41" s="77"/>
      <c r="B41" s="78"/>
      <c r="C41" s="81"/>
      <c r="D41" s="77"/>
    </row>
    <row r="42" spans="1:4" ht="30" customHeight="1" x14ac:dyDescent="0.15">
      <c r="A42" s="77"/>
      <c r="B42" s="78"/>
      <c r="C42" s="81"/>
      <c r="D42" s="77"/>
    </row>
    <row r="43" spans="1:4" ht="30" customHeight="1" x14ac:dyDescent="0.15">
      <c r="A43" s="77"/>
      <c r="B43" s="78"/>
      <c r="C43" s="81"/>
      <c r="D43" s="77"/>
    </row>
    <row r="44" spans="1:4" ht="30" customHeight="1" x14ac:dyDescent="0.15">
      <c r="A44" s="77"/>
      <c r="B44" s="78"/>
      <c r="C44" s="81"/>
      <c r="D44" s="77"/>
    </row>
    <row r="45" spans="1:4" ht="30" customHeight="1" x14ac:dyDescent="0.15">
      <c r="A45" s="77"/>
      <c r="B45" s="78"/>
      <c r="C45" s="81"/>
      <c r="D45" s="77"/>
    </row>
    <row r="46" spans="1:4" ht="30" customHeight="1" x14ac:dyDescent="0.15">
      <c r="A46" s="77"/>
      <c r="B46" s="78"/>
      <c r="C46" s="81"/>
      <c r="D46" s="77"/>
    </row>
    <row r="47" spans="1:4" ht="30" customHeight="1" x14ac:dyDescent="0.15">
      <c r="A47" s="77"/>
      <c r="B47" s="78"/>
      <c r="C47" s="81"/>
      <c r="D47" s="77"/>
    </row>
    <row r="48" spans="1:4" ht="30" customHeight="1" x14ac:dyDescent="0.15">
      <c r="A48" s="77"/>
      <c r="B48" s="78"/>
      <c r="C48" s="81"/>
      <c r="D48" s="77"/>
    </row>
    <row r="49" spans="1:4" ht="30" customHeight="1" x14ac:dyDescent="0.15">
      <c r="A49" s="77"/>
      <c r="B49" s="78"/>
      <c r="C49" s="81"/>
      <c r="D49" s="77"/>
    </row>
    <row r="50" spans="1:4" ht="30" customHeight="1" x14ac:dyDescent="0.15">
      <c r="A50" s="77"/>
      <c r="B50" s="78"/>
      <c r="C50" s="81"/>
      <c r="D50" s="77"/>
    </row>
    <row r="51" spans="1:4" ht="30" customHeight="1" x14ac:dyDescent="0.15">
      <c r="A51" s="77"/>
      <c r="B51" s="78"/>
      <c r="C51" s="81"/>
      <c r="D51" s="77"/>
    </row>
    <row r="52" spans="1:4" ht="30" customHeight="1" x14ac:dyDescent="0.15">
      <c r="A52" s="77"/>
      <c r="B52" s="78"/>
      <c r="C52" s="81"/>
      <c r="D52" s="77"/>
    </row>
    <row r="53" spans="1:4" ht="30" customHeight="1" x14ac:dyDescent="0.15">
      <c r="A53" s="77"/>
      <c r="B53" s="78"/>
      <c r="C53" s="81"/>
      <c r="D53" s="77"/>
    </row>
    <row r="54" spans="1:4" ht="30" customHeight="1" x14ac:dyDescent="0.15">
      <c r="A54" s="77"/>
      <c r="B54" s="78"/>
      <c r="C54" s="81"/>
      <c r="D54" s="77"/>
    </row>
    <row r="55" spans="1:4" ht="30" customHeight="1" x14ac:dyDescent="0.15">
      <c r="A55" s="77"/>
      <c r="B55" s="78"/>
      <c r="C55" s="81"/>
      <c r="D55" s="77"/>
    </row>
    <row r="56" spans="1:4" ht="30" customHeight="1" x14ac:dyDescent="0.15">
      <c r="A56" s="77"/>
      <c r="B56" s="78"/>
      <c r="C56" s="81"/>
      <c r="D56" s="77"/>
    </row>
    <row r="57" spans="1:4" ht="30" customHeight="1" x14ac:dyDescent="0.15">
      <c r="A57" s="77"/>
      <c r="B57" s="78"/>
      <c r="C57" s="81"/>
      <c r="D57" s="77"/>
    </row>
    <row r="58" spans="1:4" ht="30" customHeight="1" x14ac:dyDescent="0.15">
      <c r="A58" s="77"/>
      <c r="B58" s="78"/>
      <c r="C58" s="81"/>
      <c r="D58" s="77"/>
    </row>
    <row r="59" spans="1:4" ht="30" customHeight="1" x14ac:dyDescent="0.15">
      <c r="A59" s="77"/>
      <c r="B59" s="78"/>
      <c r="C59" s="81"/>
      <c r="D59" s="77"/>
    </row>
    <row r="60" spans="1:4" ht="30" customHeight="1" x14ac:dyDescent="0.15">
      <c r="A60" s="77"/>
      <c r="B60" s="78"/>
      <c r="C60" s="81"/>
      <c r="D60" s="77"/>
    </row>
    <row r="61" spans="1:4" ht="30" customHeight="1" x14ac:dyDescent="0.15">
      <c r="A61" s="77"/>
      <c r="B61" s="78"/>
      <c r="C61" s="81"/>
      <c r="D61" s="77"/>
    </row>
    <row r="62" spans="1:4" ht="30" customHeight="1" x14ac:dyDescent="0.15">
      <c r="A62" s="77"/>
      <c r="B62" s="78"/>
      <c r="C62" s="81"/>
      <c r="D62" s="77"/>
    </row>
    <row r="63" spans="1:4" ht="30" customHeight="1" x14ac:dyDescent="0.15">
      <c r="A63" s="77"/>
      <c r="B63" s="78"/>
      <c r="C63" s="81"/>
      <c r="D63" s="77"/>
    </row>
    <row r="64" spans="1:4" ht="30" customHeight="1" x14ac:dyDescent="0.15">
      <c r="A64" s="77"/>
      <c r="B64" s="78"/>
      <c r="C64" s="81"/>
      <c r="D64" s="77"/>
    </row>
    <row r="65" spans="1:4" ht="30" customHeight="1" x14ac:dyDescent="0.15">
      <c r="A65" s="77"/>
      <c r="B65" s="78"/>
      <c r="C65" s="81"/>
      <c r="D65" s="77"/>
    </row>
    <row r="66" spans="1:4" ht="30" customHeight="1" x14ac:dyDescent="0.15">
      <c r="A66" s="77"/>
      <c r="B66" s="78"/>
      <c r="C66" s="81"/>
      <c r="D66" s="77"/>
    </row>
    <row r="67" spans="1:4" ht="30" customHeight="1" x14ac:dyDescent="0.15">
      <c r="A67" s="77"/>
      <c r="B67" s="78"/>
      <c r="C67" s="81"/>
      <c r="D67" s="77"/>
    </row>
    <row r="68" spans="1:4" ht="30" customHeight="1" x14ac:dyDescent="0.15">
      <c r="A68" s="77"/>
      <c r="B68" s="78"/>
      <c r="C68" s="81"/>
      <c r="D68" s="77"/>
    </row>
    <row r="69" spans="1:4" ht="30" customHeight="1" x14ac:dyDescent="0.15">
      <c r="A69" s="77"/>
      <c r="B69" s="78"/>
      <c r="C69" s="81"/>
      <c r="D69" s="77"/>
    </row>
    <row r="70" spans="1:4" ht="30" customHeight="1" x14ac:dyDescent="0.15">
      <c r="A70" s="77"/>
      <c r="B70" s="78"/>
      <c r="C70" s="81"/>
      <c r="D70" s="77"/>
    </row>
    <row r="71" spans="1:4" ht="30" customHeight="1" x14ac:dyDescent="0.15">
      <c r="A71" s="77"/>
      <c r="B71" s="78"/>
      <c r="C71" s="81"/>
      <c r="D71" s="77"/>
    </row>
    <row r="72" spans="1:4" ht="30" customHeight="1" x14ac:dyDescent="0.15">
      <c r="A72" s="77"/>
      <c r="B72" s="78"/>
      <c r="C72" s="81"/>
      <c r="D72" s="77"/>
    </row>
    <row r="73" spans="1:4" ht="30" customHeight="1" x14ac:dyDescent="0.15">
      <c r="A73" s="77"/>
      <c r="B73" s="78"/>
      <c r="C73" s="81"/>
      <c r="D73" s="77"/>
    </row>
    <row r="74" spans="1:4" ht="30" customHeight="1" x14ac:dyDescent="0.15">
      <c r="A74" s="77"/>
      <c r="B74" s="78"/>
      <c r="C74" s="81"/>
      <c r="D74" s="77"/>
    </row>
    <row r="75" spans="1:4" ht="30" customHeight="1" x14ac:dyDescent="0.15">
      <c r="A75" s="77"/>
      <c r="B75" s="78"/>
      <c r="C75" s="81"/>
      <c r="D75" s="77"/>
    </row>
    <row r="76" spans="1:4" ht="30" customHeight="1" x14ac:dyDescent="0.15">
      <c r="A76" s="77"/>
      <c r="B76" s="78"/>
      <c r="C76" s="81"/>
      <c r="D76" s="77"/>
    </row>
    <row r="77" spans="1:4" ht="30" customHeight="1" x14ac:dyDescent="0.15">
      <c r="A77" s="77"/>
      <c r="B77" s="78"/>
      <c r="C77" s="81"/>
      <c r="D77" s="77"/>
    </row>
    <row r="78" spans="1:4" ht="30" customHeight="1" x14ac:dyDescent="0.15">
      <c r="A78" s="77"/>
      <c r="B78" s="78"/>
      <c r="C78" s="81"/>
      <c r="D78" s="77"/>
    </row>
    <row r="79" spans="1:4" ht="30" customHeight="1" x14ac:dyDescent="0.15">
      <c r="A79" s="77"/>
      <c r="B79" s="78"/>
      <c r="C79" s="81"/>
      <c r="D79" s="77"/>
    </row>
    <row r="80" spans="1:4" ht="30" customHeight="1" x14ac:dyDescent="0.15">
      <c r="A80" s="77"/>
      <c r="B80" s="78"/>
      <c r="C80" s="81"/>
      <c r="D80" s="77"/>
    </row>
    <row r="81" spans="1:4" ht="30" customHeight="1" x14ac:dyDescent="0.15">
      <c r="A81" s="77"/>
      <c r="B81" s="78"/>
      <c r="C81" s="81"/>
      <c r="D81" s="77"/>
    </row>
    <row r="82" spans="1:4" ht="30" customHeight="1" x14ac:dyDescent="0.15">
      <c r="A82" s="77"/>
      <c r="B82" s="78"/>
      <c r="C82" s="81"/>
      <c r="D82" s="77"/>
    </row>
    <row r="83" spans="1:4" ht="30" customHeight="1" x14ac:dyDescent="0.15">
      <c r="A83" s="77"/>
      <c r="B83" s="78"/>
      <c r="C83" s="81"/>
      <c r="D83" s="77"/>
    </row>
    <row r="84" spans="1:4" ht="30" customHeight="1" x14ac:dyDescent="0.15">
      <c r="A84" s="77"/>
      <c r="B84" s="78"/>
      <c r="C84" s="81"/>
      <c r="D84" s="77"/>
    </row>
    <row r="85" spans="1:4" ht="30" customHeight="1" x14ac:dyDescent="0.15">
      <c r="A85" s="77"/>
      <c r="B85" s="78"/>
      <c r="C85" s="81"/>
      <c r="D85" s="77"/>
    </row>
    <row r="86" spans="1:4" ht="30" customHeight="1" x14ac:dyDescent="0.15">
      <c r="A86" s="77"/>
      <c r="B86" s="78"/>
      <c r="C86" s="81"/>
      <c r="D86" s="77"/>
    </row>
    <row r="87" spans="1:4" ht="30" customHeight="1" x14ac:dyDescent="0.15">
      <c r="A87" s="77"/>
      <c r="B87" s="78"/>
      <c r="C87" s="81"/>
      <c r="D87" s="77"/>
    </row>
    <row r="88" spans="1:4" ht="30" customHeight="1" x14ac:dyDescent="0.15">
      <c r="A88" s="77"/>
      <c r="B88" s="78"/>
      <c r="C88" s="81"/>
      <c r="D88" s="77"/>
    </row>
    <row r="89" spans="1:4" ht="30" customHeight="1" x14ac:dyDescent="0.15">
      <c r="A89" s="77"/>
      <c r="B89" s="78"/>
      <c r="C89" s="81"/>
      <c r="D89" s="77"/>
    </row>
    <row r="90" spans="1:4" ht="30" customHeight="1" x14ac:dyDescent="0.15">
      <c r="A90" s="77"/>
      <c r="B90" s="78"/>
      <c r="C90" s="81"/>
      <c r="D90" s="77"/>
    </row>
    <row r="91" spans="1:4" ht="30" customHeight="1" x14ac:dyDescent="0.15">
      <c r="A91" s="77"/>
      <c r="B91" s="78"/>
      <c r="C91" s="81"/>
      <c r="D91" s="77"/>
    </row>
    <row r="92" spans="1:4" ht="30" customHeight="1" x14ac:dyDescent="0.15">
      <c r="A92" s="77"/>
      <c r="B92" s="78"/>
      <c r="C92" s="81"/>
      <c r="D92" s="77"/>
    </row>
    <row r="93" spans="1:4" ht="30" customHeight="1" x14ac:dyDescent="0.15">
      <c r="A93" s="77"/>
      <c r="B93" s="78"/>
      <c r="C93" s="81"/>
      <c r="D93" s="77"/>
    </row>
    <row r="94" spans="1:4" ht="30" customHeight="1" x14ac:dyDescent="0.15">
      <c r="A94" s="77"/>
      <c r="B94" s="78"/>
      <c r="C94" s="81"/>
      <c r="D94" s="77"/>
    </row>
    <row r="95" spans="1:4" ht="30" customHeight="1" x14ac:dyDescent="0.15">
      <c r="A95" s="77"/>
      <c r="B95" s="78"/>
      <c r="C95" s="81"/>
      <c r="D95" s="77"/>
    </row>
    <row r="96" spans="1:4" ht="30" customHeight="1" x14ac:dyDescent="0.15">
      <c r="A96" s="77"/>
      <c r="B96" s="78"/>
      <c r="C96" s="81"/>
      <c r="D96" s="77"/>
    </row>
    <row r="97" spans="1:4" ht="30" customHeight="1" x14ac:dyDescent="0.15">
      <c r="A97" s="77"/>
      <c r="B97" s="78"/>
      <c r="C97" s="81"/>
      <c r="D97" s="77"/>
    </row>
    <row r="98" spans="1:4" ht="30" customHeight="1" x14ac:dyDescent="0.15">
      <c r="A98" s="77"/>
      <c r="B98" s="78"/>
      <c r="C98" s="81"/>
      <c r="D98" s="77"/>
    </row>
    <row r="99" spans="1:4" ht="30" customHeight="1" x14ac:dyDescent="0.15">
      <c r="A99" s="77"/>
      <c r="B99" s="78"/>
      <c r="C99" s="81"/>
      <c r="D99" s="77"/>
    </row>
    <row r="100" spans="1:4" ht="30" customHeight="1" x14ac:dyDescent="0.15">
      <c r="A100" s="77"/>
      <c r="B100" s="78"/>
      <c r="C100" s="81"/>
      <c r="D100" s="77"/>
    </row>
    <row r="101" spans="1:4" ht="30" customHeight="1" x14ac:dyDescent="0.15">
      <c r="A101" s="77"/>
      <c r="B101" s="78"/>
      <c r="C101" s="81"/>
      <c r="D101" s="77"/>
    </row>
    <row r="102" spans="1:4" ht="30" customHeight="1" x14ac:dyDescent="0.15">
      <c r="A102" s="77"/>
      <c r="B102" s="78"/>
      <c r="C102" s="81"/>
      <c r="D102" s="77"/>
    </row>
    <row r="103" spans="1:4" ht="30" customHeight="1" x14ac:dyDescent="0.15">
      <c r="A103" s="77"/>
      <c r="B103" s="78"/>
      <c r="C103" s="81"/>
      <c r="D103" s="77"/>
    </row>
    <row r="104" spans="1:4" ht="30" customHeight="1" x14ac:dyDescent="0.15">
      <c r="A104" s="77"/>
      <c r="B104" s="78"/>
      <c r="C104" s="81"/>
      <c r="D104" s="77"/>
    </row>
    <row r="105" spans="1:4" ht="30" customHeight="1" x14ac:dyDescent="0.15">
      <c r="A105" s="77"/>
      <c r="B105" s="78"/>
      <c r="C105" s="81"/>
      <c r="D105" s="77"/>
    </row>
    <row r="106" spans="1:4" ht="30" customHeight="1" x14ac:dyDescent="0.15">
      <c r="A106" s="77"/>
      <c r="B106" s="78"/>
      <c r="C106" s="81"/>
      <c r="D106" s="77"/>
    </row>
    <row r="107" spans="1:4" ht="30" customHeight="1" x14ac:dyDescent="0.15">
      <c r="A107" s="77"/>
      <c r="B107" s="78"/>
      <c r="C107" s="81"/>
      <c r="D107" s="77"/>
    </row>
    <row r="108" spans="1:4" ht="30" customHeight="1" x14ac:dyDescent="0.15">
      <c r="A108" s="77"/>
      <c r="B108" s="78"/>
      <c r="C108" s="81"/>
      <c r="D108" s="77"/>
    </row>
    <row r="109" spans="1:4" ht="30" customHeight="1" x14ac:dyDescent="0.15">
      <c r="A109" s="77"/>
      <c r="B109" s="78"/>
      <c r="C109" s="81"/>
      <c r="D109" s="77"/>
    </row>
    <row r="110" spans="1:4" ht="30" customHeight="1" x14ac:dyDescent="0.15">
      <c r="A110" s="77"/>
      <c r="B110" s="78"/>
      <c r="C110" s="81"/>
      <c r="D110" s="77"/>
    </row>
    <row r="111" spans="1:4" ht="30" customHeight="1" x14ac:dyDescent="0.15">
      <c r="A111" s="77"/>
      <c r="B111" s="78"/>
      <c r="C111" s="81"/>
      <c r="D111" s="77"/>
    </row>
    <row r="112" spans="1:4" ht="30" customHeight="1" x14ac:dyDescent="0.15">
      <c r="A112" s="77"/>
      <c r="B112" s="78"/>
      <c r="C112" s="81"/>
      <c r="D112" s="77"/>
    </row>
  </sheetData>
  <mergeCells count="1">
    <mergeCell ref="A1:D1"/>
  </mergeCells>
  <phoneticPr fontId="2"/>
  <pageMargins left="0.7" right="0.7" top="0.75" bottom="0.75" header="0.3" footer="0.3"/>
  <pageSetup paperSize="9" scale="72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72</vt:i4>
      </vt:variant>
    </vt:vector>
  </HeadingPairs>
  <TitlesOfParts>
    <vt:vector size="75" baseType="lpstr">
      <vt:lpstr>報告書</vt:lpstr>
      <vt:lpstr>試験成績書用紙</vt:lpstr>
      <vt:lpstr>改訂履歴</vt:lpstr>
      <vt:lpstr>Atusa</vt:lpstr>
      <vt:lpstr>AtusaT</vt:lpstr>
      <vt:lpstr>Data1</vt:lpstr>
      <vt:lpstr>Data2</vt:lpstr>
      <vt:lpstr>Debug</vt:lpstr>
      <vt:lpstr>JituP1</vt:lpstr>
      <vt:lpstr>JituP2</vt:lpstr>
      <vt:lpstr>JituP3</vt:lpstr>
      <vt:lpstr>JituP4</vt:lpstr>
      <vt:lpstr>JituP5</vt:lpstr>
      <vt:lpstr>Jyoug1</vt:lpstr>
      <vt:lpstr>Jyoug2</vt:lpstr>
      <vt:lpstr>Jyoug3</vt:lpstr>
      <vt:lpstr>Jyoug4</vt:lpstr>
      <vt:lpstr>Jyoug5</vt:lpstr>
      <vt:lpstr>Kagen1</vt:lpstr>
      <vt:lpstr>Kagen2</vt:lpstr>
      <vt:lpstr>Kagen3</vt:lpstr>
      <vt:lpstr>Kagen4</vt:lpstr>
      <vt:lpstr>Kagen5</vt:lpstr>
      <vt:lpstr>KaiCD1</vt:lpstr>
      <vt:lpstr>KaiCD2</vt:lpstr>
      <vt:lpstr>KaiCD3</vt:lpstr>
      <vt:lpstr>KaiCD4</vt:lpstr>
      <vt:lpstr>KaiCD5</vt:lpstr>
      <vt:lpstr>KaiName1</vt:lpstr>
      <vt:lpstr>KaiName2</vt:lpstr>
      <vt:lpstr>KaiName3</vt:lpstr>
      <vt:lpstr>KaiName4</vt:lpstr>
      <vt:lpstr>KaiName5</vt:lpstr>
      <vt:lpstr>Keisask</vt:lpstr>
      <vt:lpstr>MokuCD</vt:lpstr>
      <vt:lpstr>mokuteki</vt:lpstr>
      <vt:lpstr>Pass</vt:lpstr>
      <vt:lpstr>報告書!Print_Area</vt:lpstr>
      <vt:lpstr>RicNoE1</vt:lpstr>
      <vt:lpstr>RicNoE2</vt:lpstr>
      <vt:lpstr>RicNoE3</vt:lpstr>
      <vt:lpstr>RicNoE4</vt:lpstr>
      <vt:lpstr>RicNoE5</vt:lpstr>
      <vt:lpstr>RicNoS1</vt:lpstr>
      <vt:lpstr>RicNoS2</vt:lpstr>
      <vt:lpstr>RicNoS3</vt:lpstr>
      <vt:lpstr>RicNoS4</vt:lpstr>
      <vt:lpstr>RicNoS5</vt:lpstr>
      <vt:lpstr>Rireki</vt:lpstr>
      <vt:lpstr>SaiSoku</vt:lpstr>
      <vt:lpstr>SebkNoTB</vt:lpstr>
      <vt:lpstr>SEnKind</vt:lpstr>
      <vt:lpstr>SenkNo</vt:lpstr>
      <vt:lpstr>SenSyu</vt:lpstr>
      <vt:lpstr>SikiKodo</vt:lpstr>
      <vt:lpstr>SiteiSN1</vt:lpstr>
      <vt:lpstr>SiteiSN2</vt:lpstr>
      <vt:lpstr>SiteiSN3</vt:lpstr>
      <vt:lpstr>SiteiSN4</vt:lpstr>
      <vt:lpstr>SiteiSN5</vt:lpstr>
      <vt:lpstr>SokDate</vt:lpstr>
      <vt:lpstr>SoktCD</vt:lpstr>
      <vt:lpstr>SokutSN</vt:lpstr>
      <vt:lpstr>Sosi</vt:lpstr>
      <vt:lpstr>SyainTB</vt:lpstr>
      <vt:lpstr>Tani</vt:lpstr>
      <vt:lpstr>Tuika</vt:lpstr>
      <vt:lpstr>TuikaMin</vt:lpstr>
      <vt:lpstr>UkeNo1</vt:lpstr>
      <vt:lpstr>UkeNo2</vt:lpstr>
      <vt:lpstr>UkeNo3</vt:lpstr>
      <vt:lpstr>UkeNo4</vt:lpstr>
      <vt:lpstr>UkeNo5</vt:lpstr>
      <vt:lpstr>YousikiName</vt:lpstr>
      <vt:lpstr>YousikiNo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RIC-215</dc:creator>
  <cp:lastModifiedBy>admin</cp:lastModifiedBy>
  <cp:lastPrinted>2020-05-06T23:40:15Z</cp:lastPrinted>
  <dcterms:created xsi:type="dcterms:W3CDTF">2008-09-29T09:15:32Z</dcterms:created>
  <dcterms:modified xsi:type="dcterms:W3CDTF">2023-09-07T00:24:03Z</dcterms:modified>
</cp:coreProperties>
</file>