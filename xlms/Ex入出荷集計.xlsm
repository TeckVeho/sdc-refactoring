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48FCF00A-D6BF-4716-B720-F8089F400D4F}" xr6:coauthVersionLast="45" xr6:coauthVersionMax="45" xr10:uidLastSave="{00000000-0000-0000-0000-000000000000}"/>
  <bookViews>
    <workbookView xWindow="-120" yWindow="-120" windowWidth="19440" windowHeight="15000" xr2:uid="{00000000-000D-0000-FFFF-FFFF00000000}"/>
  </bookViews>
  <sheets>
    <sheet name="入荷状況" sheetId="5" r:id="rId1"/>
    <sheet name="出荷実績" sheetId="3" r:id="rId2"/>
    <sheet name="稼働時間" sheetId="6" r:id="rId3"/>
  </sheets>
  <functionGroups builtInGroupCount="19"/>
  <externalReferences>
    <externalReference r:id="rId4"/>
  </externalReferences>
  <definedNames>
    <definedName name="_xlnm._FilterDatabase" localSheetId="2" hidden="1">稼働時間!$B$48:$E$73</definedName>
    <definedName name="_xlnm.Database">[1]Table登録!$F$5</definedName>
    <definedName name="DataN">出荷実績!$P$1</definedName>
    <definedName name="DataTB">出荷実績!$N$4:$S$801</definedName>
    <definedName name="Debug">出荷実績!$A$1</definedName>
    <definedName name="Hyou1">出荷実績!$B$4:$E$48</definedName>
    <definedName name="Hyou2">出荷実績!$G$4:$J$49</definedName>
    <definedName name="KaisiDay">稼働時間!$C$7</definedName>
    <definedName name="Kekka">稼働時間!$D$9:$F$10</definedName>
    <definedName name="N_Hyouji">入荷状況!$C$8:$J$28</definedName>
    <definedName name="Nengappi">稼働時間!$C$7:$D$7</definedName>
    <definedName name="Nyukabi">入荷状況!$P$5</definedName>
    <definedName name="Nyuuakbi">入荷状況!$H$3</definedName>
    <definedName name="_xlnm.Print_Area" localSheetId="1">出荷実績!$B$1:$J$50</definedName>
    <definedName name="_xlnm.Print_Area" localSheetId="0">入荷状況!$B$3:$J$30</definedName>
    <definedName name="Ric2HP">入荷状況!$P$9</definedName>
    <definedName name="Ric2T">入荷状況!$N$9</definedName>
    <definedName name="Ric2V">入荷状況!$O$9</definedName>
    <definedName name="Ric3M">入荷状況!$O$10</definedName>
    <definedName name="Ric3PP">入荷状況!$P$10</definedName>
    <definedName name="Ric3T">入荷状況!$N$10</definedName>
    <definedName name="Setumei">[1]Table登録!$H$5</definedName>
    <definedName name="Siki">出荷実績!$N$1</definedName>
    <definedName name="Souti">[1]Table登録!$G$5</definedName>
    <definedName name="SyousyaTime">稼働時間!$D$9:$F$10</definedName>
    <definedName name="Syukkabi">出荷実績!$D$1</definedName>
    <definedName name="SyukkaSuu">出荷実績!$E$2</definedName>
    <definedName name="SyukkaTB">出荷実績!$C$4:$E$48,出荷実績!$H$4:$J$49</definedName>
    <definedName name="SyuuryouDay">稼働時間!$D$7</definedName>
    <definedName name="TableName">[1]Table登録!$C$5</definedName>
    <definedName name="TableNameDB">[1]Table登録!$D$5</definedName>
    <definedName name="Today2V">入荷状況!$Q$9</definedName>
    <definedName name="Today3M">入荷状況!$Q$10</definedName>
    <definedName name="TodayHP">入荷状況!$R$9</definedName>
    <definedName name="TodayPP">入荷状況!$R$10</definedName>
    <definedName name="TotalTime">稼働時間!$E$7</definedName>
    <definedName name="Zaiko">入荷状況!$T$8:$AC$307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6" l="1"/>
  <c r="E19" i="6"/>
  <c r="D19" i="6"/>
  <c r="O14" i="6" l="1"/>
  <c r="N3" i="3" l="1"/>
  <c r="N1" i="3" l="1"/>
  <c r="E2" i="3"/>
  <c r="N5" i="5"/>
  <c r="Q9" i="5" s="1"/>
  <c r="R9" i="5" s="1"/>
  <c r="P5" i="5"/>
  <c r="D29" i="5"/>
  <c r="F29" i="5"/>
  <c r="G29" i="5"/>
  <c r="I29" i="5"/>
  <c r="J29" i="5"/>
  <c r="I30" i="5" l="1"/>
  <c r="Q10" i="5"/>
  <c r="R10" i="5" s="1"/>
</calcChain>
</file>

<file path=xl/sharedStrings.xml><?xml version="1.0" encoding="utf-8"?>
<sst xmlns="http://schemas.openxmlformats.org/spreadsheetml/2006/main" count="77" uniqueCount="61">
  <si>
    <t>（株）大協精工</t>
  </si>
  <si>
    <t>（株）ユーケンサイエンス</t>
  </si>
  <si>
    <t>エルゴジャパン（株）</t>
  </si>
  <si>
    <t>ＨＯＹＡ株式会社</t>
  </si>
  <si>
    <t>株式会社　ナカニシ</t>
  </si>
  <si>
    <t>会社名</t>
    <rPh sb="0" eb="2">
      <t>カイシャ</t>
    </rPh>
    <rPh sb="2" eb="3">
      <t>メイ</t>
    </rPh>
    <phoneticPr fontId="2"/>
  </si>
  <si>
    <t>出荷数量</t>
    <rPh sb="0" eb="2">
      <t>シュッカ</t>
    </rPh>
    <rPh sb="2" eb="4">
      <t>スウリョウ</t>
    </rPh>
    <phoneticPr fontId="2"/>
  </si>
  <si>
    <t>No</t>
    <phoneticPr fontId="2"/>
  </si>
  <si>
    <t>No</t>
    <phoneticPr fontId="2"/>
  </si>
  <si>
    <t>出荷合計数</t>
    <rPh sb="0" eb="2">
      <t>シュッカ</t>
    </rPh>
    <rPh sb="2" eb="4">
      <t>ゴウケイ</t>
    </rPh>
    <rPh sb="4" eb="5">
      <t>スウ</t>
    </rPh>
    <phoneticPr fontId="2"/>
  </si>
  <si>
    <t>単位：箱</t>
    <rPh sb="0" eb="2">
      <t>タンイ</t>
    </rPh>
    <rPh sb="3" eb="4">
      <t>ハコ</t>
    </rPh>
    <phoneticPr fontId="2"/>
  </si>
  <si>
    <t>（株）海老原ゴム商会</t>
  </si>
  <si>
    <t>（株）フタバ</t>
  </si>
  <si>
    <t>　　ｶﾞﾝﾏ処理品出荷数量</t>
    <rPh sb="6" eb="8">
      <t>ショリ</t>
    </rPh>
    <rPh sb="8" eb="9">
      <t>ヒン</t>
    </rPh>
    <rPh sb="9" eb="11">
      <t>シュッカ</t>
    </rPh>
    <rPh sb="11" eb="13">
      <t>スウリョウ</t>
    </rPh>
    <phoneticPr fontId="2"/>
  </si>
  <si>
    <t>会社ｺｰﾄﾞ</t>
    <rPh sb="0" eb="2">
      <t>カイシャ</t>
    </rPh>
    <phoneticPr fontId="2"/>
  </si>
  <si>
    <t>ｶﾞﾝﾏ処理製品入荷状況</t>
    <rPh sb="4" eb="6">
      <t>ショリ</t>
    </rPh>
    <rPh sb="6" eb="8">
      <t>セイヒン</t>
    </rPh>
    <rPh sb="8" eb="10">
      <t>ニュウカ</t>
    </rPh>
    <rPh sb="10" eb="12">
      <t>ジョウキョウ</t>
    </rPh>
    <phoneticPr fontId="10"/>
  </si>
  <si>
    <t>入荷日</t>
    <rPh sb="0" eb="2">
      <t>ニュウカ</t>
    </rPh>
    <rPh sb="2" eb="3">
      <t>ビ</t>
    </rPh>
    <phoneticPr fontId="10"/>
  </si>
  <si>
    <t>No</t>
    <phoneticPr fontId="10"/>
  </si>
  <si>
    <t>1号機</t>
    <rPh sb="1" eb="3">
      <t>ゴウキ</t>
    </rPh>
    <phoneticPr fontId="10"/>
  </si>
  <si>
    <t>2号機</t>
    <rPh sb="1" eb="3">
      <t>ゴウキ</t>
    </rPh>
    <phoneticPr fontId="10"/>
  </si>
  <si>
    <t>3号機</t>
    <rPh sb="1" eb="3">
      <t>ゴウキ</t>
    </rPh>
    <phoneticPr fontId="10"/>
  </si>
  <si>
    <t>本日</t>
    <rPh sb="0" eb="2">
      <t>ホンジツ</t>
    </rPh>
    <phoneticPr fontId="10"/>
  </si>
  <si>
    <t>会社名</t>
    <rPh sb="0" eb="1">
      <t>カイ</t>
    </rPh>
    <rPh sb="1" eb="3">
      <t>シャメイ</t>
    </rPh>
    <phoneticPr fontId="10"/>
  </si>
  <si>
    <t>入荷数</t>
    <rPh sb="0" eb="3">
      <t>ニュウカスウ</t>
    </rPh>
    <phoneticPr fontId="10"/>
  </si>
  <si>
    <t>要処理時間
(時間)</t>
    <rPh sb="0" eb="1">
      <t>ヨウ</t>
    </rPh>
    <rPh sb="1" eb="3">
      <t>ショリ</t>
    </rPh>
    <rPh sb="3" eb="5">
      <t>ジカン</t>
    </rPh>
    <rPh sb="7" eb="9">
      <t>ジカン</t>
    </rPh>
    <phoneticPr fontId="10"/>
  </si>
  <si>
    <t>項目／装置</t>
    <rPh sb="0" eb="2">
      <t>コウモク</t>
    </rPh>
    <rPh sb="3" eb="5">
      <t>ソウチ</t>
    </rPh>
    <phoneticPr fontId="10"/>
  </si>
  <si>
    <t>設定</t>
    <rPh sb="0" eb="2">
      <t>セッテイ</t>
    </rPh>
    <phoneticPr fontId="10"/>
  </si>
  <si>
    <t>今日</t>
    <rPh sb="0" eb="2">
      <t>キョウ</t>
    </rPh>
    <phoneticPr fontId="10"/>
  </si>
  <si>
    <t>設定日</t>
    <rPh sb="0" eb="3">
      <t>セッテイビ</t>
    </rPh>
    <phoneticPr fontId="10"/>
  </si>
  <si>
    <t>速度/M_time</t>
    <rPh sb="0" eb="2">
      <t>ソクド</t>
    </rPh>
    <phoneticPr fontId="10"/>
  </si>
  <si>
    <t>HP/PP</t>
    <phoneticPr fontId="10"/>
  </si>
  <si>
    <t>Ric2</t>
    <phoneticPr fontId="10"/>
  </si>
  <si>
    <t>Ric3</t>
    <phoneticPr fontId="10"/>
  </si>
  <si>
    <t>他</t>
    <rPh sb="0" eb="1">
      <t>ホカ</t>
    </rPh>
    <phoneticPr fontId="10"/>
  </si>
  <si>
    <t>合計</t>
    <rPh sb="0" eb="2">
      <t>ゴウケイ</t>
    </rPh>
    <phoneticPr fontId="10"/>
  </si>
  <si>
    <t>1,2,3号機合計</t>
    <rPh sb="5" eb="7">
      <t>ゴウキ</t>
    </rPh>
    <rPh sb="7" eb="9">
      <t>ゴウケイ</t>
    </rPh>
    <phoneticPr fontId="10"/>
  </si>
  <si>
    <t>UNO</t>
    <phoneticPr fontId="2"/>
  </si>
  <si>
    <t>KAISYACD</t>
    <phoneticPr fontId="2"/>
  </si>
  <si>
    <t>SEHNCD</t>
    <phoneticPr fontId="2"/>
  </si>
  <si>
    <t>SYOUSO</t>
    <phoneticPr fontId="2"/>
  </si>
  <si>
    <t>KAINAME</t>
    <phoneticPr fontId="2"/>
  </si>
  <si>
    <t>NOUKI</t>
    <phoneticPr fontId="2"/>
  </si>
  <si>
    <t>PASS</t>
    <phoneticPr fontId="2"/>
  </si>
  <si>
    <t>NYUKABI</t>
    <phoneticPr fontId="2"/>
  </si>
  <si>
    <t>NYUKASU</t>
    <phoneticPr fontId="2"/>
  </si>
  <si>
    <t>INCNT</t>
    <phoneticPr fontId="2"/>
  </si>
  <si>
    <t>Ex5</t>
    <phoneticPr fontId="10"/>
  </si>
  <si>
    <t>New</t>
    <phoneticPr fontId="2"/>
  </si>
  <si>
    <t>出荷日</t>
    <rPh sb="0" eb="3">
      <t>シュッカビ</t>
    </rPh>
    <phoneticPr fontId="2"/>
  </si>
  <si>
    <t>照射時間</t>
    <rPh sb="0" eb="2">
      <t>ショウシャ</t>
    </rPh>
    <rPh sb="2" eb="4">
      <t>ジカン</t>
    </rPh>
    <phoneticPr fontId="2"/>
  </si>
  <si>
    <t>総時間</t>
    <rPh sb="0" eb="1">
      <t>ソウ</t>
    </rPh>
    <rPh sb="1" eb="3">
      <t>ジカン</t>
    </rPh>
    <phoneticPr fontId="2"/>
  </si>
  <si>
    <t>停止時間</t>
    <rPh sb="0" eb="2">
      <t>テイシ</t>
    </rPh>
    <rPh sb="2" eb="4">
      <t>ジカン</t>
    </rPh>
    <phoneticPr fontId="2"/>
  </si>
  <si>
    <t>装置</t>
    <rPh sb="0" eb="2">
      <t>ソウチ</t>
    </rPh>
    <phoneticPr fontId="2"/>
  </si>
  <si>
    <t>集計開始日</t>
    <rPh sb="0" eb="2">
      <t>シュウケイ</t>
    </rPh>
    <rPh sb="2" eb="5">
      <t>カイシビ</t>
    </rPh>
    <phoneticPr fontId="2"/>
  </si>
  <si>
    <t>集計終了日</t>
    <rPh sb="0" eb="2">
      <t>シュウケイ</t>
    </rPh>
    <rPh sb="2" eb="5">
      <t>シュウリョウビ</t>
    </rPh>
    <phoneticPr fontId="2"/>
  </si>
  <si>
    <t>集計期間年月日</t>
    <rPh sb="0" eb="2">
      <t>シュウケイ</t>
    </rPh>
    <rPh sb="2" eb="4">
      <t>キカン</t>
    </rPh>
    <rPh sb="4" eb="7">
      <t>ネンガッピ</t>
    </rPh>
    <phoneticPr fontId="2"/>
  </si>
  <si>
    <t>1号機
照射時間</t>
    <rPh sb="1" eb="3">
      <t>ゴウキ</t>
    </rPh>
    <rPh sb="4" eb="6">
      <t>ショウシャ</t>
    </rPh>
    <rPh sb="6" eb="8">
      <t>ジカン</t>
    </rPh>
    <phoneticPr fontId="2"/>
  </si>
  <si>
    <t>3号機
照射時間</t>
    <rPh sb="1" eb="2">
      <t>ゴウ</t>
    </rPh>
    <rPh sb="2" eb="3">
      <t>キ</t>
    </rPh>
    <rPh sb="4" eb="6">
      <t>ショウシャ</t>
    </rPh>
    <rPh sb="6" eb="8">
      <t>ジカン</t>
    </rPh>
    <phoneticPr fontId="2"/>
  </si>
  <si>
    <r>
      <t xml:space="preserve">2号機
</t>
    </r>
    <r>
      <rPr>
        <sz val="11"/>
        <color rgb="FFFF0000"/>
        <rFont val="ＭＳ Ｐゴシック"/>
        <family val="3"/>
        <charset val="128"/>
      </rPr>
      <t>コンベア運転時間</t>
    </r>
    <rPh sb="1" eb="3">
      <t>ゴウキ</t>
    </rPh>
    <rPh sb="8" eb="10">
      <t>ウンテン</t>
    </rPh>
    <rPh sb="10" eb="12">
      <t>ジカン</t>
    </rPh>
    <phoneticPr fontId="2"/>
  </si>
  <si>
    <t>装置稼働実績</t>
    <rPh sb="0" eb="2">
      <t>ソウチ</t>
    </rPh>
    <rPh sb="2" eb="4">
      <t>カドウ</t>
    </rPh>
    <rPh sb="4" eb="6">
      <t>ジッセキ</t>
    </rPh>
    <phoneticPr fontId="2"/>
  </si>
  <si>
    <t>稼働率（％）</t>
    <rPh sb="0" eb="2">
      <t>カドウ</t>
    </rPh>
    <rPh sb="2" eb="3">
      <t>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</si>
</sst>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&quot;年&quot;m&quot;月&quot;d&quot;日&quot;;@"/>
    <numFmt numFmtId="177" formatCode="#,##0_ "/>
    <numFmt numFmtId="178" formatCode="yyyy&quot;年&quot;m&quot;月&quot;d&quot;日&quot;\(aaa\)"/>
    <numFmt numFmtId="179" formatCode="0.0_ "/>
    <numFmt numFmtId="180" formatCode="0&quot; 箱&quot;"/>
    <numFmt numFmtId="181" formatCode="0.0&quot; 時間&quot;"/>
    <numFmt numFmtId="182" formatCode="yyyy/m/d\ h:mm:ss"/>
    <numFmt numFmtId="183" formatCode="m/d;@"/>
  </numFmts>
  <fonts count="17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4"/>
      <color rgb="FF00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6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b/>
      <sz val="1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64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4" fillId="0" borderId="0">
      <alignment vertical="center"/>
    </xf>
  </cellStyleXfs>
  <cellXfs count="77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177" fontId="0" fillId="0" borderId="6" xfId="0" applyNumberFormat="1" applyBorder="1">
      <alignment vertical="center"/>
    </xf>
    <xf numFmtId="177" fontId="0" fillId="0" borderId="7" xfId="0" applyNumberFormat="1" applyBorder="1">
      <alignment vertical="center"/>
    </xf>
    <xf numFmtId="0" fontId="5" fillId="0" borderId="0" xfId="0" applyFont="1" applyAlignment="1">
      <alignment horizontal="right" vertical="center"/>
    </xf>
    <xf numFmtId="0" fontId="0" fillId="2" borderId="8" xfId="0" applyFill="1" applyBorder="1" applyAlignment="1">
      <alignment horizontal="center" vertical="center"/>
    </xf>
    <xf numFmtId="177" fontId="6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3" fillId="2" borderId="9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9" fillId="0" borderId="0" xfId="1" applyFont="1">
      <alignment vertical="center"/>
    </xf>
    <xf numFmtId="0" fontId="7" fillId="0" borderId="0" xfId="1" applyFont="1">
      <alignment vertical="center"/>
    </xf>
    <xf numFmtId="0" fontId="9" fillId="0" borderId="0" xfId="1" applyFont="1" applyAlignment="1">
      <alignment horizontal="right" vertical="center"/>
    </xf>
    <xf numFmtId="0" fontId="9" fillId="2" borderId="13" xfId="1" applyFont="1" applyFill="1" applyBorder="1" applyAlignment="1">
      <alignment horizontal="center" vertical="center"/>
    </xf>
    <xf numFmtId="14" fontId="9" fillId="0" borderId="0" xfId="1" applyNumberFormat="1" applyFont="1">
      <alignment vertical="center"/>
    </xf>
    <xf numFmtId="0" fontId="9" fillId="2" borderId="13" xfId="1" applyFont="1" applyFill="1" applyBorder="1">
      <alignment vertical="center"/>
    </xf>
    <xf numFmtId="0" fontId="9" fillId="2" borderId="13" xfId="1" applyFont="1" applyFill="1" applyBorder="1" applyAlignment="1">
      <alignment horizontal="center" vertical="center" wrapText="1"/>
    </xf>
    <xf numFmtId="0" fontId="9" fillId="0" borderId="3" xfId="1" applyFont="1" applyBorder="1">
      <alignment vertical="center"/>
    </xf>
    <xf numFmtId="177" fontId="9" fillId="0" borderId="5" xfId="1" applyNumberFormat="1" applyFont="1" applyBorder="1">
      <alignment vertical="center"/>
    </xf>
    <xf numFmtId="177" fontId="9" fillId="0" borderId="4" xfId="1" applyNumberFormat="1" applyFont="1" applyBorder="1">
      <alignment vertical="center"/>
    </xf>
    <xf numFmtId="179" fontId="9" fillId="0" borderId="5" xfId="1" applyNumberFormat="1" applyFont="1" applyBorder="1">
      <alignment vertical="center"/>
    </xf>
    <xf numFmtId="0" fontId="9" fillId="0" borderId="8" xfId="1" applyFont="1" applyBorder="1">
      <alignment vertical="center"/>
    </xf>
    <xf numFmtId="177" fontId="9" fillId="0" borderId="6" xfId="1" applyNumberFormat="1" applyFont="1" applyBorder="1">
      <alignment vertical="center"/>
    </xf>
    <xf numFmtId="177" fontId="9" fillId="0" borderId="1" xfId="1" applyNumberFormat="1" applyFont="1" applyBorder="1">
      <alignment vertical="center"/>
    </xf>
    <xf numFmtId="179" fontId="9" fillId="0" borderId="6" xfId="1" applyNumberFormat="1" applyFont="1" applyBorder="1">
      <alignment vertical="center"/>
    </xf>
    <xf numFmtId="14" fontId="9" fillId="0" borderId="13" xfId="1" applyNumberFormat="1" applyFont="1" applyBorder="1">
      <alignment vertical="center"/>
    </xf>
    <xf numFmtId="0" fontId="9" fillId="0" borderId="13" xfId="1" applyFont="1" applyBorder="1">
      <alignment vertical="center"/>
    </xf>
    <xf numFmtId="0" fontId="9" fillId="2" borderId="14" xfId="1" applyFont="1" applyFill="1" applyBorder="1" applyAlignment="1">
      <alignment horizontal="center" vertical="center"/>
    </xf>
    <xf numFmtId="0" fontId="9" fillId="0" borderId="15" xfId="1" applyFont="1" applyBorder="1">
      <alignment vertical="center"/>
    </xf>
    <xf numFmtId="177" fontId="9" fillId="0" borderId="16" xfId="1" applyNumberFormat="1" applyFont="1" applyBorder="1">
      <alignment vertical="center"/>
    </xf>
    <xf numFmtId="177" fontId="9" fillId="0" borderId="17" xfId="1" applyNumberFormat="1" applyFont="1" applyBorder="1">
      <alignment vertical="center"/>
    </xf>
    <xf numFmtId="179" fontId="9" fillId="0" borderId="16" xfId="1" applyNumberFormat="1" applyFont="1" applyBorder="1">
      <alignment vertical="center"/>
    </xf>
    <xf numFmtId="0" fontId="9" fillId="2" borderId="11" xfId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right" vertical="center"/>
    </xf>
    <xf numFmtId="180" fontId="9" fillId="0" borderId="2" xfId="1" applyNumberFormat="1" applyFont="1" applyBorder="1">
      <alignment vertical="center"/>
    </xf>
    <xf numFmtId="181" fontId="9" fillId="0" borderId="2" xfId="1" applyNumberFormat="1" applyFont="1" applyBorder="1">
      <alignment vertical="center"/>
    </xf>
    <xf numFmtId="181" fontId="9" fillId="0" borderId="7" xfId="1" applyNumberFormat="1" applyFont="1" applyBorder="1">
      <alignment vertical="center"/>
    </xf>
    <xf numFmtId="0" fontId="9" fillId="0" borderId="13" xfId="1" applyFont="1" applyBorder="1" applyAlignment="1">
      <alignment horizontal="right" vertical="center"/>
    </xf>
    <xf numFmtId="0" fontId="9" fillId="0" borderId="0" xfId="1" applyNumberFormat="1" applyFont="1">
      <alignment vertical="center"/>
    </xf>
    <xf numFmtId="0" fontId="8" fillId="0" borderId="0" xfId="1">
      <alignment vertical="center"/>
    </xf>
    <xf numFmtId="0" fontId="0" fillId="2" borderId="14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>
      <alignment vertical="center"/>
    </xf>
    <xf numFmtId="0" fontId="9" fillId="4" borderId="13" xfId="1" applyFont="1" applyFill="1" applyBorder="1">
      <alignment vertical="center"/>
    </xf>
    <xf numFmtId="0" fontId="8" fillId="4" borderId="0" xfId="1" applyFont="1" applyFill="1">
      <alignment vertical="center"/>
    </xf>
    <xf numFmtId="178" fontId="7" fillId="3" borderId="0" xfId="1" applyNumberFormat="1" applyFont="1" applyFill="1" applyAlignment="1" applyProtection="1">
      <alignment vertical="center" shrinkToFit="1"/>
      <protection locked="0"/>
    </xf>
    <xf numFmtId="176" fontId="4" fillId="3" borderId="0" xfId="0" applyNumberFormat="1" applyFont="1" applyFill="1" applyAlignment="1" applyProtection="1">
      <alignment horizontal="center" vertical="center"/>
      <protection locked="0"/>
    </xf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 wrapText="1"/>
    </xf>
    <xf numFmtId="179" fontId="6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176" fontId="5" fillId="6" borderId="13" xfId="0" applyNumberFormat="1" applyFont="1" applyFill="1" applyBorder="1" applyAlignment="1" applyProtection="1">
      <alignment horizontal="center" vertical="center"/>
      <protection locked="0"/>
    </xf>
    <xf numFmtId="183" fontId="0" fillId="0" borderId="0" xfId="0" applyNumberFormat="1">
      <alignment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0" fontId="9" fillId="2" borderId="13" xfId="1" applyFont="1" applyFill="1" applyBorder="1" applyAlignment="1">
      <alignment vertical="center"/>
    </xf>
    <xf numFmtId="180" fontId="9" fillId="0" borderId="13" xfId="1" applyNumberFormat="1" applyFont="1" applyBorder="1" applyAlignment="1">
      <alignment vertical="center"/>
    </xf>
    <xf numFmtId="0" fontId="9" fillId="2" borderId="13" xfId="1" applyFont="1" applyFill="1" applyBorder="1" applyAlignment="1">
      <alignment horizontal="center"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8" fillId="2" borderId="13" xfId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3" xfId="2" xr:uid="{F8A0A325-C91D-4248-B923-886C8FA9530E}"/>
    <cellStyle name="標準 4" xfId="3" xr:uid="{DB21131F-032B-40BA-B76D-E785D4B60C49}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2</xdr:row>
          <xdr:rowOff>66675</xdr:rowOff>
        </xdr:from>
        <xdr:to>
          <xdr:col>9</xdr:col>
          <xdr:colOff>828675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1276350</xdr:colOff>
          <xdr:row>0</xdr:row>
          <xdr:rowOff>85725</xdr:rowOff>
        </xdr:from>
        <xdr:to>
          <xdr:col>9</xdr:col>
          <xdr:colOff>66675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47625</xdr:rowOff>
        </xdr:from>
        <xdr:to>
          <xdr:col>5</xdr:col>
          <xdr:colOff>1019175</xdr:colOff>
          <xdr:row>6</xdr:row>
          <xdr:rowOff>304800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DB&#12501;&#12449;&#12452;&#12523;&#34920;&#3103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使い方"/>
      <sheetName val="項目TB"/>
      <sheetName val="抽出"/>
      <sheetName val="抽出結果"/>
      <sheetName val="Table登録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B1:AD116"/>
  <sheetViews>
    <sheetView showGridLines="0" tabSelected="1"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H3" sqref="H3"/>
    </sheetView>
  </sheetViews>
  <sheetFormatPr defaultRowHeight="14.25" x14ac:dyDescent="0.15"/>
  <cols>
    <col min="1" max="1" width="1.375" style="50" customWidth="1"/>
    <col min="2" max="2" width="7.875" style="50" customWidth="1"/>
    <col min="3" max="3" width="22.5" style="50" customWidth="1"/>
    <col min="4" max="4" width="10.625" style="50" customWidth="1"/>
    <col min="5" max="5" width="22.5" style="50" customWidth="1"/>
    <col min="6" max="6" width="10.625" style="50" customWidth="1"/>
    <col min="7" max="7" width="11.5" style="50" customWidth="1"/>
    <col min="8" max="8" width="22.5" style="50" customWidth="1"/>
    <col min="9" max="9" width="10.625" style="50" customWidth="1"/>
    <col min="10" max="10" width="11.5" style="50" customWidth="1"/>
    <col min="11" max="11" width="5.625" style="50" customWidth="1"/>
    <col min="12" max="12" width="6.125" style="50" customWidth="1"/>
    <col min="13" max="13" width="0" style="50" hidden="1" customWidth="1"/>
    <col min="14" max="14" width="12.625" style="50" hidden="1" customWidth="1"/>
    <col min="15" max="15" width="10.625" style="50" hidden="1" customWidth="1"/>
    <col min="16" max="29" width="0" style="50" hidden="1" customWidth="1"/>
    <col min="30" max="16384" width="9" style="50"/>
  </cols>
  <sheetData>
    <row r="1" spans="2:30" s="21" customFormat="1" ht="5.25" customHeight="1" x14ac:dyDescent="0.15"/>
    <row r="2" spans="2:30" s="21" customFormat="1" ht="18" hidden="1" customHeight="1" x14ac:dyDescent="0.15"/>
    <row r="3" spans="2:30" s="21" customFormat="1" ht="26.25" customHeight="1" x14ac:dyDescent="0.15">
      <c r="B3" s="21" t="s">
        <v>47</v>
      </c>
      <c r="C3" s="22" t="s">
        <v>15</v>
      </c>
      <c r="G3" s="23" t="s">
        <v>16</v>
      </c>
      <c r="H3" s="57"/>
      <c r="K3" s="23" t="s">
        <v>46</v>
      </c>
    </row>
    <row r="4" spans="2:30" s="21" customFormat="1" ht="12" x14ac:dyDescent="0.15"/>
    <row r="5" spans="2:30" s="21" customFormat="1" ht="21" customHeight="1" x14ac:dyDescent="0.15">
      <c r="B5" s="69" t="s">
        <v>17</v>
      </c>
      <c r="C5" s="70" t="s">
        <v>18</v>
      </c>
      <c r="D5" s="71"/>
      <c r="E5" s="70" t="s">
        <v>19</v>
      </c>
      <c r="F5" s="72"/>
      <c r="G5" s="71"/>
      <c r="H5" s="70" t="s">
        <v>20</v>
      </c>
      <c r="I5" s="72"/>
      <c r="J5" s="71"/>
      <c r="M5" s="21" t="s">
        <v>21</v>
      </c>
      <c r="N5" s="25">
        <f ca="1">TODAY()</f>
        <v>44050</v>
      </c>
      <c r="P5" s="56" t="str">
        <f>YEAR(H3) &amp; RIGHT("00" &amp;  MONTH(H3),2) &amp; RIGHT("00" &amp; DAY(H3),2)</f>
        <v>19000100</v>
      </c>
    </row>
    <row r="6" spans="2:30" s="21" customFormat="1" ht="12" hidden="1" customHeight="1" x14ac:dyDescent="0.15">
      <c r="B6" s="69"/>
      <c r="C6" s="26"/>
      <c r="D6" s="26"/>
      <c r="E6" s="26"/>
      <c r="F6" s="26"/>
      <c r="G6" s="26"/>
      <c r="H6" s="26"/>
      <c r="I6" s="26"/>
      <c r="J6" s="26"/>
    </row>
    <row r="7" spans="2:30" s="21" customFormat="1" ht="24" customHeight="1" x14ac:dyDescent="0.15">
      <c r="B7" s="69"/>
      <c r="C7" s="24" t="s">
        <v>22</v>
      </c>
      <c r="D7" s="24" t="s">
        <v>23</v>
      </c>
      <c r="E7" s="24" t="s">
        <v>22</v>
      </c>
      <c r="F7" s="24" t="s">
        <v>23</v>
      </c>
      <c r="G7" s="27" t="s">
        <v>24</v>
      </c>
      <c r="H7" s="24" t="s">
        <v>22</v>
      </c>
      <c r="I7" s="24" t="s">
        <v>23</v>
      </c>
      <c r="J7" s="27" t="s">
        <v>24</v>
      </c>
      <c r="M7" s="67" t="s">
        <v>25</v>
      </c>
      <c r="N7" s="67" t="s">
        <v>26</v>
      </c>
      <c r="O7" s="67"/>
      <c r="P7" s="67"/>
      <c r="Q7" s="67" t="s">
        <v>27</v>
      </c>
      <c r="R7" s="67"/>
      <c r="T7" s="50" t="s">
        <v>36</v>
      </c>
      <c r="U7" s="50" t="s">
        <v>37</v>
      </c>
      <c r="V7" s="50" t="s">
        <v>38</v>
      </c>
      <c r="W7" s="50" t="s">
        <v>39</v>
      </c>
      <c r="X7" s="50" t="s">
        <v>40</v>
      </c>
      <c r="Y7" s="50" t="s">
        <v>41</v>
      </c>
      <c r="Z7" s="50" t="s">
        <v>42</v>
      </c>
      <c r="AA7" s="50" t="s">
        <v>43</v>
      </c>
      <c r="AB7" s="50" t="s">
        <v>44</v>
      </c>
      <c r="AC7" s="50" t="s">
        <v>45</v>
      </c>
      <c r="AD7" s="50"/>
    </row>
    <row r="8" spans="2:30" s="21" customFormat="1" ht="21" customHeight="1" x14ac:dyDescent="0.15">
      <c r="B8" s="24">
        <v>1</v>
      </c>
      <c r="C8" s="28"/>
      <c r="D8" s="29"/>
      <c r="E8" s="28"/>
      <c r="F8" s="30"/>
      <c r="G8" s="31"/>
      <c r="H8" s="28"/>
      <c r="I8" s="30"/>
      <c r="J8" s="31"/>
      <c r="M8" s="73"/>
      <c r="N8" s="26" t="s">
        <v>28</v>
      </c>
      <c r="O8" s="26" t="s">
        <v>29</v>
      </c>
      <c r="P8" s="26" t="s">
        <v>30</v>
      </c>
      <c r="Q8" s="26" t="s">
        <v>29</v>
      </c>
      <c r="R8" s="26" t="s">
        <v>30</v>
      </c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2:30" s="21" customFormat="1" ht="21" customHeight="1" x14ac:dyDescent="0.15">
      <c r="B9" s="24">
        <v>2</v>
      </c>
      <c r="C9" s="32"/>
      <c r="D9" s="33"/>
      <c r="E9" s="32"/>
      <c r="F9" s="34"/>
      <c r="G9" s="35"/>
      <c r="H9" s="32"/>
      <c r="I9" s="34"/>
      <c r="J9" s="35"/>
      <c r="M9" s="26" t="s">
        <v>31</v>
      </c>
      <c r="N9" s="36">
        <v>44019</v>
      </c>
      <c r="O9" s="37">
        <v>1208</v>
      </c>
      <c r="P9" s="37">
        <v>1798</v>
      </c>
      <c r="Q9" s="55">
        <f ca="1">ROUND(Ric2V*0.5^((N5-Ric2T)/1921)+0.0004,0)</f>
        <v>1195</v>
      </c>
      <c r="R9" s="55">
        <f ca="1">ROUND(Ric2HP*Today2V/Ric2V,0)</f>
        <v>1779</v>
      </c>
      <c r="T9" s="50"/>
      <c r="U9" s="50"/>
      <c r="V9" s="50"/>
      <c r="W9" s="50"/>
      <c r="X9" s="50"/>
      <c r="Y9" s="50"/>
      <c r="Z9" s="50"/>
      <c r="AA9" s="50"/>
      <c r="AB9" s="50"/>
      <c r="AC9" s="50"/>
    </row>
    <row r="10" spans="2:30" s="21" customFormat="1" ht="21" customHeight="1" x14ac:dyDescent="0.15">
      <c r="B10" s="24">
        <v>3</v>
      </c>
      <c r="C10" s="32"/>
      <c r="D10" s="33"/>
      <c r="E10" s="32"/>
      <c r="F10" s="34"/>
      <c r="G10" s="35"/>
      <c r="H10" s="32"/>
      <c r="I10" s="34"/>
      <c r="J10" s="35"/>
      <c r="M10" s="26" t="s">
        <v>32</v>
      </c>
      <c r="N10" s="36">
        <v>43746</v>
      </c>
      <c r="O10" s="37">
        <v>281</v>
      </c>
      <c r="P10" s="37">
        <v>295</v>
      </c>
      <c r="Q10" s="55">
        <f ca="1">ROUND(Ric3M/(0.5^((N5-Ric3T)/1921)+0.0004),0)</f>
        <v>313</v>
      </c>
      <c r="R10" s="55">
        <f ca="1">ROUND(Ric3PP*Ric3M/Today3M,0)</f>
        <v>265</v>
      </c>
      <c r="T10" s="50"/>
      <c r="U10" s="50"/>
      <c r="V10" s="50"/>
      <c r="W10" s="50"/>
      <c r="X10" s="50"/>
      <c r="Y10" s="50"/>
      <c r="Z10" s="50"/>
      <c r="AA10" s="50"/>
      <c r="AB10" s="50"/>
      <c r="AC10" s="50"/>
    </row>
    <row r="11" spans="2:30" s="21" customFormat="1" ht="21" customHeight="1" x14ac:dyDescent="0.15">
      <c r="B11" s="24">
        <v>4</v>
      </c>
      <c r="C11" s="32"/>
      <c r="D11" s="33"/>
      <c r="E11" s="32"/>
      <c r="F11" s="34"/>
      <c r="G11" s="35"/>
      <c r="H11" s="32"/>
      <c r="I11" s="34"/>
      <c r="J11" s="35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2:30" s="21" customFormat="1" ht="21" customHeight="1" x14ac:dyDescent="0.15">
      <c r="B12" s="24">
        <v>5</v>
      </c>
      <c r="C12" s="32"/>
      <c r="D12" s="33"/>
      <c r="E12" s="32"/>
      <c r="F12" s="34"/>
      <c r="G12" s="35"/>
      <c r="H12" s="32"/>
      <c r="I12" s="34"/>
      <c r="J12" s="35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2:30" s="21" customFormat="1" ht="21" customHeight="1" x14ac:dyDescent="0.15">
      <c r="B13" s="24">
        <v>6</v>
      </c>
      <c r="C13" s="32"/>
      <c r="D13" s="33"/>
      <c r="E13" s="32"/>
      <c r="F13" s="34"/>
      <c r="G13" s="35"/>
      <c r="H13" s="32"/>
      <c r="I13" s="34"/>
      <c r="J13" s="35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2:30" s="21" customFormat="1" ht="21" customHeight="1" x14ac:dyDescent="0.15">
      <c r="B14" s="24">
        <v>7</v>
      </c>
      <c r="C14" s="32"/>
      <c r="D14" s="33"/>
      <c r="E14" s="32"/>
      <c r="F14" s="34"/>
      <c r="G14" s="35"/>
      <c r="H14" s="32"/>
      <c r="I14" s="34"/>
      <c r="J14" s="35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2:30" s="21" customFormat="1" ht="21" customHeight="1" x14ac:dyDescent="0.15">
      <c r="B15" s="24">
        <v>8</v>
      </c>
      <c r="C15" s="32"/>
      <c r="D15" s="33"/>
      <c r="E15" s="32"/>
      <c r="F15" s="34"/>
      <c r="G15" s="35"/>
      <c r="H15" s="32"/>
      <c r="I15" s="34"/>
      <c r="J15" s="35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2:30" s="21" customFormat="1" ht="21" customHeight="1" x14ac:dyDescent="0.15">
      <c r="B16" s="24">
        <v>9</v>
      </c>
      <c r="C16" s="32"/>
      <c r="D16" s="33"/>
      <c r="E16" s="32"/>
      <c r="F16" s="34"/>
      <c r="G16" s="35"/>
      <c r="H16" s="32"/>
      <c r="I16" s="34"/>
      <c r="J16" s="35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2:29" s="21" customFormat="1" ht="21" customHeight="1" x14ac:dyDescent="0.15">
      <c r="B17" s="24">
        <v>10</v>
      </c>
      <c r="C17" s="32"/>
      <c r="D17" s="33"/>
      <c r="E17" s="32"/>
      <c r="F17" s="34"/>
      <c r="G17" s="35"/>
      <c r="H17" s="32"/>
      <c r="I17" s="34"/>
      <c r="J17" s="35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2:29" s="21" customFormat="1" ht="21" customHeight="1" x14ac:dyDescent="0.15">
      <c r="B18" s="24">
        <v>11</v>
      </c>
      <c r="C18" s="32"/>
      <c r="D18" s="33"/>
      <c r="E18" s="32"/>
      <c r="F18" s="34"/>
      <c r="G18" s="35"/>
      <c r="H18" s="32"/>
      <c r="I18" s="34"/>
      <c r="J18" s="35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2:29" s="21" customFormat="1" ht="21" customHeight="1" x14ac:dyDescent="0.15">
      <c r="B19" s="24">
        <v>12</v>
      </c>
      <c r="C19" s="32"/>
      <c r="D19" s="33"/>
      <c r="E19" s="32"/>
      <c r="F19" s="34"/>
      <c r="G19" s="35"/>
      <c r="H19" s="32"/>
      <c r="I19" s="34"/>
      <c r="J19" s="35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2:29" s="21" customFormat="1" ht="21" customHeight="1" x14ac:dyDescent="0.15">
      <c r="B20" s="24">
        <v>13</v>
      </c>
      <c r="C20" s="32"/>
      <c r="D20" s="33"/>
      <c r="E20" s="32"/>
      <c r="F20" s="34"/>
      <c r="G20" s="35"/>
      <c r="H20" s="32"/>
      <c r="I20" s="34"/>
      <c r="J20" s="35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2:29" s="21" customFormat="1" ht="21" customHeight="1" x14ac:dyDescent="0.15">
      <c r="B21" s="24">
        <v>14</v>
      </c>
      <c r="C21" s="32"/>
      <c r="D21" s="33"/>
      <c r="E21" s="32"/>
      <c r="F21" s="34"/>
      <c r="G21" s="35"/>
      <c r="H21" s="32"/>
      <c r="I21" s="34"/>
      <c r="J21" s="35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2:29" s="21" customFormat="1" ht="21" customHeight="1" x14ac:dyDescent="0.15">
      <c r="B22" s="24">
        <v>15</v>
      </c>
      <c r="C22" s="32"/>
      <c r="D22" s="33"/>
      <c r="E22" s="32"/>
      <c r="F22" s="34"/>
      <c r="G22" s="35"/>
      <c r="H22" s="32"/>
      <c r="I22" s="34"/>
      <c r="J22" s="35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2:29" s="21" customFormat="1" ht="21" customHeight="1" x14ac:dyDescent="0.15">
      <c r="B23" s="24">
        <v>16</v>
      </c>
      <c r="C23" s="32"/>
      <c r="D23" s="33"/>
      <c r="E23" s="32"/>
      <c r="F23" s="34"/>
      <c r="G23" s="35"/>
      <c r="H23" s="32"/>
      <c r="I23" s="34"/>
      <c r="J23" s="35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2:29" s="21" customFormat="1" ht="21" customHeight="1" x14ac:dyDescent="0.15">
      <c r="B24" s="24">
        <v>17</v>
      </c>
      <c r="C24" s="32"/>
      <c r="D24" s="33"/>
      <c r="E24" s="32"/>
      <c r="F24" s="34"/>
      <c r="G24" s="35"/>
      <c r="H24" s="32"/>
      <c r="I24" s="34"/>
      <c r="J24" s="35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2:29" s="21" customFormat="1" ht="21" customHeight="1" x14ac:dyDescent="0.15">
      <c r="B25" s="24">
        <v>18</v>
      </c>
      <c r="C25" s="32"/>
      <c r="D25" s="33"/>
      <c r="E25" s="32"/>
      <c r="F25" s="34"/>
      <c r="G25" s="35"/>
      <c r="H25" s="32"/>
      <c r="I25" s="34"/>
      <c r="J25" s="35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2:29" s="21" customFormat="1" ht="21" customHeight="1" x14ac:dyDescent="0.15">
      <c r="B26" s="24">
        <v>19</v>
      </c>
      <c r="C26" s="32"/>
      <c r="D26" s="33"/>
      <c r="E26" s="32"/>
      <c r="F26" s="34"/>
      <c r="G26" s="35"/>
      <c r="H26" s="32"/>
      <c r="I26" s="34"/>
      <c r="J26" s="35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2:29" s="21" customFormat="1" ht="21" customHeight="1" x14ac:dyDescent="0.15">
      <c r="B27" s="24">
        <v>20</v>
      </c>
      <c r="C27" s="32"/>
      <c r="D27" s="33"/>
      <c r="E27" s="32"/>
      <c r="F27" s="34"/>
      <c r="G27" s="35"/>
      <c r="H27" s="32"/>
      <c r="I27" s="34"/>
      <c r="J27" s="35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2:29" s="21" customFormat="1" ht="21" customHeight="1" x14ac:dyDescent="0.15">
      <c r="B28" s="38" t="s">
        <v>33</v>
      </c>
      <c r="C28" s="39"/>
      <c r="D28" s="40"/>
      <c r="E28" s="39"/>
      <c r="F28" s="41"/>
      <c r="G28" s="42"/>
      <c r="H28" s="39"/>
      <c r="I28" s="41"/>
      <c r="J28" s="42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2:29" s="21" customFormat="1" ht="21" customHeight="1" x14ac:dyDescent="0.15">
      <c r="B29" s="43"/>
      <c r="C29" s="44" t="s">
        <v>34</v>
      </c>
      <c r="D29" s="45">
        <f>SUM(D8:D28)</f>
        <v>0</v>
      </c>
      <c r="E29" s="44" t="s">
        <v>34</v>
      </c>
      <c r="F29" s="45">
        <f>SUM(F8:F28)</f>
        <v>0</v>
      </c>
      <c r="G29" s="46">
        <f>SUM(G8:G28)</f>
        <v>0</v>
      </c>
      <c r="H29" s="44" t="s">
        <v>34</v>
      </c>
      <c r="I29" s="45">
        <f>SUM(I8:I28)</f>
        <v>0</v>
      </c>
      <c r="J29" s="47">
        <f>SUM(J8:J28)</f>
        <v>0</v>
      </c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2:29" s="21" customFormat="1" ht="18" customHeight="1" x14ac:dyDescent="0.15">
      <c r="H30" s="48" t="s">
        <v>35</v>
      </c>
      <c r="I30" s="68">
        <f>D29+F29+I29</f>
        <v>0</v>
      </c>
      <c r="J30" s="68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2:29" s="21" customFormat="1" x14ac:dyDescent="0.15"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2:29" s="21" customFormat="1" x14ac:dyDescent="0.15">
      <c r="G32" s="49"/>
      <c r="J32" s="49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20:29" s="21" customFormat="1" x14ac:dyDescent="0.15"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20:29" s="21" customFormat="1" x14ac:dyDescent="0.15"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20:29" s="21" customFormat="1" x14ac:dyDescent="0.15"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20:29" s="21" customFormat="1" x14ac:dyDescent="0.15"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20:29" s="21" customFormat="1" x14ac:dyDescent="0.15"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20:29" s="21" customFormat="1" x14ac:dyDescent="0.15"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20:29" s="21" customFormat="1" x14ac:dyDescent="0.15"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20:29" s="21" customFormat="1" x14ac:dyDescent="0.15"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20:29" s="21" customFormat="1" x14ac:dyDescent="0.15"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20:29" s="21" customFormat="1" x14ac:dyDescent="0.15"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20:29" s="21" customFormat="1" x14ac:dyDescent="0.15"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20:29" s="21" customFormat="1" x14ac:dyDescent="0.15"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20:29" s="21" customFormat="1" x14ac:dyDescent="0.15"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20:29" s="21" customFormat="1" x14ac:dyDescent="0.15"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20:29" s="21" customFormat="1" x14ac:dyDescent="0.15"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20:29" s="21" customFormat="1" x14ac:dyDescent="0.15"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20:29" s="21" customFormat="1" x14ac:dyDescent="0.15"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20:29" s="21" customFormat="1" x14ac:dyDescent="0.15"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20:29" s="21" customFormat="1" x14ac:dyDescent="0.15"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20:29" s="21" customFormat="1" x14ac:dyDescent="0.15"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20:29" s="21" customFormat="1" x14ac:dyDescent="0.15"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20:29" s="21" customFormat="1" x14ac:dyDescent="0.15"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20:29" s="21" customFormat="1" x14ac:dyDescent="0.15"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20:29" s="21" customFormat="1" x14ac:dyDescent="0.15"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20:29" s="21" customFormat="1" x14ac:dyDescent="0.15"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20:29" s="21" customFormat="1" x14ac:dyDescent="0.15"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20:29" s="21" customFormat="1" x14ac:dyDescent="0.15"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20:29" s="21" customFormat="1" x14ac:dyDescent="0.15"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20:29" s="21" customFormat="1" x14ac:dyDescent="0.15"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20:29" s="21" customFormat="1" x14ac:dyDescent="0.15"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20:29" s="21" customFormat="1" x14ac:dyDescent="0.15"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20:29" s="21" customFormat="1" x14ac:dyDescent="0.15"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20:29" s="21" customFormat="1" x14ac:dyDescent="0.15"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20:29" s="21" customFormat="1" x14ac:dyDescent="0.15"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20:29" s="21" customFormat="1" x14ac:dyDescent="0.15"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20:29" s="21" customFormat="1" x14ac:dyDescent="0.15"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20:29" s="21" customFormat="1" x14ac:dyDescent="0.15"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20:29" s="21" customFormat="1" x14ac:dyDescent="0.15"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20:29" s="21" customFormat="1" x14ac:dyDescent="0.15"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20:29" s="21" customFormat="1" x14ac:dyDescent="0.15"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20:29" s="21" customFormat="1" x14ac:dyDescent="0.15"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20:29" s="21" customFormat="1" x14ac:dyDescent="0.15"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20:29" s="21" customFormat="1" x14ac:dyDescent="0.15">
      <c r="T75" s="50"/>
      <c r="U75" s="50"/>
      <c r="V75" s="50"/>
      <c r="W75" s="50"/>
      <c r="X75" s="50"/>
      <c r="Y75" s="50"/>
      <c r="Z75" s="50"/>
      <c r="AA75" s="50"/>
      <c r="AB75" s="50"/>
      <c r="AC75" s="50"/>
    </row>
    <row r="76" spans="20:29" s="21" customFormat="1" x14ac:dyDescent="0.15">
      <c r="T76" s="50"/>
      <c r="U76" s="50"/>
      <c r="V76" s="50"/>
      <c r="W76" s="50"/>
      <c r="X76" s="50"/>
      <c r="Y76" s="50"/>
      <c r="Z76" s="50"/>
      <c r="AA76" s="50"/>
      <c r="AB76" s="50"/>
      <c r="AC76" s="50"/>
    </row>
    <row r="77" spans="20:29" s="21" customFormat="1" x14ac:dyDescent="0.15">
      <c r="T77" s="50"/>
      <c r="U77" s="50"/>
      <c r="V77" s="50"/>
      <c r="W77" s="50"/>
      <c r="X77" s="50"/>
      <c r="Y77" s="50"/>
      <c r="Z77" s="50"/>
      <c r="AA77" s="50"/>
      <c r="AB77" s="50"/>
      <c r="AC77" s="50"/>
    </row>
    <row r="78" spans="20:29" s="21" customFormat="1" x14ac:dyDescent="0.15">
      <c r="T78" s="50"/>
      <c r="U78" s="50"/>
      <c r="V78" s="50"/>
      <c r="W78" s="50"/>
      <c r="X78" s="50"/>
      <c r="Y78" s="50"/>
      <c r="Z78" s="50"/>
      <c r="AA78" s="50"/>
      <c r="AB78" s="50"/>
      <c r="AC78" s="50"/>
    </row>
    <row r="79" spans="20:29" s="21" customFormat="1" x14ac:dyDescent="0.15">
      <c r="T79" s="50"/>
      <c r="U79" s="50"/>
      <c r="V79" s="50"/>
      <c r="W79" s="50"/>
      <c r="X79" s="50"/>
      <c r="Y79" s="50"/>
      <c r="Z79" s="50"/>
      <c r="AA79" s="50"/>
      <c r="AB79" s="50"/>
      <c r="AC79" s="50"/>
    </row>
    <row r="80" spans="20:29" s="21" customFormat="1" x14ac:dyDescent="0.15">
      <c r="T80" s="50"/>
      <c r="U80" s="50"/>
      <c r="V80" s="50"/>
      <c r="W80" s="50"/>
      <c r="X80" s="50"/>
      <c r="Y80" s="50"/>
      <c r="Z80" s="50"/>
      <c r="AA80" s="50"/>
      <c r="AB80" s="50"/>
      <c r="AC80" s="50"/>
    </row>
    <row r="81" spans="20:29" s="21" customFormat="1" x14ac:dyDescent="0.15">
      <c r="T81" s="50"/>
      <c r="U81" s="50"/>
      <c r="V81" s="50"/>
      <c r="W81" s="50"/>
      <c r="X81" s="50"/>
      <c r="Y81" s="50"/>
      <c r="Z81" s="50"/>
      <c r="AA81" s="50"/>
      <c r="AB81" s="50"/>
      <c r="AC81" s="50"/>
    </row>
    <row r="82" spans="20:29" s="21" customFormat="1" x14ac:dyDescent="0.15">
      <c r="T82" s="50"/>
      <c r="U82" s="50"/>
      <c r="V82" s="50"/>
      <c r="W82" s="50"/>
      <c r="X82" s="50"/>
      <c r="Y82" s="50"/>
      <c r="Z82" s="50"/>
      <c r="AA82" s="50"/>
      <c r="AB82" s="50"/>
      <c r="AC82" s="50"/>
    </row>
    <row r="83" spans="20:29" s="21" customFormat="1" x14ac:dyDescent="0.15">
      <c r="T83" s="50"/>
      <c r="U83" s="50"/>
      <c r="V83" s="50"/>
      <c r="W83" s="50"/>
      <c r="X83" s="50"/>
      <c r="Y83" s="50"/>
      <c r="Z83" s="50"/>
      <c r="AA83" s="50"/>
      <c r="AB83" s="50"/>
      <c r="AC83" s="50"/>
    </row>
    <row r="84" spans="20:29" s="21" customFormat="1" x14ac:dyDescent="0.15">
      <c r="T84" s="50"/>
      <c r="U84" s="50"/>
      <c r="V84" s="50"/>
      <c r="W84" s="50"/>
      <c r="X84" s="50"/>
      <c r="Y84" s="50"/>
      <c r="Z84" s="50"/>
      <c r="AA84" s="50"/>
      <c r="AB84" s="50"/>
      <c r="AC84" s="50"/>
    </row>
    <row r="85" spans="20:29" s="21" customFormat="1" x14ac:dyDescent="0.15">
      <c r="T85" s="50"/>
      <c r="U85" s="50"/>
      <c r="V85" s="50"/>
      <c r="W85" s="50"/>
      <c r="X85" s="50"/>
      <c r="Y85" s="50"/>
      <c r="Z85" s="50"/>
      <c r="AA85" s="50"/>
      <c r="AB85" s="50"/>
      <c r="AC85" s="50"/>
    </row>
    <row r="86" spans="20:29" s="21" customFormat="1" x14ac:dyDescent="0.15">
      <c r="T86" s="50"/>
      <c r="U86" s="50"/>
      <c r="V86" s="50"/>
      <c r="W86" s="50"/>
      <c r="X86" s="50"/>
      <c r="Y86" s="50"/>
      <c r="Z86" s="50"/>
      <c r="AA86" s="50"/>
      <c r="AB86" s="50"/>
      <c r="AC86" s="50"/>
    </row>
    <row r="87" spans="20:29" s="21" customFormat="1" x14ac:dyDescent="0.15">
      <c r="T87" s="50"/>
      <c r="U87" s="50"/>
      <c r="V87" s="50"/>
      <c r="W87" s="50"/>
      <c r="X87" s="50"/>
      <c r="Y87" s="50"/>
      <c r="Z87" s="50"/>
      <c r="AA87" s="50"/>
      <c r="AB87" s="50"/>
      <c r="AC87" s="50"/>
    </row>
    <row r="88" spans="20:29" s="21" customFormat="1" x14ac:dyDescent="0.15">
      <c r="T88" s="50"/>
      <c r="U88" s="50"/>
      <c r="V88" s="50"/>
      <c r="W88" s="50"/>
      <c r="X88" s="50"/>
      <c r="Y88" s="50"/>
      <c r="Z88" s="50"/>
      <c r="AA88" s="50"/>
      <c r="AB88" s="50"/>
      <c r="AC88" s="50"/>
    </row>
    <row r="89" spans="20:29" s="21" customFormat="1" x14ac:dyDescent="0.15">
      <c r="T89" s="50"/>
      <c r="U89" s="50"/>
      <c r="V89" s="50"/>
      <c r="W89" s="50"/>
      <c r="X89" s="50"/>
      <c r="Y89" s="50"/>
      <c r="Z89" s="50"/>
      <c r="AA89" s="50"/>
      <c r="AB89" s="50"/>
      <c r="AC89" s="50"/>
    </row>
    <row r="90" spans="20:29" s="21" customFormat="1" x14ac:dyDescent="0.15">
      <c r="T90" s="50"/>
      <c r="U90" s="50"/>
      <c r="V90" s="50"/>
      <c r="W90" s="50"/>
      <c r="X90" s="50"/>
      <c r="Y90" s="50"/>
      <c r="Z90" s="50"/>
      <c r="AA90" s="50"/>
      <c r="AB90" s="50"/>
      <c r="AC90" s="50"/>
    </row>
    <row r="91" spans="20:29" s="21" customFormat="1" x14ac:dyDescent="0.15">
      <c r="T91" s="50"/>
      <c r="U91" s="50"/>
      <c r="V91" s="50"/>
      <c r="W91" s="50"/>
      <c r="X91" s="50"/>
      <c r="Y91" s="50"/>
      <c r="Z91" s="50"/>
      <c r="AA91" s="50"/>
      <c r="AB91" s="50"/>
      <c r="AC91" s="50"/>
    </row>
    <row r="92" spans="20:29" s="21" customFormat="1" x14ac:dyDescent="0.15">
      <c r="T92" s="50"/>
      <c r="U92" s="50"/>
      <c r="V92" s="50"/>
      <c r="W92" s="50"/>
      <c r="X92" s="50"/>
      <c r="Y92" s="50"/>
      <c r="Z92" s="50"/>
      <c r="AA92" s="50"/>
      <c r="AB92" s="50"/>
      <c r="AC92" s="50"/>
    </row>
    <row r="93" spans="20:29" s="21" customFormat="1" x14ac:dyDescent="0.15">
      <c r="T93" s="50"/>
      <c r="U93" s="50"/>
      <c r="V93" s="50"/>
      <c r="W93" s="50"/>
      <c r="X93" s="50"/>
      <c r="Y93" s="50"/>
      <c r="Z93" s="50"/>
      <c r="AA93" s="50"/>
      <c r="AB93" s="50"/>
      <c r="AC93" s="50"/>
    </row>
    <row r="94" spans="20:29" s="21" customFormat="1" x14ac:dyDescent="0.15">
      <c r="T94" s="50"/>
      <c r="U94" s="50"/>
      <c r="V94" s="50"/>
      <c r="W94" s="50"/>
      <c r="X94" s="50"/>
      <c r="Y94" s="50"/>
      <c r="Z94" s="50"/>
      <c r="AA94" s="50"/>
      <c r="AB94" s="50"/>
      <c r="AC94" s="50"/>
    </row>
    <row r="95" spans="20:29" s="21" customFormat="1" x14ac:dyDescent="0.15">
      <c r="T95" s="50"/>
      <c r="U95" s="50"/>
      <c r="V95" s="50"/>
      <c r="W95" s="50"/>
      <c r="X95" s="50"/>
      <c r="Y95" s="50"/>
      <c r="Z95" s="50"/>
      <c r="AA95" s="50"/>
      <c r="AB95" s="50"/>
      <c r="AC95" s="50"/>
    </row>
    <row r="96" spans="20:29" s="21" customFormat="1" x14ac:dyDescent="0.15">
      <c r="T96" s="50"/>
      <c r="U96" s="50"/>
      <c r="V96" s="50"/>
      <c r="W96" s="50"/>
      <c r="X96" s="50"/>
      <c r="Y96" s="50"/>
      <c r="Z96" s="50"/>
      <c r="AA96" s="50"/>
      <c r="AB96" s="50"/>
      <c r="AC96" s="50"/>
    </row>
    <row r="97" spans="13:29" s="21" customFormat="1" x14ac:dyDescent="0.15">
      <c r="T97" s="50"/>
      <c r="U97" s="50"/>
      <c r="V97" s="50"/>
      <c r="W97" s="50"/>
      <c r="X97" s="50"/>
      <c r="Y97" s="50"/>
      <c r="Z97" s="50"/>
      <c r="AA97" s="50"/>
      <c r="AB97" s="50"/>
      <c r="AC97" s="50"/>
    </row>
    <row r="98" spans="13:29" s="21" customFormat="1" x14ac:dyDescent="0.15">
      <c r="T98" s="50"/>
      <c r="U98" s="50"/>
      <c r="V98" s="50"/>
      <c r="W98" s="50"/>
      <c r="X98" s="50"/>
      <c r="Y98" s="50"/>
      <c r="Z98" s="50"/>
      <c r="AA98" s="50"/>
      <c r="AB98" s="50"/>
      <c r="AC98" s="50"/>
    </row>
    <row r="99" spans="13:29" s="21" customFormat="1" x14ac:dyDescent="0.15">
      <c r="T99" s="50"/>
      <c r="U99" s="50"/>
      <c r="V99" s="50"/>
      <c r="W99" s="50"/>
      <c r="X99" s="50"/>
      <c r="Y99" s="50"/>
      <c r="Z99" s="50"/>
      <c r="AA99" s="50"/>
      <c r="AB99" s="50"/>
      <c r="AC99" s="50"/>
    </row>
    <row r="100" spans="13:29" s="21" customFormat="1" x14ac:dyDescent="0.15">
      <c r="T100" s="50"/>
      <c r="U100" s="50"/>
      <c r="V100" s="50"/>
      <c r="W100" s="50"/>
      <c r="X100" s="50"/>
      <c r="Y100" s="50"/>
      <c r="Z100" s="50"/>
      <c r="AA100" s="50"/>
      <c r="AB100" s="50"/>
      <c r="AC100" s="50"/>
    </row>
    <row r="101" spans="13:29" s="21" customFormat="1" x14ac:dyDescent="0.15">
      <c r="T101" s="50"/>
      <c r="U101" s="50"/>
      <c r="V101" s="50"/>
      <c r="W101" s="50"/>
      <c r="X101" s="50"/>
      <c r="Y101" s="50"/>
      <c r="Z101" s="50"/>
      <c r="AA101" s="50"/>
      <c r="AB101" s="50"/>
      <c r="AC101" s="50"/>
    </row>
    <row r="102" spans="13:29" s="21" customFormat="1" x14ac:dyDescent="0.15">
      <c r="T102" s="50"/>
      <c r="U102" s="50"/>
      <c r="V102" s="50"/>
      <c r="W102" s="50"/>
      <c r="X102" s="50"/>
      <c r="Y102" s="50"/>
      <c r="Z102" s="50"/>
      <c r="AA102" s="50"/>
      <c r="AB102" s="50"/>
      <c r="AC102" s="50"/>
    </row>
    <row r="103" spans="13:29" s="21" customFormat="1" x14ac:dyDescent="0.15">
      <c r="T103" s="50"/>
      <c r="U103" s="50"/>
      <c r="V103" s="50"/>
      <c r="W103" s="50"/>
      <c r="X103" s="50"/>
      <c r="Y103" s="50"/>
      <c r="Z103" s="50"/>
      <c r="AA103" s="50"/>
      <c r="AB103" s="50"/>
      <c r="AC103" s="50"/>
    </row>
    <row r="104" spans="13:29" s="21" customFormat="1" x14ac:dyDescent="0.15">
      <c r="T104" s="50"/>
      <c r="U104" s="50"/>
      <c r="V104" s="50"/>
      <c r="W104" s="50"/>
      <c r="X104" s="50"/>
      <c r="Y104" s="50"/>
      <c r="Z104" s="50"/>
      <c r="AA104" s="50"/>
      <c r="AB104" s="50"/>
      <c r="AC104" s="50"/>
    </row>
    <row r="105" spans="13:29" s="21" customFormat="1" x14ac:dyDescent="0.15">
      <c r="T105" s="50"/>
      <c r="U105" s="50"/>
      <c r="V105" s="50"/>
      <c r="W105" s="50"/>
      <c r="X105" s="50"/>
      <c r="Y105" s="50"/>
      <c r="Z105" s="50"/>
      <c r="AA105" s="50"/>
      <c r="AB105" s="50"/>
      <c r="AC105" s="50"/>
    </row>
    <row r="106" spans="13:29" s="21" customFormat="1" x14ac:dyDescent="0.15">
      <c r="T106" s="50"/>
      <c r="U106" s="50"/>
      <c r="V106" s="50"/>
      <c r="W106" s="50"/>
      <c r="X106" s="50"/>
      <c r="Y106" s="50"/>
      <c r="Z106" s="50"/>
      <c r="AA106" s="50"/>
      <c r="AB106" s="50"/>
      <c r="AC106" s="50"/>
    </row>
    <row r="107" spans="13:29" s="21" customFormat="1" x14ac:dyDescent="0.15">
      <c r="T107" s="50"/>
      <c r="U107" s="50"/>
      <c r="V107" s="50"/>
      <c r="W107" s="50"/>
      <c r="X107" s="50"/>
      <c r="Y107" s="50"/>
      <c r="Z107" s="50"/>
      <c r="AA107" s="50"/>
      <c r="AB107" s="50"/>
      <c r="AC107" s="50"/>
    </row>
    <row r="108" spans="13:29" s="21" customFormat="1" x14ac:dyDescent="0.15">
      <c r="T108" s="50"/>
      <c r="U108" s="50"/>
      <c r="V108" s="50"/>
      <c r="W108" s="50"/>
      <c r="X108" s="50"/>
      <c r="Y108" s="50"/>
      <c r="Z108" s="50"/>
      <c r="AA108" s="50"/>
      <c r="AB108" s="50"/>
      <c r="AC108" s="50"/>
    </row>
    <row r="109" spans="13:29" s="21" customFormat="1" x14ac:dyDescent="0.15">
      <c r="T109" s="50"/>
      <c r="U109" s="50"/>
      <c r="V109" s="50"/>
      <c r="W109" s="50"/>
      <c r="X109" s="50"/>
      <c r="Y109" s="50"/>
      <c r="Z109" s="50"/>
      <c r="AA109" s="50"/>
      <c r="AB109" s="50"/>
      <c r="AC109" s="50"/>
    </row>
    <row r="110" spans="13:29" s="21" customFormat="1" x14ac:dyDescent="0.15">
      <c r="T110" s="50"/>
      <c r="U110" s="50"/>
      <c r="V110" s="50"/>
      <c r="W110" s="50"/>
      <c r="X110" s="50"/>
      <c r="Y110" s="50"/>
      <c r="Z110" s="50"/>
      <c r="AA110" s="50"/>
      <c r="AB110" s="50"/>
      <c r="AC110" s="50"/>
    </row>
    <row r="111" spans="13:29" s="21" customFormat="1" x14ac:dyDescent="0.15">
      <c r="M111" s="50"/>
      <c r="N111" s="50"/>
      <c r="O111" s="50"/>
      <c r="P111" s="50"/>
      <c r="Q111" s="50"/>
      <c r="R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</row>
    <row r="112" spans="13:29" s="21" customFormat="1" x14ac:dyDescent="0.15">
      <c r="M112" s="50"/>
      <c r="N112" s="50"/>
      <c r="O112" s="50"/>
      <c r="P112" s="50"/>
      <c r="Q112" s="50"/>
      <c r="R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</row>
    <row r="113" spans="13:29" s="21" customFormat="1" x14ac:dyDescent="0.15">
      <c r="M113" s="50"/>
      <c r="N113" s="50"/>
      <c r="O113" s="50"/>
      <c r="P113" s="50"/>
      <c r="Q113" s="50"/>
      <c r="R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</row>
    <row r="114" spans="13:29" s="21" customFormat="1" x14ac:dyDescent="0.15">
      <c r="M114" s="50"/>
      <c r="N114" s="50"/>
      <c r="O114" s="50"/>
      <c r="P114" s="50"/>
      <c r="Q114" s="50"/>
      <c r="R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</row>
    <row r="115" spans="13:29" s="21" customFormat="1" x14ac:dyDescent="0.15">
      <c r="M115" s="50"/>
      <c r="N115" s="50"/>
      <c r="O115" s="50"/>
      <c r="P115" s="50"/>
      <c r="Q115" s="50"/>
      <c r="R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</row>
    <row r="116" spans="13:29" s="21" customFormat="1" x14ac:dyDescent="0.15">
      <c r="M116" s="50"/>
      <c r="N116" s="50"/>
      <c r="O116" s="50"/>
      <c r="P116" s="50"/>
      <c r="Q116" s="50"/>
      <c r="R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</row>
  </sheetData>
  <sheetProtection sheet="1" objects="1" scenarios="1" selectLockedCells="1"/>
  <sortState xmlns:xlrd2="http://schemas.microsoft.com/office/spreadsheetml/2017/richdata2" ref="T8:AC118">
    <sortCondition ref="W2"/>
    <sortCondition ref="U2"/>
    <sortCondition ref="V2"/>
  </sortState>
  <mergeCells count="8">
    <mergeCell ref="Q7:R7"/>
    <mergeCell ref="I30:J30"/>
    <mergeCell ref="B5:B7"/>
    <mergeCell ref="C5:D5"/>
    <mergeCell ref="E5:G5"/>
    <mergeCell ref="H5:J5"/>
    <mergeCell ref="M7:M8"/>
    <mergeCell ref="N7:P7"/>
  </mergeCells>
  <phoneticPr fontId="2"/>
  <dataValidations count="1">
    <dataValidation type="date" imeMode="off" allowBlank="1" showInputMessage="1" showErrorMessage="1" sqref="H3" xr:uid="{00000000-0002-0000-0000-000000000000}">
      <formula1>36526</formula1>
      <formula2>401768</formula2>
    </dataValidation>
  </dataValidations>
  <printOptions horizontalCentered="1"/>
  <pageMargins left="0.31496062992125984" right="0.27559055118110237" top="0.68" bottom="0.48" header="0.51181102362204722" footer="0.2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終了">
                <anchor moveWithCells="1" sizeWithCells="1">
                  <from>
                    <xdr:col>9</xdr:col>
                    <xdr:colOff>123825</xdr:colOff>
                    <xdr:row>2</xdr:row>
                    <xdr:rowOff>66675</xdr:rowOff>
                  </from>
                  <to>
                    <xdr:col>9</xdr:col>
                    <xdr:colOff>828675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801"/>
  <sheetViews>
    <sheetView showGridLines="0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D1" sqref="D1"/>
    </sheetView>
  </sheetViews>
  <sheetFormatPr defaultRowHeight="13.5" x14ac:dyDescent="0.15"/>
  <cols>
    <col min="1" max="1" width="6.5" customWidth="1"/>
    <col min="2" max="2" width="4.5" customWidth="1"/>
    <col min="4" max="4" width="22.5" customWidth="1"/>
    <col min="5" max="5" width="9.875" customWidth="1"/>
    <col min="6" max="6" width="3.625" customWidth="1"/>
    <col min="7" max="7" width="4.5" customWidth="1"/>
    <col min="8" max="8" width="8.875" customWidth="1"/>
    <col min="9" max="9" width="22.5" customWidth="1"/>
    <col min="10" max="10" width="10" customWidth="1"/>
    <col min="11" max="11" width="2.125" customWidth="1"/>
    <col min="12" max="12" width="2" customWidth="1"/>
    <col min="14" max="14" width="27.75" hidden="1" customWidth="1"/>
    <col min="15" max="16" width="0" hidden="1" customWidth="1"/>
    <col min="17" max="17" width="3.75" style="17" hidden="1" customWidth="1"/>
    <col min="18" max="19" width="0" hidden="1" customWidth="1"/>
  </cols>
  <sheetData>
    <row r="1" spans="1:52" ht="18" customHeight="1" x14ac:dyDescent="0.15">
      <c r="A1" s="17"/>
      <c r="C1" t="s">
        <v>48</v>
      </c>
      <c r="D1" s="58"/>
      <c r="E1" s="2" t="s">
        <v>13</v>
      </c>
      <c r="F1" s="2"/>
      <c r="L1" s="20"/>
      <c r="N1" s="52" t="e">
        <f>TRIM(VLOOKUP(O1,$R$4:$S$1003,2,FALSE))</f>
        <v>#N/A</v>
      </c>
      <c r="O1" s="16"/>
      <c r="P1" s="16">
        <v>8</v>
      </c>
      <c r="AZ1">
        <v>91</v>
      </c>
    </row>
    <row r="2" spans="1:52" ht="18.75" x14ac:dyDescent="0.15">
      <c r="D2" s="10" t="s">
        <v>9</v>
      </c>
      <c r="E2" s="12">
        <f>SUM(E4:E48)+SUM(J4:J49)</f>
        <v>0</v>
      </c>
      <c r="J2" s="13" t="s">
        <v>10</v>
      </c>
      <c r="O2" s="16"/>
    </row>
    <row r="3" spans="1:52" ht="20.25" customHeight="1" x14ac:dyDescent="0.15">
      <c r="A3" s="1"/>
      <c r="B3" s="5" t="s">
        <v>7</v>
      </c>
      <c r="C3" s="14" t="s">
        <v>14</v>
      </c>
      <c r="D3" s="6" t="s">
        <v>5</v>
      </c>
      <c r="E3" s="7" t="s">
        <v>6</v>
      </c>
      <c r="F3" s="1"/>
      <c r="G3" s="5" t="s">
        <v>8</v>
      </c>
      <c r="H3" s="14" t="s">
        <v>14</v>
      </c>
      <c r="I3" s="6" t="s">
        <v>5</v>
      </c>
      <c r="J3" s="7" t="s">
        <v>6</v>
      </c>
      <c r="N3" s="51" t="e">
        <f t="shared" ref="N3" si="0">TRIM(VLOOKUP(O3,$R$4:$S$1003,2,FALSE))</f>
        <v>#N/A</v>
      </c>
      <c r="O3" s="51" t="s">
        <v>14</v>
      </c>
      <c r="P3" s="51" t="s">
        <v>6</v>
      </c>
      <c r="R3" s="51" t="s">
        <v>14</v>
      </c>
      <c r="S3" s="51" t="s">
        <v>5</v>
      </c>
    </row>
    <row r="4" spans="1:52" ht="16.5" customHeight="1" x14ac:dyDescent="0.15">
      <c r="B4" s="11"/>
      <c r="C4" s="15"/>
      <c r="D4" s="3"/>
      <c r="E4" s="8"/>
      <c r="G4" s="11"/>
      <c r="H4" s="15"/>
      <c r="I4" s="3"/>
      <c r="J4" s="8"/>
      <c r="N4" s="52"/>
      <c r="O4" s="53"/>
      <c r="P4" s="52"/>
      <c r="Q4" s="54"/>
      <c r="R4" s="52"/>
      <c r="S4" s="52"/>
    </row>
    <row r="5" spans="1:52" ht="16.5" customHeight="1" x14ac:dyDescent="0.15">
      <c r="B5" s="11"/>
      <c r="C5" s="15"/>
      <c r="D5" s="3"/>
      <c r="E5" s="8"/>
      <c r="G5" s="11"/>
      <c r="H5" s="15"/>
      <c r="I5" s="3"/>
      <c r="J5" s="8"/>
      <c r="N5" s="52"/>
      <c r="O5" s="53"/>
      <c r="P5" s="52"/>
      <c r="Q5" s="54"/>
      <c r="R5" s="52"/>
      <c r="S5" s="52"/>
    </row>
    <row r="6" spans="1:52" ht="16.5" customHeight="1" x14ac:dyDescent="0.15">
      <c r="B6" s="11"/>
      <c r="C6" s="15"/>
      <c r="D6" s="3"/>
      <c r="E6" s="8"/>
      <c r="G6" s="11"/>
      <c r="H6" s="15"/>
      <c r="I6" s="3"/>
      <c r="J6" s="8"/>
      <c r="N6" s="52"/>
      <c r="O6" s="53"/>
      <c r="P6" s="52"/>
      <c r="Q6" s="54"/>
      <c r="R6" s="52"/>
      <c r="S6" s="52"/>
    </row>
    <row r="7" spans="1:52" ht="16.5" customHeight="1" x14ac:dyDescent="0.15">
      <c r="B7" s="11"/>
      <c r="C7" s="15"/>
      <c r="D7" s="3"/>
      <c r="E7" s="8"/>
      <c r="G7" s="11"/>
      <c r="H7" s="15"/>
      <c r="I7" s="3"/>
      <c r="J7" s="8"/>
      <c r="N7" s="52"/>
      <c r="O7" s="53"/>
      <c r="P7" s="52"/>
      <c r="Q7" s="54"/>
      <c r="R7" s="52"/>
      <c r="S7" s="52"/>
    </row>
    <row r="8" spans="1:52" ht="16.5" customHeight="1" x14ac:dyDescent="0.15">
      <c r="B8" s="11"/>
      <c r="C8" s="15"/>
      <c r="D8" s="3"/>
      <c r="E8" s="8"/>
      <c r="G8" s="11"/>
      <c r="H8" s="15"/>
      <c r="I8" s="3"/>
      <c r="J8" s="8"/>
      <c r="N8" s="52"/>
      <c r="O8" s="53"/>
      <c r="P8" s="52"/>
      <c r="Q8" s="54"/>
      <c r="R8" s="52"/>
      <c r="S8" s="52"/>
    </row>
    <row r="9" spans="1:52" ht="16.5" customHeight="1" x14ac:dyDescent="0.15">
      <c r="B9" s="11"/>
      <c r="C9" s="15"/>
      <c r="D9" s="3"/>
      <c r="E9" s="8"/>
      <c r="G9" s="11"/>
      <c r="H9" s="15"/>
      <c r="I9" s="3"/>
      <c r="J9" s="8"/>
      <c r="N9" s="52"/>
      <c r="O9" s="53"/>
      <c r="P9" s="52"/>
      <c r="Q9" s="54"/>
      <c r="R9" s="52"/>
      <c r="S9" s="52"/>
    </row>
    <row r="10" spans="1:52" ht="16.5" customHeight="1" x14ac:dyDescent="0.15">
      <c r="B10" s="11"/>
      <c r="C10" s="15"/>
      <c r="D10" s="3"/>
      <c r="E10" s="8"/>
      <c r="G10" s="11"/>
      <c r="H10" s="15"/>
      <c r="I10" s="3"/>
      <c r="J10" s="8"/>
      <c r="N10" s="52"/>
      <c r="O10" s="53"/>
      <c r="P10" s="52"/>
      <c r="Q10" s="54"/>
      <c r="R10" s="52"/>
      <c r="S10" s="52"/>
    </row>
    <row r="11" spans="1:52" ht="16.5" customHeight="1" x14ac:dyDescent="0.15">
      <c r="B11" s="11"/>
      <c r="C11" s="15"/>
      <c r="D11" s="3"/>
      <c r="E11" s="8"/>
      <c r="G11" s="11"/>
      <c r="H11" s="15"/>
      <c r="I11" s="3"/>
      <c r="J11" s="8"/>
      <c r="N11" s="52"/>
      <c r="O11" s="53"/>
      <c r="P11" s="52"/>
      <c r="Q11" s="54"/>
      <c r="R11" s="52"/>
      <c r="S11" s="52"/>
    </row>
    <row r="12" spans="1:52" ht="16.5" customHeight="1" x14ac:dyDescent="0.15">
      <c r="B12" s="11"/>
      <c r="C12" s="15"/>
      <c r="D12" s="3"/>
      <c r="E12" s="8"/>
      <c r="G12" s="11"/>
      <c r="H12" s="15"/>
      <c r="I12" s="3"/>
      <c r="J12" s="8"/>
      <c r="N12" s="52"/>
      <c r="O12" s="53"/>
      <c r="P12" s="52"/>
      <c r="Q12" s="54"/>
      <c r="R12" s="52"/>
      <c r="S12" s="52"/>
    </row>
    <row r="13" spans="1:52" ht="16.5" customHeight="1" x14ac:dyDescent="0.15">
      <c r="B13" s="11"/>
      <c r="C13" s="15"/>
      <c r="D13" s="3"/>
      <c r="E13" s="8"/>
      <c r="G13" s="11"/>
      <c r="H13" s="15"/>
      <c r="I13" s="3"/>
      <c r="J13" s="8"/>
      <c r="N13" s="52"/>
      <c r="O13" s="53"/>
      <c r="P13" s="52"/>
      <c r="Q13" s="54"/>
      <c r="R13" s="52"/>
      <c r="S13" s="52"/>
    </row>
    <row r="14" spans="1:52" ht="16.5" customHeight="1" x14ac:dyDescent="0.15">
      <c r="B14" s="11"/>
      <c r="C14" s="15"/>
      <c r="D14" s="3"/>
      <c r="E14" s="8"/>
      <c r="G14" s="11"/>
      <c r="H14" s="15"/>
      <c r="I14" s="3"/>
      <c r="J14" s="8"/>
      <c r="N14" s="52"/>
      <c r="O14" s="53"/>
      <c r="P14" s="52"/>
      <c r="Q14" s="54"/>
      <c r="R14" s="52"/>
      <c r="S14" s="52"/>
    </row>
    <row r="15" spans="1:52" ht="16.5" customHeight="1" x14ac:dyDescent="0.15">
      <c r="B15" s="11"/>
      <c r="C15" s="15"/>
      <c r="D15" s="3"/>
      <c r="E15" s="8"/>
      <c r="G15" s="11"/>
      <c r="H15" s="15"/>
      <c r="I15" s="3"/>
      <c r="J15" s="8"/>
      <c r="N15" s="52"/>
      <c r="O15" s="53"/>
      <c r="P15" s="52"/>
      <c r="Q15" s="54"/>
      <c r="R15" s="52"/>
      <c r="S15" s="52"/>
    </row>
    <row r="16" spans="1:52" ht="16.5" customHeight="1" x14ac:dyDescent="0.15">
      <c r="B16" s="11"/>
      <c r="C16" s="15"/>
      <c r="D16" s="3"/>
      <c r="E16" s="8"/>
      <c r="G16" s="11"/>
      <c r="H16" s="15"/>
      <c r="I16" s="3"/>
      <c r="J16" s="8"/>
      <c r="N16" s="52"/>
      <c r="O16" s="53"/>
      <c r="P16" s="52"/>
      <c r="Q16" s="54"/>
      <c r="R16" s="52"/>
      <c r="S16" s="52"/>
    </row>
    <row r="17" spans="2:19" ht="16.5" customHeight="1" x14ac:dyDescent="0.15">
      <c r="B17" s="11"/>
      <c r="C17" s="15"/>
      <c r="D17" s="3"/>
      <c r="E17" s="8"/>
      <c r="G17" s="11"/>
      <c r="H17" s="15"/>
      <c r="I17" s="3"/>
      <c r="J17" s="8"/>
      <c r="N17" s="52"/>
      <c r="O17" s="53"/>
      <c r="P17" s="52"/>
      <c r="Q17" s="54"/>
      <c r="R17" s="52"/>
      <c r="S17" s="52"/>
    </row>
    <row r="18" spans="2:19" ht="16.5" customHeight="1" x14ac:dyDescent="0.15">
      <c r="B18" s="11"/>
      <c r="C18" s="15"/>
      <c r="D18" s="3"/>
      <c r="E18" s="8"/>
      <c r="G18" s="11"/>
      <c r="H18" s="15"/>
      <c r="I18" s="3"/>
      <c r="J18" s="8"/>
      <c r="N18" s="52"/>
      <c r="O18" s="53"/>
      <c r="P18" s="52"/>
      <c r="Q18" s="54"/>
      <c r="R18" s="52"/>
      <c r="S18" s="52"/>
    </row>
    <row r="19" spans="2:19" ht="16.5" customHeight="1" x14ac:dyDescent="0.15">
      <c r="B19" s="11"/>
      <c r="C19" s="15"/>
      <c r="D19" s="3"/>
      <c r="E19" s="8"/>
      <c r="G19" s="11"/>
      <c r="H19" s="15"/>
      <c r="I19" s="3"/>
      <c r="J19" s="8"/>
      <c r="N19" s="52"/>
      <c r="O19" s="53"/>
      <c r="P19" s="52"/>
      <c r="Q19" s="54"/>
      <c r="R19" s="52"/>
      <c r="S19" s="52"/>
    </row>
    <row r="20" spans="2:19" ht="16.5" customHeight="1" x14ac:dyDescent="0.15">
      <c r="B20" s="11"/>
      <c r="C20" s="15"/>
      <c r="D20" s="3"/>
      <c r="E20" s="8"/>
      <c r="G20" s="11"/>
      <c r="H20" s="15"/>
      <c r="I20" s="3"/>
      <c r="J20" s="8"/>
      <c r="N20" s="52"/>
      <c r="O20" s="53"/>
      <c r="P20" s="52"/>
      <c r="Q20" s="54"/>
      <c r="R20" s="52"/>
      <c r="S20" s="52"/>
    </row>
    <row r="21" spans="2:19" ht="16.5" customHeight="1" x14ac:dyDescent="0.15">
      <c r="B21" s="11"/>
      <c r="C21" s="15"/>
      <c r="D21" s="3"/>
      <c r="E21" s="8"/>
      <c r="G21" s="11"/>
      <c r="H21" s="15"/>
      <c r="I21" s="3"/>
      <c r="J21" s="8"/>
      <c r="N21" s="52"/>
      <c r="O21" s="53"/>
      <c r="P21" s="52"/>
      <c r="Q21" s="54"/>
      <c r="R21" s="52"/>
      <c r="S21" s="52"/>
    </row>
    <row r="22" spans="2:19" ht="16.5" customHeight="1" x14ac:dyDescent="0.15">
      <c r="B22" s="11"/>
      <c r="C22" s="15"/>
      <c r="D22" s="3"/>
      <c r="E22" s="8"/>
      <c r="G22" s="11"/>
      <c r="H22" s="15"/>
      <c r="I22" s="3"/>
      <c r="J22" s="8"/>
      <c r="N22" s="52"/>
      <c r="O22" s="53"/>
      <c r="P22" s="52"/>
      <c r="Q22" s="54"/>
      <c r="R22" s="52"/>
      <c r="S22" s="52"/>
    </row>
    <row r="23" spans="2:19" ht="16.5" customHeight="1" x14ac:dyDescent="0.15">
      <c r="B23" s="11"/>
      <c r="C23" s="15"/>
      <c r="D23" s="3"/>
      <c r="E23" s="8"/>
      <c r="G23" s="11"/>
      <c r="H23" s="15"/>
      <c r="I23" s="3"/>
      <c r="J23" s="8"/>
      <c r="N23" s="52"/>
      <c r="O23" s="53"/>
      <c r="P23" s="52"/>
      <c r="Q23" s="54"/>
      <c r="R23" s="52"/>
      <c r="S23" s="52"/>
    </row>
    <row r="24" spans="2:19" ht="16.5" customHeight="1" x14ac:dyDescent="0.15">
      <c r="B24" s="11"/>
      <c r="C24" s="15"/>
      <c r="D24" s="3"/>
      <c r="E24" s="8"/>
      <c r="G24" s="11"/>
      <c r="H24" s="15"/>
      <c r="I24" s="3"/>
      <c r="J24" s="8"/>
      <c r="N24" s="52"/>
      <c r="O24" s="53"/>
      <c r="P24" s="52"/>
      <c r="Q24" s="54"/>
      <c r="R24" s="52"/>
      <c r="S24" s="52"/>
    </row>
    <row r="25" spans="2:19" ht="16.5" customHeight="1" x14ac:dyDescent="0.15">
      <c r="B25" s="11"/>
      <c r="C25" s="15"/>
      <c r="D25" s="3"/>
      <c r="E25" s="8"/>
      <c r="G25" s="11"/>
      <c r="H25" s="15"/>
      <c r="I25" s="3"/>
      <c r="J25" s="8"/>
      <c r="N25" s="52"/>
      <c r="O25" s="53"/>
      <c r="P25" s="52"/>
      <c r="Q25" s="54"/>
      <c r="R25" s="52"/>
      <c r="S25" s="52"/>
    </row>
    <row r="26" spans="2:19" ht="16.5" customHeight="1" x14ac:dyDescent="0.15">
      <c r="B26" s="11"/>
      <c r="C26" s="15"/>
      <c r="D26" s="3"/>
      <c r="E26" s="8"/>
      <c r="G26" s="11"/>
      <c r="H26" s="15"/>
      <c r="I26" s="3"/>
      <c r="J26" s="8"/>
      <c r="N26" s="52"/>
      <c r="O26" s="53"/>
      <c r="P26" s="52"/>
      <c r="Q26" s="54"/>
      <c r="R26" s="52"/>
      <c r="S26" s="52"/>
    </row>
    <row r="27" spans="2:19" ht="16.5" customHeight="1" x14ac:dyDescent="0.15">
      <c r="B27" s="11"/>
      <c r="C27" s="15"/>
      <c r="D27" s="3"/>
      <c r="E27" s="8"/>
      <c r="G27" s="11"/>
      <c r="H27" s="15"/>
      <c r="I27" s="3"/>
      <c r="J27" s="8"/>
      <c r="N27" s="52"/>
      <c r="O27" s="53"/>
      <c r="P27" s="52"/>
      <c r="Q27" s="54"/>
      <c r="R27" s="52"/>
      <c r="S27" s="52"/>
    </row>
    <row r="28" spans="2:19" ht="16.5" customHeight="1" x14ac:dyDescent="0.15">
      <c r="B28" s="11"/>
      <c r="C28" s="15"/>
      <c r="D28" s="3"/>
      <c r="E28" s="8"/>
      <c r="G28" s="11"/>
      <c r="H28" s="15"/>
      <c r="I28" s="3"/>
      <c r="J28" s="8"/>
      <c r="N28" s="52"/>
      <c r="O28" s="53"/>
      <c r="P28" s="52"/>
      <c r="Q28" s="54"/>
      <c r="R28" s="52"/>
      <c r="S28" s="52"/>
    </row>
    <row r="29" spans="2:19" ht="16.5" customHeight="1" x14ac:dyDescent="0.15">
      <c r="B29" s="11"/>
      <c r="C29" s="15"/>
      <c r="D29" s="3"/>
      <c r="E29" s="8"/>
      <c r="G29" s="11"/>
      <c r="H29" s="15"/>
      <c r="I29" s="3"/>
      <c r="J29" s="8"/>
      <c r="N29" s="52"/>
      <c r="O29" s="53"/>
      <c r="P29" s="52"/>
      <c r="Q29" s="54"/>
      <c r="R29" s="52"/>
      <c r="S29" s="52"/>
    </row>
    <row r="30" spans="2:19" ht="16.5" customHeight="1" x14ac:dyDescent="0.15">
      <c r="B30" s="11"/>
      <c r="C30" s="15"/>
      <c r="D30" s="3"/>
      <c r="E30" s="8"/>
      <c r="G30" s="11"/>
      <c r="H30" s="15"/>
      <c r="I30" s="3"/>
      <c r="J30" s="8"/>
      <c r="N30" s="52"/>
      <c r="O30" s="53"/>
      <c r="P30" s="52"/>
      <c r="Q30" s="54"/>
      <c r="R30" s="52"/>
      <c r="S30" s="52"/>
    </row>
    <row r="31" spans="2:19" ht="16.5" customHeight="1" x14ac:dyDescent="0.15">
      <c r="B31" s="11"/>
      <c r="C31" s="15"/>
      <c r="D31" s="3"/>
      <c r="E31" s="8"/>
      <c r="G31" s="11"/>
      <c r="H31" s="15"/>
      <c r="I31" s="3"/>
      <c r="J31" s="8"/>
      <c r="N31" s="52"/>
      <c r="O31" s="53"/>
      <c r="P31" s="52"/>
      <c r="Q31" s="54"/>
      <c r="R31" s="52"/>
      <c r="S31" s="52"/>
    </row>
    <row r="32" spans="2:19" ht="16.5" customHeight="1" x14ac:dyDescent="0.15">
      <c r="B32" s="11"/>
      <c r="C32" s="15"/>
      <c r="D32" s="3"/>
      <c r="E32" s="8"/>
      <c r="G32" s="11"/>
      <c r="H32" s="15"/>
      <c r="I32" s="3"/>
      <c r="J32" s="8"/>
      <c r="N32" s="52"/>
      <c r="O32" s="53"/>
      <c r="P32" s="52"/>
      <c r="Q32" s="54"/>
      <c r="R32" s="52"/>
      <c r="S32" s="52"/>
    </row>
    <row r="33" spans="2:38" ht="16.5" customHeight="1" x14ac:dyDescent="0.15">
      <c r="B33" s="11"/>
      <c r="C33" s="15"/>
      <c r="D33" s="3"/>
      <c r="E33" s="8"/>
      <c r="G33" s="11"/>
      <c r="H33" s="15"/>
      <c r="I33" s="3"/>
      <c r="J33" s="8"/>
      <c r="N33" s="52"/>
      <c r="O33" s="53"/>
      <c r="P33" s="52"/>
      <c r="Q33" s="54"/>
      <c r="R33" s="52"/>
      <c r="S33" s="52"/>
    </row>
    <row r="34" spans="2:38" ht="16.5" customHeight="1" x14ac:dyDescent="0.15">
      <c r="B34" s="11"/>
      <c r="C34" s="15"/>
      <c r="D34" s="3"/>
      <c r="E34" s="8"/>
      <c r="G34" s="11"/>
      <c r="H34" s="15"/>
      <c r="I34" s="3"/>
      <c r="J34" s="8"/>
      <c r="N34" s="52"/>
      <c r="O34" s="53"/>
      <c r="P34" s="52"/>
      <c r="Q34" s="54"/>
      <c r="R34" s="52"/>
      <c r="S34" s="52"/>
    </row>
    <row r="35" spans="2:38" ht="16.5" customHeight="1" x14ac:dyDescent="0.15">
      <c r="B35" s="11"/>
      <c r="C35" s="15"/>
      <c r="D35" s="3"/>
      <c r="E35" s="8"/>
      <c r="G35" s="11"/>
      <c r="H35" s="15"/>
      <c r="I35" s="3"/>
      <c r="J35" s="8"/>
      <c r="N35" s="52"/>
      <c r="O35" s="53"/>
      <c r="P35" s="52"/>
      <c r="Q35" s="54"/>
      <c r="R35" s="52"/>
      <c r="S35" s="52"/>
    </row>
    <row r="36" spans="2:38" ht="16.5" customHeight="1" x14ac:dyDescent="0.15">
      <c r="B36" s="11"/>
      <c r="C36" s="15"/>
      <c r="D36" s="3"/>
      <c r="E36" s="8"/>
      <c r="G36" s="11"/>
      <c r="H36" s="15"/>
      <c r="I36" s="3"/>
      <c r="J36" s="8"/>
      <c r="N36" s="52"/>
      <c r="O36" s="53"/>
      <c r="P36" s="52"/>
      <c r="Q36" s="54"/>
      <c r="R36" s="52"/>
      <c r="S36" s="52"/>
    </row>
    <row r="37" spans="2:38" ht="16.5" customHeight="1" x14ac:dyDescent="0.15">
      <c r="B37" s="11"/>
      <c r="C37" s="15"/>
      <c r="D37" s="3"/>
      <c r="E37" s="8"/>
      <c r="G37" s="11"/>
      <c r="H37" s="15"/>
      <c r="I37" s="3"/>
      <c r="J37" s="8"/>
      <c r="N37" s="52"/>
      <c r="O37" s="53"/>
      <c r="P37" s="52"/>
      <c r="Q37" s="54"/>
      <c r="R37" s="52"/>
      <c r="S37" s="52"/>
    </row>
    <row r="38" spans="2:38" ht="16.5" customHeight="1" x14ac:dyDescent="0.15">
      <c r="B38" s="11"/>
      <c r="C38" s="15"/>
      <c r="D38" s="3"/>
      <c r="E38" s="8"/>
      <c r="G38" s="11"/>
      <c r="H38" s="15"/>
      <c r="I38" s="3"/>
      <c r="J38" s="8"/>
      <c r="N38" s="52"/>
      <c r="O38" s="53"/>
      <c r="P38" s="52"/>
      <c r="Q38" s="54"/>
      <c r="R38" s="52"/>
      <c r="S38" s="52"/>
    </row>
    <row r="39" spans="2:38" ht="16.5" customHeight="1" x14ac:dyDescent="0.15">
      <c r="B39" s="11"/>
      <c r="C39" s="15"/>
      <c r="D39" s="3"/>
      <c r="E39" s="8"/>
      <c r="G39" s="11"/>
      <c r="H39" s="15"/>
      <c r="I39" s="3"/>
      <c r="J39" s="8"/>
      <c r="N39" s="52"/>
      <c r="O39" s="53"/>
      <c r="P39" s="52"/>
      <c r="Q39" s="54"/>
      <c r="R39" s="52"/>
      <c r="S39" s="52"/>
    </row>
    <row r="40" spans="2:38" ht="16.5" customHeight="1" x14ac:dyDescent="0.15">
      <c r="B40" s="11"/>
      <c r="C40" s="15"/>
      <c r="D40" s="3"/>
      <c r="E40" s="8"/>
      <c r="G40" s="11"/>
      <c r="H40" s="15"/>
      <c r="I40" s="3"/>
      <c r="J40" s="8"/>
      <c r="N40" s="52"/>
      <c r="O40" s="53"/>
      <c r="P40" s="52"/>
      <c r="Q40" s="54"/>
      <c r="R40" s="52"/>
      <c r="S40" s="52"/>
    </row>
    <row r="41" spans="2:38" ht="16.5" customHeight="1" x14ac:dyDescent="0.15">
      <c r="B41" s="11"/>
      <c r="C41" s="15"/>
      <c r="D41" s="3"/>
      <c r="E41" s="8"/>
      <c r="G41" s="11"/>
      <c r="H41" s="15"/>
      <c r="I41" s="3"/>
      <c r="J41" s="8"/>
      <c r="N41" s="52"/>
      <c r="O41" s="53"/>
      <c r="P41" s="52"/>
      <c r="Q41" s="54"/>
      <c r="R41" s="52"/>
      <c r="S41" s="52"/>
    </row>
    <row r="42" spans="2:38" ht="16.5" customHeight="1" x14ac:dyDescent="0.15">
      <c r="B42" s="11"/>
      <c r="C42" s="15"/>
      <c r="D42" s="3"/>
      <c r="E42" s="8"/>
      <c r="G42" s="11"/>
      <c r="H42" s="15"/>
      <c r="I42" s="3"/>
      <c r="J42" s="8"/>
      <c r="N42" s="52"/>
      <c r="O42" s="53"/>
      <c r="P42" s="52"/>
      <c r="Q42" s="54"/>
      <c r="R42" s="52"/>
      <c r="S42" s="52"/>
    </row>
    <row r="43" spans="2:38" ht="16.5" customHeight="1" x14ac:dyDescent="0.15">
      <c r="B43" s="11"/>
      <c r="C43" s="15"/>
      <c r="D43" s="3"/>
      <c r="E43" s="8"/>
      <c r="G43" s="11"/>
      <c r="H43" s="15"/>
      <c r="I43" s="3"/>
      <c r="J43" s="8"/>
      <c r="N43" s="52"/>
      <c r="O43" s="53"/>
      <c r="P43" s="52"/>
      <c r="Q43" s="54"/>
      <c r="R43" s="52"/>
      <c r="S43" s="52"/>
    </row>
    <row r="44" spans="2:38" ht="16.5" customHeight="1" x14ac:dyDescent="0.15">
      <c r="B44" s="11"/>
      <c r="C44" s="15"/>
      <c r="D44" s="3"/>
      <c r="E44" s="8"/>
      <c r="G44" s="11"/>
      <c r="H44" s="15"/>
      <c r="I44" s="3"/>
      <c r="J44" s="8"/>
      <c r="N44" s="52"/>
      <c r="O44" s="53"/>
      <c r="P44" s="52"/>
      <c r="Q44" s="54"/>
      <c r="R44" s="52"/>
      <c r="S44" s="52"/>
      <c r="AK44" t="s">
        <v>1</v>
      </c>
      <c r="AL44">
        <v>1</v>
      </c>
    </row>
    <row r="45" spans="2:38" ht="16.5" customHeight="1" x14ac:dyDescent="0.15">
      <c r="B45" s="11"/>
      <c r="C45" s="15"/>
      <c r="D45" s="3"/>
      <c r="E45" s="8"/>
      <c r="G45" s="11"/>
      <c r="H45" s="15"/>
      <c r="I45" s="3"/>
      <c r="J45" s="8"/>
      <c r="N45" s="52"/>
      <c r="O45" s="53"/>
      <c r="P45" s="52"/>
      <c r="Q45" s="54"/>
      <c r="R45" s="52"/>
      <c r="S45" s="52"/>
      <c r="AK45" t="s">
        <v>2</v>
      </c>
      <c r="AL45">
        <v>1</v>
      </c>
    </row>
    <row r="46" spans="2:38" ht="16.5" customHeight="1" x14ac:dyDescent="0.15">
      <c r="B46" s="11"/>
      <c r="C46" s="15"/>
      <c r="D46" s="3"/>
      <c r="E46" s="8"/>
      <c r="G46" s="11"/>
      <c r="H46" s="15"/>
      <c r="I46" s="3"/>
      <c r="J46" s="8"/>
      <c r="N46" s="52"/>
      <c r="O46" s="53"/>
      <c r="P46" s="52"/>
      <c r="Q46" s="54"/>
      <c r="R46" s="52"/>
      <c r="S46" s="52"/>
      <c r="AK46" t="s">
        <v>3</v>
      </c>
      <c r="AL46">
        <v>1</v>
      </c>
    </row>
    <row r="47" spans="2:38" ht="16.5" customHeight="1" x14ac:dyDescent="0.15">
      <c r="B47" s="11"/>
      <c r="C47" s="15"/>
      <c r="D47" s="3"/>
      <c r="E47" s="8"/>
      <c r="G47" s="11"/>
      <c r="H47" s="15"/>
      <c r="I47" s="3"/>
      <c r="J47" s="8"/>
      <c r="N47" s="52"/>
      <c r="O47" s="53"/>
      <c r="P47" s="52"/>
      <c r="Q47" s="54"/>
      <c r="R47" s="52"/>
      <c r="S47" s="52"/>
      <c r="AK47" t="s">
        <v>4</v>
      </c>
      <c r="AL47">
        <v>1</v>
      </c>
    </row>
    <row r="48" spans="2:38" ht="16.5" customHeight="1" x14ac:dyDescent="0.15">
      <c r="B48" s="18"/>
      <c r="C48" s="19"/>
      <c r="D48" s="4"/>
      <c r="E48" s="9"/>
      <c r="G48" s="11"/>
      <c r="H48" s="15"/>
      <c r="I48" s="3"/>
      <c r="J48" s="8"/>
      <c r="N48" s="52"/>
      <c r="O48" s="53"/>
      <c r="P48" s="52"/>
      <c r="Q48" s="54"/>
      <c r="R48" s="52"/>
      <c r="S48" s="52"/>
      <c r="AK48" t="s">
        <v>11</v>
      </c>
      <c r="AL48">
        <v>1</v>
      </c>
    </row>
    <row r="49" spans="7:42" ht="16.5" customHeight="1" x14ac:dyDescent="0.15">
      <c r="G49" s="18"/>
      <c r="H49" s="19"/>
      <c r="I49" s="4"/>
      <c r="J49" s="9"/>
      <c r="N49" s="52"/>
      <c r="O49" s="53"/>
      <c r="P49" s="52"/>
      <c r="Q49" s="54"/>
      <c r="R49" s="52"/>
      <c r="S49" s="52"/>
      <c r="AO49" t="s">
        <v>0</v>
      </c>
      <c r="AP49">
        <v>1</v>
      </c>
    </row>
    <row r="50" spans="7:42" ht="16.5" customHeight="1" x14ac:dyDescent="0.15">
      <c r="N50" s="52"/>
      <c r="O50" s="53"/>
      <c r="P50" s="52"/>
      <c r="Q50" s="54"/>
      <c r="R50" s="52"/>
      <c r="S50" s="52"/>
      <c r="AO50" t="s">
        <v>12</v>
      </c>
      <c r="AP50">
        <v>1</v>
      </c>
    </row>
    <row r="51" spans="7:42" ht="16.5" customHeight="1" x14ac:dyDescent="0.15">
      <c r="N51" s="52"/>
      <c r="O51" s="53"/>
      <c r="P51" s="52"/>
      <c r="Q51" s="54"/>
      <c r="R51" s="52"/>
      <c r="S51" s="52"/>
    </row>
    <row r="52" spans="7:42" ht="16.5" customHeight="1" x14ac:dyDescent="0.15">
      <c r="N52" s="52"/>
      <c r="O52" s="53"/>
      <c r="P52" s="52"/>
      <c r="Q52" s="54"/>
      <c r="R52" s="52"/>
      <c r="S52" s="52"/>
    </row>
    <row r="53" spans="7:42" ht="16.5" customHeight="1" x14ac:dyDescent="0.15">
      <c r="N53" s="52"/>
      <c r="O53" s="53"/>
      <c r="P53" s="52"/>
      <c r="Q53" s="54"/>
      <c r="R53" s="52"/>
      <c r="S53" s="52"/>
    </row>
    <row r="54" spans="7:42" ht="16.5" customHeight="1" x14ac:dyDescent="0.15">
      <c r="N54" s="52"/>
      <c r="O54" s="53"/>
      <c r="P54" s="52"/>
      <c r="Q54" s="54"/>
      <c r="R54" s="52"/>
      <c r="S54" s="52"/>
    </row>
    <row r="55" spans="7:42" ht="16.5" customHeight="1" x14ac:dyDescent="0.15">
      <c r="N55" s="52"/>
      <c r="O55" s="53"/>
      <c r="P55" s="52"/>
      <c r="Q55" s="54"/>
      <c r="R55" s="52"/>
      <c r="S55" s="52"/>
    </row>
    <row r="56" spans="7:42" ht="16.5" customHeight="1" x14ac:dyDescent="0.15">
      <c r="N56" s="52"/>
      <c r="O56" s="53"/>
      <c r="P56" s="52"/>
      <c r="Q56" s="54"/>
      <c r="R56" s="52"/>
      <c r="S56" s="52"/>
    </row>
    <row r="57" spans="7:42" ht="16.5" customHeight="1" x14ac:dyDescent="0.15">
      <c r="N57" s="52"/>
      <c r="O57" s="53"/>
      <c r="P57" s="52"/>
      <c r="Q57" s="54"/>
      <c r="R57" s="52"/>
      <c r="S57" s="52"/>
    </row>
    <row r="58" spans="7:42" ht="16.5" customHeight="1" x14ac:dyDescent="0.15">
      <c r="N58" s="52"/>
      <c r="O58" s="53"/>
      <c r="P58" s="52"/>
      <c r="Q58" s="54"/>
      <c r="R58" s="52"/>
      <c r="S58" s="52"/>
    </row>
    <row r="59" spans="7:42" ht="16.5" customHeight="1" x14ac:dyDescent="0.15">
      <c r="N59" s="52"/>
      <c r="O59" s="53"/>
      <c r="P59" s="52"/>
      <c r="Q59" s="54"/>
      <c r="R59" s="52"/>
      <c r="S59" s="52"/>
    </row>
    <row r="60" spans="7:42" ht="16.5" customHeight="1" x14ac:dyDescent="0.15">
      <c r="N60" s="52"/>
      <c r="O60" s="53"/>
      <c r="P60" s="52"/>
      <c r="Q60" s="54"/>
      <c r="R60" s="52"/>
      <c r="S60" s="52"/>
    </row>
    <row r="61" spans="7:42" ht="16.5" customHeight="1" x14ac:dyDescent="0.15">
      <c r="N61" s="52"/>
      <c r="O61" s="53"/>
      <c r="P61" s="52"/>
      <c r="Q61" s="54"/>
      <c r="R61" s="52"/>
      <c r="S61" s="52"/>
    </row>
    <row r="62" spans="7:42" x14ac:dyDescent="0.15">
      <c r="N62" s="52"/>
      <c r="O62" s="53"/>
      <c r="P62" s="52"/>
      <c r="Q62" s="54"/>
      <c r="R62" s="52"/>
      <c r="S62" s="52"/>
    </row>
    <row r="63" spans="7:42" x14ac:dyDescent="0.15">
      <c r="N63" s="52"/>
      <c r="O63" s="53"/>
      <c r="P63" s="52"/>
      <c r="Q63" s="54"/>
      <c r="R63" s="52"/>
      <c r="S63" s="52"/>
    </row>
    <row r="64" spans="7:42" x14ac:dyDescent="0.15">
      <c r="N64" s="52"/>
      <c r="O64" s="53"/>
      <c r="P64" s="52"/>
      <c r="Q64" s="54"/>
      <c r="R64" s="52"/>
      <c r="S64" s="52"/>
    </row>
    <row r="65" spans="14:19" x14ac:dyDescent="0.15">
      <c r="N65" s="52"/>
      <c r="O65" s="53"/>
      <c r="P65" s="52"/>
      <c r="Q65" s="54"/>
      <c r="R65" s="52"/>
      <c r="S65" s="52"/>
    </row>
    <row r="66" spans="14:19" x14ac:dyDescent="0.15">
      <c r="N66" s="52"/>
      <c r="O66" s="53"/>
      <c r="P66" s="52"/>
      <c r="Q66" s="54"/>
      <c r="R66" s="52"/>
      <c r="S66" s="52"/>
    </row>
    <row r="67" spans="14:19" x14ac:dyDescent="0.15">
      <c r="N67" s="52"/>
      <c r="O67" s="53"/>
      <c r="P67" s="52"/>
      <c r="Q67" s="54"/>
      <c r="R67" s="52"/>
      <c r="S67" s="52"/>
    </row>
    <row r="68" spans="14:19" x14ac:dyDescent="0.15">
      <c r="N68" s="52"/>
      <c r="O68" s="53"/>
      <c r="P68" s="52"/>
      <c r="Q68" s="54"/>
      <c r="R68" s="52"/>
      <c r="S68" s="52"/>
    </row>
    <row r="69" spans="14:19" x14ac:dyDescent="0.15">
      <c r="N69" s="52"/>
      <c r="O69" s="53"/>
      <c r="P69" s="52"/>
      <c r="Q69" s="54"/>
      <c r="R69" s="52"/>
      <c r="S69" s="52"/>
    </row>
    <row r="70" spans="14:19" x14ac:dyDescent="0.15">
      <c r="N70" s="52"/>
      <c r="O70" s="53"/>
      <c r="P70" s="52"/>
      <c r="Q70" s="54"/>
      <c r="R70" s="52"/>
      <c r="S70" s="52"/>
    </row>
    <row r="71" spans="14:19" x14ac:dyDescent="0.15">
      <c r="N71" s="52"/>
      <c r="O71" s="53"/>
      <c r="P71" s="52"/>
      <c r="Q71" s="54"/>
      <c r="R71" s="52"/>
      <c r="S71" s="52"/>
    </row>
    <row r="72" spans="14:19" x14ac:dyDescent="0.15">
      <c r="N72" s="52"/>
      <c r="O72" s="53"/>
      <c r="P72" s="52"/>
      <c r="Q72" s="54"/>
      <c r="R72" s="52"/>
      <c r="S72" s="52"/>
    </row>
    <row r="73" spans="14:19" x14ac:dyDescent="0.15">
      <c r="N73" s="52"/>
      <c r="O73" s="53"/>
      <c r="P73" s="52"/>
      <c r="Q73" s="54"/>
      <c r="R73" s="52"/>
      <c r="S73" s="52"/>
    </row>
    <row r="74" spans="14:19" x14ac:dyDescent="0.15">
      <c r="N74" s="52"/>
      <c r="O74" s="53"/>
      <c r="P74" s="52"/>
      <c r="Q74" s="54"/>
      <c r="R74" s="52"/>
      <c r="S74" s="52"/>
    </row>
    <row r="75" spans="14:19" x14ac:dyDescent="0.15">
      <c r="N75" s="52"/>
      <c r="O75" s="53"/>
      <c r="P75" s="52"/>
      <c r="Q75" s="54"/>
      <c r="R75" s="52"/>
      <c r="S75" s="52"/>
    </row>
    <row r="76" spans="14:19" x14ac:dyDescent="0.15">
      <c r="N76" s="52"/>
      <c r="O76" s="53"/>
      <c r="P76" s="52"/>
      <c r="Q76" s="54"/>
      <c r="R76" s="52"/>
      <c r="S76" s="52"/>
    </row>
    <row r="77" spans="14:19" x14ac:dyDescent="0.15">
      <c r="N77" s="52"/>
      <c r="O77" s="53"/>
      <c r="P77" s="52"/>
      <c r="Q77" s="54"/>
      <c r="R77" s="52"/>
      <c r="S77" s="52"/>
    </row>
    <row r="78" spans="14:19" x14ac:dyDescent="0.15">
      <c r="N78" s="52"/>
      <c r="O78" s="53"/>
      <c r="P78" s="52"/>
      <c r="Q78" s="54"/>
      <c r="R78" s="52"/>
      <c r="S78" s="52"/>
    </row>
    <row r="79" spans="14:19" x14ac:dyDescent="0.15">
      <c r="N79" s="52"/>
      <c r="O79" s="53"/>
      <c r="P79" s="52"/>
      <c r="Q79" s="54"/>
      <c r="R79" s="52"/>
      <c r="S79" s="52"/>
    </row>
    <row r="80" spans="14:19" x14ac:dyDescent="0.15">
      <c r="N80" s="52"/>
      <c r="O80" s="53"/>
      <c r="P80" s="52"/>
      <c r="Q80" s="54"/>
      <c r="R80" s="52"/>
      <c r="S80" s="52"/>
    </row>
    <row r="81" spans="14:19" x14ac:dyDescent="0.15">
      <c r="N81" s="52"/>
      <c r="O81" s="53"/>
      <c r="P81" s="52"/>
      <c r="Q81" s="54"/>
      <c r="R81" s="52"/>
      <c r="S81" s="52"/>
    </row>
    <row r="82" spans="14:19" x14ac:dyDescent="0.15">
      <c r="N82" s="52"/>
      <c r="O82" s="53"/>
      <c r="P82" s="52"/>
      <c r="Q82" s="54"/>
      <c r="R82" s="52"/>
      <c r="S82" s="52"/>
    </row>
    <row r="83" spans="14:19" x14ac:dyDescent="0.15">
      <c r="N83" s="52"/>
      <c r="O83" s="53"/>
      <c r="P83" s="52"/>
      <c r="Q83" s="54"/>
      <c r="R83" s="52"/>
      <c r="S83" s="52"/>
    </row>
    <row r="84" spans="14:19" x14ac:dyDescent="0.15">
      <c r="N84" s="52"/>
      <c r="O84" s="53"/>
      <c r="P84" s="52"/>
      <c r="Q84" s="54"/>
      <c r="R84" s="52"/>
      <c r="S84" s="52"/>
    </row>
    <row r="85" spans="14:19" x14ac:dyDescent="0.15">
      <c r="N85" s="52"/>
      <c r="O85" s="53"/>
      <c r="P85" s="52"/>
      <c r="Q85" s="54"/>
      <c r="R85" s="52"/>
      <c r="S85" s="52"/>
    </row>
    <row r="86" spans="14:19" x14ac:dyDescent="0.15">
      <c r="N86" s="52"/>
      <c r="O86" s="53"/>
      <c r="P86" s="52"/>
      <c r="Q86" s="54"/>
      <c r="R86" s="52"/>
      <c r="S86" s="52"/>
    </row>
    <row r="87" spans="14:19" x14ac:dyDescent="0.15">
      <c r="N87" s="52"/>
      <c r="O87" s="53"/>
      <c r="P87" s="52"/>
      <c r="Q87" s="54"/>
      <c r="R87" s="52"/>
      <c r="S87" s="52"/>
    </row>
    <row r="88" spans="14:19" x14ac:dyDescent="0.15">
      <c r="N88" s="52"/>
      <c r="O88" s="53"/>
      <c r="P88" s="52"/>
      <c r="Q88" s="54"/>
      <c r="R88" s="52"/>
      <c r="S88" s="52"/>
    </row>
    <row r="89" spans="14:19" x14ac:dyDescent="0.15">
      <c r="N89" s="52"/>
      <c r="O89" s="53"/>
      <c r="P89" s="52"/>
      <c r="Q89" s="54"/>
      <c r="R89" s="52"/>
      <c r="S89" s="52"/>
    </row>
    <row r="90" spans="14:19" x14ac:dyDescent="0.15">
      <c r="N90" s="52"/>
      <c r="O90" s="53"/>
      <c r="P90" s="52"/>
      <c r="Q90" s="54"/>
      <c r="R90" s="52"/>
      <c r="S90" s="52"/>
    </row>
    <row r="91" spans="14:19" x14ac:dyDescent="0.15">
      <c r="N91" s="52"/>
      <c r="O91" s="53"/>
      <c r="P91" s="52"/>
      <c r="Q91" s="54"/>
      <c r="R91" s="52"/>
      <c r="S91" s="52"/>
    </row>
    <row r="92" spans="14:19" x14ac:dyDescent="0.15">
      <c r="N92" s="52"/>
      <c r="O92" s="53"/>
      <c r="P92" s="52"/>
      <c r="Q92" s="54"/>
      <c r="R92" s="52"/>
      <c r="S92" s="52"/>
    </row>
    <row r="93" spans="14:19" x14ac:dyDescent="0.15">
      <c r="N93" s="52"/>
      <c r="O93" s="53"/>
      <c r="P93" s="52"/>
      <c r="Q93" s="54"/>
      <c r="R93" s="52"/>
      <c r="S93" s="52"/>
    </row>
    <row r="94" spans="14:19" x14ac:dyDescent="0.15">
      <c r="N94" s="52"/>
      <c r="O94" s="53"/>
      <c r="P94" s="52"/>
      <c r="Q94" s="54"/>
      <c r="R94" s="52"/>
      <c r="S94" s="52"/>
    </row>
    <row r="95" spans="14:19" x14ac:dyDescent="0.15">
      <c r="N95" s="52"/>
      <c r="O95" s="53"/>
      <c r="P95" s="52"/>
      <c r="Q95" s="54"/>
      <c r="R95" s="52"/>
      <c r="S95" s="52"/>
    </row>
    <row r="96" spans="14:19" x14ac:dyDescent="0.15">
      <c r="N96" s="52"/>
      <c r="O96" s="53"/>
      <c r="P96" s="52"/>
      <c r="Q96" s="54"/>
      <c r="R96" s="52"/>
      <c r="S96" s="52"/>
    </row>
    <row r="97" spans="14:19" x14ac:dyDescent="0.15">
      <c r="N97" s="52"/>
      <c r="O97" s="53"/>
      <c r="P97" s="52"/>
      <c r="Q97" s="54"/>
      <c r="R97" s="52"/>
      <c r="S97" s="52"/>
    </row>
    <row r="98" spans="14:19" x14ac:dyDescent="0.15">
      <c r="N98" s="52"/>
      <c r="O98" s="53"/>
      <c r="P98" s="52"/>
      <c r="Q98" s="54"/>
      <c r="R98" s="52"/>
      <c r="S98" s="52"/>
    </row>
    <row r="99" spans="14:19" x14ac:dyDescent="0.15">
      <c r="N99" s="52"/>
      <c r="O99" s="53"/>
      <c r="P99" s="52"/>
      <c r="Q99" s="54"/>
      <c r="R99" s="52"/>
      <c r="S99" s="52"/>
    </row>
    <row r="100" spans="14:19" x14ac:dyDescent="0.15">
      <c r="N100" s="52"/>
      <c r="O100" s="53"/>
      <c r="P100" s="52"/>
      <c r="Q100" s="54"/>
      <c r="R100" s="52"/>
      <c r="S100" s="52"/>
    </row>
    <row r="101" spans="14:19" x14ac:dyDescent="0.15">
      <c r="N101" s="52"/>
      <c r="O101" s="53"/>
      <c r="P101" s="52"/>
      <c r="Q101" s="54"/>
      <c r="R101" s="52"/>
      <c r="S101" s="52"/>
    </row>
    <row r="102" spans="14:19" x14ac:dyDescent="0.15">
      <c r="N102" s="52"/>
      <c r="O102" s="53"/>
      <c r="P102" s="52"/>
      <c r="Q102" s="54"/>
      <c r="R102" s="52"/>
      <c r="S102" s="52"/>
    </row>
    <row r="103" spans="14:19" x14ac:dyDescent="0.15">
      <c r="N103" s="52"/>
      <c r="O103" s="53"/>
      <c r="P103" s="52"/>
      <c r="Q103" s="54"/>
      <c r="R103" s="52"/>
      <c r="S103" s="52"/>
    </row>
    <row r="104" spans="14:19" x14ac:dyDescent="0.15">
      <c r="N104" s="52"/>
      <c r="O104" s="53"/>
      <c r="P104" s="52"/>
      <c r="Q104" s="54"/>
      <c r="R104" s="52"/>
      <c r="S104" s="52"/>
    </row>
    <row r="105" spans="14:19" x14ac:dyDescent="0.15">
      <c r="N105" s="52"/>
      <c r="O105" s="53"/>
      <c r="P105" s="52"/>
      <c r="Q105" s="54"/>
      <c r="R105" s="52"/>
      <c r="S105" s="52"/>
    </row>
    <row r="106" spans="14:19" x14ac:dyDescent="0.15">
      <c r="N106" s="52"/>
      <c r="O106" s="53"/>
      <c r="P106" s="52"/>
      <c r="Q106" s="54"/>
      <c r="R106" s="52"/>
      <c r="S106" s="52"/>
    </row>
    <row r="107" spans="14:19" x14ac:dyDescent="0.15">
      <c r="N107" s="52"/>
      <c r="O107" s="53"/>
      <c r="P107" s="52"/>
      <c r="Q107" s="54"/>
      <c r="R107" s="52"/>
      <c r="S107" s="52"/>
    </row>
    <row r="108" spans="14:19" x14ac:dyDescent="0.15">
      <c r="N108" s="52"/>
      <c r="O108" s="53"/>
      <c r="P108" s="52"/>
      <c r="Q108" s="54"/>
      <c r="R108" s="52"/>
      <c r="S108" s="52"/>
    </row>
    <row r="109" spans="14:19" x14ac:dyDescent="0.15">
      <c r="N109" s="52"/>
      <c r="O109" s="53"/>
      <c r="P109" s="52"/>
      <c r="Q109" s="54"/>
      <c r="R109" s="52"/>
      <c r="S109" s="52"/>
    </row>
    <row r="110" spans="14:19" x14ac:dyDescent="0.15">
      <c r="N110" s="52"/>
      <c r="O110" s="53"/>
      <c r="P110" s="52"/>
      <c r="Q110" s="54"/>
      <c r="R110" s="52"/>
      <c r="S110" s="52"/>
    </row>
    <row r="111" spans="14:19" x14ac:dyDescent="0.15">
      <c r="N111" s="52"/>
      <c r="O111" s="53"/>
      <c r="P111" s="52"/>
      <c r="Q111" s="54"/>
      <c r="R111" s="52"/>
      <c r="S111" s="52"/>
    </row>
    <row r="112" spans="14:19" x14ac:dyDescent="0.15">
      <c r="N112" s="52"/>
      <c r="O112" s="53"/>
      <c r="P112" s="52"/>
      <c r="Q112" s="54"/>
      <c r="R112" s="52"/>
      <c r="S112" s="52"/>
    </row>
    <row r="113" spans="14:19" x14ac:dyDescent="0.15">
      <c r="N113" s="52"/>
      <c r="O113" s="53"/>
      <c r="P113" s="52"/>
      <c r="Q113" s="54"/>
      <c r="R113" s="52"/>
      <c r="S113" s="52"/>
    </row>
    <row r="114" spans="14:19" x14ac:dyDescent="0.15">
      <c r="N114" s="52"/>
      <c r="O114" s="53"/>
      <c r="P114" s="52"/>
      <c r="Q114" s="54"/>
      <c r="R114" s="52"/>
      <c r="S114" s="52"/>
    </row>
    <row r="115" spans="14:19" x14ac:dyDescent="0.15">
      <c r="N115" s="52"/>
      <c r="O115" s="53"/>
      <c r="P115" s="52"/>
      <c r="Q115" s="54"/>
      <c r="R115" s="52"/>
      <c r="S115" s="52"/>
    </row>
    <row r="116" spans="14:19" x14ac:dyDescent="0.15">
      <c r="N116" s="52"/>
      <c r="O116" s="53"/>
      <c r="P116" s="52"/>
      <c r="Q116" s="54"/>
      <c r="R116" s="52"/>
      <c r="S116" s="52"/>
    </row>
    <row r="117" spans="14:19" x14ac:dyDescent="0.15">
      <c r="N117" s="52"/>
      <c r="O117" s="53"/>
      <c r="P117" s="52"/>
      <c r="Q117" s="54"/>
      <c r="R117" s="52"/>
      <c r="S117" s="52"/>
    </row>
    <row r="118" spans="14:19" x14ac:dyDescent="0.15">
      <c r="N118" s="52"/>
      <c r="O118" s="53"/>
      <c r="P118" s="52"/>
      <c r="Q118" s="54"/>
      <c r="R118" s="52"/>
      <c r="S118" s="52"/>
    </row>
    <row r="119" spans="14:19" x14ac:dyDescent="0.15">
      <c r="N119" s="52"/>
      <c r="O119" s="53"/>
      <c r="P119" s="52"/>
      <c r="Q119" s="54"/>
      <c r="R119" s="52"/>
      <c r="S119" s="52"/>
    </row>
    <row r="120" spans="14:19" x14ac:dyDescent="0.15">
      <c r="N120" s="52"/>
      <c r="O120" s="53"/>
      <c r="P120" s="52"/>
      <c r="Q120" s="54"/>
      <c r="R120" s="52"/>
      <c r="S120" s="52"/>
    </row>
    <row r="121" spans="14:19" x14ac:dyDescent="0.15">
      <c r="N121" s="52"/>
      <c r="O121" s="53"/>
      <c r="P121" s="52"/>
      <c r="Q121" s="54"/>
      <c r="R121" s="52"/>
      <c r="S121" s="52"/>
    </row>
    <row r="122" spans="14:19" x14ac:dyDescent="0.15">
      <c r="N122" s="52"/>
      <c r="O122" s="53"/>
      <c r="P122" s="52"/>
      <c r="Q122" s="54"/>
      <c r="R122" s="52"/>
      <c r="S122" s="52"/>
    </row>
    <row r="123" spans="14:19" x14ac:dyDescent="0.15">
      <c r="N123" s="52"/>
      <c r="O123" s="53"/>
      <c r="P123" s="52"/>
      <c r="Q123" s="54"/>
      <c r="R123" s="52"/>
      <c r="S123" s="52"/>
    </row>
    <row r="124" spans="14:19" x14ac:dyDescent="0.15">
      <c r="N124" s="52"/>
      <c r="O124" s="53"/>
      <c r="P124" s="52"/>
      <c r="Q124" s="54"/>
      <c r="R124" s="52"/>
      <c r="S124" s="52"/>
    </row>
    <row r="125" spans="14:19" x14ac:dyDescent="0.15">
      <c r="N125" s="52"/>
      <c r="O125" s="53"/>
      <c r="P125" s="52"/>
      <c r="Q125" s="54"/>
      <c r="R125" s="52"/>
      <c r="S125" s="52"/>
    </row>
    <row r="126" spans="14:19" x14ac:dyDescent="0.15">
      <c r="N126" s="52"/>
      <c r="O126" s="53"/>
      <c r="P126" s="52"/>
      <c r="Q126" s="54"/>
      <c r="R126" s="52"/>
      <c r="S126" s="52"/>
    </row>
    <row r="127" spans="14:19" x14ac:dyDescent="0.15">
      <c r="N127" s="52"/>
      <c r="O127" s="53"/>
      <c r="P127" s="52"/>
      <c r="Q127" s="54"/>
      <c r="R127" s="52"/>
      <c r="S127" s="52"/>
    </row>
    <row r="128" spans="14:19" x14ac:dyDescent="0.15">
      <c r="N128" s="52"/>
      <c r="O128" s="53"/>
      <c r="P128" s="52"/>
      <c r="Q128" s="54"/>
      <c r="R128" s="52"/>
      <c r="S128" s="52"/>
    </row>
    <row r="129" spans="14:19" x14ac:dyDescent="0.15">
      <c r="N129" s="52"/>
      <c r="O129" s="53"/>
      <c r="P129" s="52"/>
      <c r="Q129" s="54"/>
      <c r="R129" s="52"/>
      <c r="S129" s="52"/>
    </row>
    <row r="130" spans="14:19" x14ac:dyDescent="0.15">
      <c r="N130" s="52"/>
      <c r="O130" s="53"/>
      <c r="P130" s="52"/>
      <c r="Q130" s="54"/>
      <c r="R130" s="52"/>
      <c r="S130" s="52"/>
    </row>
    <row r="131" spans="14:19" x14ac:dyDescent="0.15">
      <c r="N131" s="52"/>
      <c r="O131" s="53"/>
      <c r="P131" s="52"/>
      <c r="Q131" s="54"/>
      <c r="R131" s="52"/>
      <c r="S131" s="52"/>
    </row>
    <row r="132" spans="14:19" x14ac:dyDescent="0.15">
      <c r="N132" s="52"/>
      <c r="O132" s="53"/>
      <c r="P132" s="52"/>
      <c r="Q132" s="54"/>
      <c r="R132" s="52"/>
      <c r="S132" s="52"/>
    </row>
    <row r="133" spans="14:19" x14ac:dyDescent="0.15">
      <c r="N133" s="52"/>
      <c r="O133" s="53"/>
      <c r="P133" s="52"/>
      <c r="Q133" s="54"/>
      <c r="R133" s="52"/>
      <c r="S133" s="52"/>
    </row>
    <row r="134" spans="14:19" x14ac:dyDescent="0.15">
      <c r="N134" s="52"/>
      <c r="O134" s="53"/>
      <c r="P134" s="52"/>
      <c r="Q134" s="54"/>
      <c r="R134" s="52"/>
      <c r="S134" s="52"/>
    </row>
    <row r="135" spans="14:19" x14ac:dyDescent="0.15">
      <c r="N135" s="52"/>
      <c r="O135" s="53"/>
      <c r="P135" s="52"/>
      <c r="Q135" s="54"/>
      <c r="R135" s="52"/>
      <c r="S135" s="52"/>
    </row>
    <row r="136" spans="14:19" x14ac:dyDescent="0.15">
      <c r="N136" s="52"/>
      <c r="O136" s="53"/>
      <c r="P136" s="52"/>
      <c r="Q136" s="54"/>
      <c r="R136" s="52"/>
      <c r="S136" s="52"/>
    </row>
    <row r="137" spans="14:19" x14ac:dyDescent="0.15">
      <c r="N137" s="52"/>
      <c r="O137" s="53"/>
      <c r="P137" s="52"/>
      <c r="Q137" s="54"/>
      <c r="R137" s="52"/>
      <c r="S137" s="52"/>
    </row>
    <row r="138" spans="14:19" x14ac:dyDescent="0.15">
      <c r="N138" s="52"/>
      <c r="O138" s="53"/>
      <c r="P138" s="52"/>
      <c r="Q138" s="54"/>
      <c r="R138" s="52"/>
      <c r="S138" s="52"/>
    </row>
    <row r="139" spans="14:19" x14ac:dyDescent="0.15">
      <c r="N139" s="52"/>
      <c r="O139" s="53"/>
      <c r="P139" s="52"/>
      <c r="Q139" s="54"/>
      <c r="R139" s="52"/>
      <c r="S139" s="52"/>
    </row>
    <row r="140" spans="14:19" x14ac:dyDescent="0.15">
      <c r="N140" s="52"/>
      <c r="O140" s="53"/>
      <c r="P140" s="52"/>
      <c r="Q140" s="54"/>
      <c r="R140" s="52"/>
      <c r="S140" s="52"/>
    </row>
    <row r="141" spans="14:19" x14ac:dyDescent="0.15">
      <c r="N141" s="52"/>
      <c r="O141" s="53"/>
      <c r="P141" s="52"/>
      <c r="Q141" s="54"/>
      <c r="R141" s="52"/>
      <c r="S141" s="52"/>
    </row>
    <row r="142" spans="14:19" x14ac:dyDescent="0.15">
      <c r="N142" s="52"/>
      <c r="O142" s="53"/>
      <c r="P142" s="52"/>
      <c r="Q142" s="54"/>
      <c r="R142" s="52"/>
      <c r="S142" s="52"/>
    </row>
    <row r="143" spans="14:19" x14ac:dyDescent="0.15">
      <c r="N143" s="52"/>
      <c r="O143" s="53"/>
      <c r="P143" s="52"/>
      <c r="Q143" s="54"/>
      <c r="R143" s="52"/>
      <c r="S143" s="52"/>
    </row>
    <row r="144" spans="14:19" x14ac:dyDescent="0.15">
      <c r="N144" s="52"/>
      <c r="O144" s="53"/>
      <c r="P144" s="52"/>
      <c r="Q144" s="54"/>
      <c r="R144" s="52"/>
      <c r="S144" s="52"/>
    </row>
    <row r="145" spans="14:19" x14ac:dyDescent="0.15">
      <c r="N145" s="52"/>
      <c r="O145" s="53"/>
      <c r="P145" s="52"/>
      <c r="Q145" s="54"/>
      <c r="R145" s="52"/>
      <c r="S145" s="52"/>
    </row>
    <row r="146" spans="14:19" x14ac:dyDescent="0.15">
      <c r="N146" s="52"/>
      <c r="O146" s="53"/>
      <c r="P146" s="52"/>
      <c r="Q146" s="54"/>
      <c r="R146" s="52"/>
      <c r="S146" s="52"/>
    </row>
    <row r="147" spans="14:19" x14ac:dyDescent="0.15">
      <c r="N147" s="52"/>
      <c r="O147" s="53"/>
      <c r="P147" s="52"/>
      <c r="Q147" s="54"/>
      <c r="R147" s="52"/>
      <c r="S147" s="52"/>
    </row>
    <row r="148" spans="14:19" x14ac:dyDescent="0.15">
      <c r="N148" s="52"/>
      <c r="O148" s="53"/>
      <c r="P148" s="52"/>
      <c r="Q148" s="54"/>
      <c r="R148" s="52"/>
      <c r="S148" s="52"/>
    </row>
    <row r="149" spans="14:19" x14ac:dyDescent="0.15">
      <c r="N149" s="52"/>
      <c r="O149" s="53"/>
      <c r="P149" s="52"/>
      <c r="Q149" s="54"/>
      <c r="R149" s="52"/>
      <c r="S149" s="52"/>
    </row>
    <row r="150" spans="14:19" x14ac:dyDescent="0.15">
      <c r="N150" s="52"/>
      <c r="O150" s="53"/>
      <c r="P150" s="52"/>
      <c r="Q150" s="54"/>
      <c r="R150" s="52"/>
      <c r="S150" s="52"/>
    </row>
    <row r="151" spans="14:19" x14ac:dyDescent="0.15">
      <c r="N151" s="52"/>
      <c r="O151" s="53"/>
      <c r="P151" s="52"/>
      <c r="Q151" s="54"/>
      <c r="R151" s="52"/>
      <c r="S151" s="52"/>
    </row>
    <row r="152" spans="14:19" x14ac:dyDescent="0.15">
      <c r="N152" s="52"/>
      <c r="O152" s="53"/>
      <c r="P152" s="52"/>
      <c r="Q152" s="54"/>
      <c r="R152" s="52"/>
      <c r="S152" s="52"/>
    </row>
    <row r="153" spans="14:19" x14ac:dyDescent="0.15">
      <c r="N153" s="52"/>
      <c r="O153" s="53"/>
      <c r="P153" s="52"/>
      <c r="Q153" s="54"/>
      <c r="R153" s="52"/>
      <c r="S153" s="52"/>
    </row>
    <row r="154" spans="14:19" x14ac:dyDescent="0.15">
      <c r="N154" s="52"/>
      <c r="O154" s="53"/>
      <c r="P154" s="52"/>
      <c r="Q154" s="54"/>
      <c r="R154" s="52"/>
      <c r="S154" s="52"/>
    </row>
    <row r="155" spans="14:19" x14ac:dyDescent="0.15">
      <c r="N155" s="52"/>
      <c r="O155" s="53"/>
      <c r="P155" s="52"/>
      <c r="Q155" s="54"/>
      <c r="R155" s="52"/>
      <c r="S155" s="52"/>
    </row>
    <row r="156" spans="14:19" x14ac:dyDescent="0.15">
      <c r="N156" s="52"/>
      <c r="O156" s="53"/>
      <c r="P156" s="52"/>
      <c r="Q156" s="54"/>
      <c r="R156" s="52"/>
      <c r="S156" s="52"/>
    </row>
    <row r="157" spans="14:19" x14ac:dyDescent="0.15">
      <c r="N157" s="52"/>
      <c r="O157" s="53"/>
      <c r="P157" s="52"/>
      <c r="Q157" s="54"/>
      <c r="R157" s="52"/>
      <c r="S157" s="52"/>
    </row>
    <row r="158" spans="14:19" x14ac:dyDescent="0.15">
      <c r="N158" s="52"/>
      <c r="O158" s="53"/>
      <c r="P158" s="52"/>
      <c r="Q158" s="54"/>
      <c r="R158" s="52"/>
      <c r="S158" s="52"/>
    </row>
    <row r="159" spans="14:19" x14ac:dyDescent="0.15">
      <c r="N159" s="52"/>
      <c r="O159" s="53"/>
      <c r="P159" s="52"/>
      <c r="Q159" s="54"/>
      <c r="R159" s="52"/>
      <c r="S159" s="52"/>
    </row>
    <row r="160" spans="14:19" x14ac:dyDescent="0.15">
      <c r="N160" s="52"/>
      <c r="O160" s="53"/>
      <c r="P160" s="52"/>
      <c r="Q160" s="54"/>
      <c r="R160" s="52"/>
      <c r="S160" s="52"/>
    </row>
    <row r="161" spans="14:19" x14ac:dyDescent="0.15">
      <c r="N161" s="52"/>
      <c r="O161" s="53"/>
      <c r="P161" s="52"/>
      <c r="Q161" s="54"/>
      <c r="R161" s="52"/>
      <c r="S161" s="52"/>
    </row>
    <row r="162" spans="14:19" x14ac:dyDescent="0.15">
      <c r="N162" s="52"/>
      <c r="O162" s="53"/>
      <c r="P162" s="52"/>
      <c r="Q162" s="54"/>
      <c r="R162" s="52"/>
      <c r="S162" s="52"/>
    </row>
    <row r="163" spans="14:19" x14ac:dyDescent="0.15">
      <c r="N163" s="52"/>
      <c r="O163" s="53"/>
      <c r="P163" s="52"/>
      <c r="Q163" s="54"/>
      <c r="R163" s="52"/>
      <c r="S163" s="52"/>
    </row>
    <row r="164" spans="14:19" x14ac:dyDescent="0.15">
      <c r="N164" s="52"/>
      <c r="O164" s="53"/>
      <c r="P164" s="52"/>
      <c r="Q164" s="54"/>
      <c r="R164" s="52"/>
      <c r="S164" s="52"/>
    </row>
    <row r="165" spans="14:19" x14ac:dyDescent="0.15">
      <c r="N165" s="52"/>
      <c r="O165" s="53"/>
      <c r="P165" s="52"/>
      <c r="Q165" s="54"/>
      <c r="R165" s="52"/>
      <c r="S165" s="52"/>
    </row>
    <row r="166" spans="14:19" x14ac:dyDescent="0.15">
      <c r="N166" s="52"/>
      <c r="O166" s="53"/>
      <c r="P166" s="52"/>
      <c r="Q166" s="54"/>
      <c r="R166" s="52"/>
      <c r="S166" s="52"/>
    </row>
    <row r="167" spans="14:19" x14ac:dyDescent="0.15">
      <c r="N167" s="52"/>
      <c r="O167" s="53"/>
      <c r="P167" s="52"/>
      <c r="Q167" s="54"/>
      <c r="R167" s="52"/>
      <c r="S167" s="52"/>
    </row>
    <row r="168" spans="14:19" x14ac:dyDescent="0.15">
      <c r="N168" s="52"/>
      <c r="O168" s="53"/>
      <c r="P168" s="52"/>
      <c r="Q168" s="54"/>
      <c r="R168" s="52"/>
      <c r="S168" s="52"/>
    </row>
    <row r="169" spans="14:19" x14ac:dyDescent="0.15">
      <c r="N169" s="52"/>
      <c r="O169" s="53"/>
      <c r="P169" s="52"/>
      <c r="Q169" s="54"/>
      <c r="R169" s="52"/>
      <c r="S169" s="52"/>
    </row>
    <row r="170" spans="14:19" x14ac:dyDescent="0.15">
      <c r="N170" s="52"/>
      <c r="O170" s="53"/>
      <c r="P170" s="52"/>
      <c r="Q170" s="54"/>
      <c r="R170" s="52"/>
      <c r="S170" s="52"/>
    </row>
    <row r="171" spans="14:19" x14ac:dyDescent="0.15">
      <c r="N171" s="52"/>
      <c r="O171" s="53"/>
      <c r="P171" s="52"/>
      <c r="Q171" s="54"/>
      <c r="R171" s="52"/>
      <c r="S171" s="52"/>
    </row>
    <row r="172" spans="14:19" x14ac:dyDescent="0.15">
      <c r="N172" s="52"/>
      <c r="O172" s="53"/>
      <c r="P172" s="52"/>
      <c r="Q172" s="54"/>
      <c r="R172" s="52"/>
      <c r="S172" s="52"/>
    </row>
    <row r="173" spans="14:19" x14ac:dyDescent="0.15">
      <c r="N173" s="52"/>
      <c r="O173" s="53"/>
      <c r="P173" s="52"/>
      <c r="Q173" s="54"/>
      <c r="R173" s="52"/>
      <c r="S173" s="52"/>
    </row>
    <row r="174" spans="14:19" x14ac:dyDescent="0.15">
      <c r="N174" s="52"/>
      <c r="O174" s="53"/>
      <c r="P174" s="52"/>
      <c r="Q174" s="54"/>
      <c r="R174" s="52"/>
      <c r="S174" s="52"/>
    </row>
    <row r="175" spans="14:19" x14ac:dyDescent="0.15">
      <c r="N175" s="52"/>
      <c r="O175" s="53"/>
      <c r="P175" s="52"/>
      <c r="Q175" s="54"/>
      <c r="R175" s="52"/>
      <c r="S175" s="52"/>
    </row>
    <row r="176" spans="14:19" x14ac:dyDescent="0.15">
      <c r="N176" s="52"/>
      <c r="O176" s="53"/>
      <c r="P176" s="52"/>
      <c r="Q176" s="54"/>
      <c r="R176" s="52"/>
      <c r="S176" s="52"/>
    </row>
    <row r="177" spans="14:19" x14ac:dyDescent="0.15">
      <c r="N177" s="52"/>
      <c r="O177" s="53"/>
      <c r="P177" s="52"/>
      <c r="Q177" s="54"/>
      <c r="R177" s="52"/>
      <c r="S177" s="52"/>
    </row>
    <row r="178" spans="14:19" x14ac:dyDescent="0.15">
      <c r="N178" s="52"/>
      <c r="O178" s="53"/>
      <c r="P178" s="52"/>
      <c r="Q178" s="54"/>
      <c r="R178" s="52"/>
      <c r="S178" s="52"/>
    </row>
    <row r="179" spans="14:19" x14ac:dyDescent="0.15">
      <c r="N179" s="52"/>
      <c r="O179" s="53"/>
      <c r="P179" s="52"/>
      <c r="Q179" s="54"/>
      <c r="R179" s="52"/>
      <c r="S179" s="52"/>
    </row>
    <row r="180" spans="14:19" x14ac:dyDescent="0.15">
      <c r="N180" s="52"/>
      <c r="O180" s="53"/>
      <c r="P180" s="52"/>
      <c r="Q180" s="54"/>
      <c r="R180" s="52"/>
      <c r="S180" s="52"/>
    </row>
    <row r="181" spans="14:19" x14ac:dyDescent="0.15">
      <c r="N181" s="52"/>
      <c r="O181" s="53"/>
      <c r="P181" s="52"/>
      <c r="Q181" s="54"/>
      <c r="R181" s="52"/>
      <c r="S181" s="52"/>
    </row>
    <row r="182" spans="14:19" x14ac:dyDescent="0.15">
      <c r="N182" s="52"/>
      <c r="O182" s="53"/>
      <c r="P182" s="52"/>
      <c r="Q182" s="54"/>
      <c r="R182" s="52"/>
      <c r="S182" s="52"/>
    </row>
    <row r="183" spans="14:19" x14ac:dyDescent="0.15">
      <c r="N183" s="52"/>
      <c r="O183" s="53"/>
      <c r="P183" s="52"/>
      <c r="Q183" s="54"/>
      <c r="R183" s="52"/>
      <c r="S183" s="52"/>
    </row>
    <row r="184" spans="14:19" x14ac:dyDescent="0.15">
      <c r="N184" s="52"/>
      <c r="O184" s="53"/>
      <c r="P184" s="52"/>
      <c r="Q184" s="54"/>
      <c r="R184" s="52"/>
      <c r="S184" s="52"/>
    </row>
    <row r="185" spans="14:19" x14ac:dyDescent="0.15">
      <c r="N185" s="52"/>
      <c r="O185" s="53"/>
      <c r="P185" s="52"/>
      <c r="Q185" s="54"/>
      <c r="R185" s="52"/>
      <c r="S185" s="52"/>
    </row>
    <row r="186" spans="14:19" x14ac:dyDescent="0.15">
      <c r="N186" s="52"/>
      <c r="O186" s="53"/>
      <c r="P186" s="52"/>
      <c r="Q186" s="54"/>
      <c r="R186" s="52"/>
      <c r="S186" s="52"/>
    </row>
    <row r="187" spans="14:19" x14ac:dyDescent="0.15">
      <c r="N187" s="52"/>
      <c r="O187" s="53"/>
      <c r="P187" s="52"/>
      <c r="Q187" s="54"/>
      <c r="R187" s="52"/>
      <c r="S187" s="52"/>
    </row>
    <row r="188" spans="14:19" x14ac:dyDescent="0.15">
      <c r="N188" s="52"/>
      <c r="O188" s="53"/>
      <c r="P188" s="52"/>
      <c r="Q188" s="54"/>
      <c r="R188" s="52"/>
      <c r="S188" s="52"/>
    </row>
    <row r="189" spans="14:19" x14ac:dyDescent="0.15">
      <c r="N189" s="52"/>
      <c r="O189" s="53"/>
      <c r="P189" s="52"/>
      <c r="Q189" s="54"/>
      <c r="R189" s="52"/>
      <c r="S189" s="52"/>
    </row>
    <row r="190" spans="14:19" x14ac:dyDescent="0.15">
      <c r="N190" s="52"/>
      <c r="O190" s="53"/>
      <c r="P190" s="52"/>
      <c r="Q190" s="54"/>
      <c r="R190" s="52"/>
      <c r="S190" s="52"/>
    </row>
    <row r="191" spans="14:19" x14ac:dyDescent="0.15">
      <c r="N191" s="52"/>
      <c r="O191" s="53"/>
      <c r="P191" s="52"/>
      <c r="Q191" s="54"/>
      <c r="R191" s="52"/>
      <c r="S191" s="52"/>
    </row>
    <row r="192" spans="14:19" x14ac:dyDescent="0.15">
      <c r="N192" s="52"/>
      <c r="O192" s="53"/>
      <c r="P192" s="52"/>
      <c r="Q192" s="54"/>
      <c r="R192" s="52"/>
      <c r="S192" s="52"/>
    </row>
    <row r="193" spans="14:19" x14ac:dyDescent="0.15">
      <c r="N193" s="52"/>
      <c r="O193" s="53"/>
      <c r="P193" s="52"/>
      <c r="Q193" s="54"/>
      <c r="R193" s="52"/>
      <c r="S193" s="52"/>
    </row>
    <row r="194" spans="14:19" x14ac:dyDescent="0.15">
      <c r="N194" s="52"/>
      <c r="O194" s="53"/>
      <c r="P194" s="52"/>
      <c r="Q194" s="54"/>
      <c r="R194" s="52"/>
      <c r="S194" s="52"/>
    </row>
    <row r="195" spans="14:19" x14ac:dyDescent="0.15">
      <c r="N195" s="52"/>
      <c r="O195" s="53"/>
      <c r="P195" s="52"/>
      <c r="Q195" s="54"/>
      <c r="R195" s="52"/>
      <c r="S195" s="52"/>
    </row>
    <row r="196" spans="14:19" x14ac:dyDescent="0.15">
      <c r="N196" s="52"/>
      <c r="O196" s="53"/>
      <c r="P196" s="52"/>
      <c r="Q196" s="54"/>
      <c r="R196" s="52"/>
      <c r="S196" s="52"/>
    </row>
    <row r="197" spans="14:19" x14ac:dyDescent="0.15">
      <c r="N197" s="52"/>
      <c r="O197" s="53"/>
      <c r="P197" s="52"/>
      <c r="Q197" s="54"/>
      <c r="R197" s="52"/>
      <c r="S197" s="52"/>
    </row>
    <row r="198" spans="14:19" x14ac:dyDescent="0.15">
      <c r="N198" s="52"/>
      <c r="O198" s="53"/>
      <c r="P198" s="52"/>
      <c r="Q198" s="54"/>
      <c r="R198" s="52"/>
      <c r="S198" s="52"/>
    </row>
    <row r="199" spans="14:19" x14ac:dyDescent="0.15">
      <c r="N199" s="52"/>
      <c r="O199" s="53"/>
      <c r="P199" s="52"/>
      <c r="Q199" s="54"/>
      <c r="R199" s="52"/>
      <c r="S199" s="52"/>
    </row>
    <row r="200" spans="14:19" x14ac:dyDescent="0.15">
      <c r="N200" s="52"/>
      <c r="O200" s="53"/>
      <c r="P200" s="52"/>
      <c r="Q200" s="54"/>
      <c r="R200" s="52"/>
      <c r="S200" s="52"/>
    </row>
    <row r="201" spans="14:19" x14ac:dyDescent="0.15">
      <c r="N201" s="52"/>
      <c r="O201" s="53"/>
      <c r="P201" s="52"/>
      <c r="Q201" s="54"/>
      <c r="R201" s="52"/>
      <c r="S201" s="52"/>
    </row>
    <row r="202" spans="14:19" x14ac:dyDescent="0.15">
      <c r="N202" s="52"/>
      <c r="O202" s="53"/>
      <c r="P202" s="52"/>
      <c r="Q202" s="54"/>
      <c r="R202" s="52"/>
      <c r="S202" s="52"/>
    </row>
    <row r="203" spans="14:19" x14ac:dyDescent="0.15">
      <c r="N203" s="52"/>
      <c r="O203" s="53"/>
      <c r="P203" s="52"/>
      <c r="Q203" s="54"/>
      <c r="R203" s="52"/>
      <c r="S203" s="52"/>
    </row>
    <row r="204" spans="14:19" x14ac:dyDescent="0.15">
      <c r="N204" s="52"/>
      <c r="O204" s="53"/>
      <c r="P204" s="52"/>
      <c r="Q204" s="54"/>
      <c r="R204" s="52"/>
      <c r="S204" s="52"/>
    </row>
    <row r="205" spans="14:19" x14ac:dyDescent="0.15">
      <c r="N205" s="52"/>
      <c r="O205" s="53"/>
      <c r="P205" s="52"/>
      <c r="Q205" s="54"/>
      <c r="R205" s="52"/>
      <c r="S205" s="52"/>
    </row>
    <row r="206" spans="14:19" x14ac:dyDescent="0.15">
      <c r="N206" s="52"/>
      <c r="O206" s="53"/>
      <c r="P206" s="52"/>
      <c r="Q206" s="54"/>
      <c r="R206" s="52"/>
      <c r="S206" s="52"/>
    </row>
    <row r="207" spans="14:19" x14ac:dyDescent="0.15">
      <c r="N207" s="52"/>
      <c r="O207" s="53"/>
      <c r="P207" s="52"/>
      <c r="Q207" s="54"/>
      <c r="R207" s="52"/>
      <c r="S207" s="52"/>
    </row>
    <row r="208" spans="14:19" x14ac:dyDescent="0.15">
      <c r="N208" s="52"/>
      <c r="O208" s="53"/>
      <c r="P208" s="52"/>
      <c r="Q208" s="54"/>
      <c r="R208" s="52"/>
      <c r="S208" s="52"/>
    </row>
    <row r="209" spans="14:19" x14ac:dyDescent="0.15">
      <c r="N209" s="52"/>
      <c r="O209" s="53"/>
      <c r="P209" s="52"/>
      <c r="Q209" s="54"/>
      <c r="R209" s="52"/>
      <c r="S209" s="52"/>
    </row>
    <row r="210" spans="14:19" x14ac:dyDescent="0.15">
      <c r="N210" s="52"/>
      <c r="O210" s="53"/>
      <c r="P210" s="52"/>
      <c r="Q210" s="54"/>
      <c r="R210" s="52"/>
      <c r="S210" s="52"/>
    </row>
    <row r="211" spans="14:19" x14ac:dyDescent="0.15">
      <c r="N211" s="52"/>
      <c r="O211" s="53"/>
      <c r="P211" s="52"/>
      <c r="Q211" s="54"/>
      <c r="R211" s="52"/>
      <c r="S211" s="52"/>
    </row>
    <row r="212" spans="14:19" x14ac:dyDescent="0.15">
      <c r="N212" s="52"/>
      <c r="O212" s="53"/>
      <c r="P212" s="52"/>
      <c r="Q212" s="54"/>
      <c r="R212" s="52"/>
      <c r="S212" s="52"/>
    </row>
    <row r="213" spans="14:19" x14ac:dyDescent="0.15">
      <c r="N213" s="52"/>
      <c r="O213" s="53"/>
      <c r="P213" s="52"/>
      <c r="Q213" s="54"/>
      <c r="R213" s="52"/>
      <c r="S213" s="52"/>
    </row>
    <row r="214" spans="14:19" x14ac:dyDescent="0.15">
      <c r="N214" s="52"/>
      <c r="O214" s="53"/>
      <c r="P214" s="52"/>
      <c r="Q214" s="54"/>
      <c r="R214" s="52"/>
      <c r="S214" s="52"/>
    </row>
    <row r="215" spans="14:19" x14ac:dyDescent="0.15">
      <c r="N215" s="52"/>
      <c r="O215" s="53"/>
      <c r="P215" s="52"/>
      <c r="Q215" s="54"/>
      <c r="R215" s="52"/>
      <c r="S215" s="52"/>
    </row>
    <row r="216" spans="14:19" x14ac:dyDescent="0.15">
      <c r="N216" s="52"/>
      <c r="O216" s="53"/>
      <c r="P216" s="52"/>
      <c r="Q216" s="54"/>
      <c r="R216" s="52"/>
      <c r="S216" s="52"/>
    </row>
    <row r="217" spans="14:19" x14ac:dyDescent="0.15">
      <c r="N217" s="52"/>
      <c r="O217" s="53"/>
      <c r="P217" s="52"/>
      <c r="Q217" s="54"/>
      <c r="R217" s="52"/>
      <c r="S217" s="52"/>
    </row>
    <row r="218" spans="14:19" x14ac:dyDescent="0.15">
      <c r="N218" s="52"/>
      <c r="O218" s="53"/>
      <c r="P218" s="52"/>
      <c r="Q218" s="54"/>
      <c r="R218" s="52"/>
      <c r="S218" s="52"/>
    </row>
    <row r="219" spans="14:19" x14ac:dyDescent="0.15">
      <c r="N219" s="52"/>
      <c r="O219" s="53"/>
      <c r="P219" s="52"/>
      <c r="Q219" s="54"/>
      <c r="R219" s="52"/>
      <c r="S219" s="52"/>
    </row>
    <row r="220" spans="14:19" x14ac:dyDescent="0.15">
      <c r="N220" s="52"/>
      <c r="O220" s="53"/>
      <c r="P220" s="52"/>
      <c r="Q220" s="54"/>
      <c r="R220" s="52"/>
      <c r="S220" s="52"/>
    </row>
    <row r="221" spans="14:19" x14ac:dyDescent="0.15">
      <c r="N221" s="52"/>
      <c r="O221" s="53"/>
      <c r="P221" s="52"/>
      <c r="Q221" s="54"/>
      <c r="R221" s="52"/>
      <c r="S221" s="52"/>
    </row>
    <row r="222" spans="14:19" x14ac:dyDescent="0.15">
      <c r="N222" s="52"/>
      <c r="O222" s="53"/>
      <c r="P222" s="52"/>
      <c r="Q222" s="54"/>
      <c r="R222" s="52"/>
      <c r="S222" s="52"/>
    </row>
    <row r="223" spans="14:19" x14ac:dyDescent="0.15">
      <c r="N223" s="52"/>
      <c r="O223" s="53"/>
      <c r="P223" s="52"/>
      <c r="Q223" s="54"/>
      <c r="R223" s="52"/>
      <c r="S223" s="52"/>
    </row>
    <row r="224" spans="14:19" x14ac:dyDescent="0.15">
      <c r="N224" s="52"/>
      <c r="O224" s="53"/>
      <c r="P224" s="52"/>
      <c r="Q224" s="54"/>
      <c r="R224" s="52"/>
      <c r="S224" s="52"/>
    </row>
    <row r="225" spans="14:19" x14ac:dyDescent="0.15">
      <c r="N225" s="52"/>
      <c r="O225" s="53"/>
      <c r="P225" s="52"/>
      <c r="Q225" s="54"/>
      <c r="R225" s="52"/>
      <c r="S225" s="52"/>
    </row>
    <row r="226" spans="14:19" x14ac:dyDescent="0.15">
      <c r="N226" s="52"/>
      <c r="O226" s="53"/>
      <c r="P226" s="52"/>
      <c r="Q226" s="54"/>
      <c r="R226" s="52"/>
      <c r="S226" s="52"/>
    </row>
    <row r="227" spans="14:19" x14ac:dyDescent="0.15">
      <c r="N227" s="52"/>
      <c r="O227" s="53"/>
      <c r="P227" s="52"/>
      <c r="Q227" s="54"/>
      <c r="R227" s="52"/>
      <c r="S227" s="52"/>
    </row>
    <row r="228" spans="14:19" x14ac:dyDescent="0.15">
      <c r="N228" s="52"/>
      <c r="O228" s="53"/>
      <c r="P228" s="52"/>
      <c r="Q228" s="54"/>
      <c r="R228" s="52"/>
      <c r="S228" s="52"/>
    </row>
    <row r="229" spans="14:19" x14ac:dyDescent="0.15">
      <c r="N229" s="52"/>
      <c r="O229" s="53"/>
      <c r="P229" s="52"/>
      <c r="Q229" s="54"/>
      <c r="R229" s="52"/>
      <c r="S229" s="52"/>
    </row>
    <row r="230" spans="14:19" x14ac:dyDescent="0.15">
      <c r="N230" s="52"/>
      <c r="O230" s="53"/>
      <c r="P230" s="52"/>
      <c r="Q230" s="54"/>
      <c r="R230" s="52"/>
      <c r="S230" s="52"/>
    </row>
    <row r="231" spans="14:19" x14ac:dyDescent="0.15">
      <c r="N231" s="52"/>
      <c r="O231" s="53"/>
      <c r="P231" s="52"/>
      <c r="Q231" s="54"/>
      <c r="R231" s="52"/>
      <c r="S231" s="52"/>
    </row>
    <row r="232" spans="14:19" x14ac:dyDescent="0.15">
      <c r="N232" s="52"/>
      <c r="O232" s="53"/>
      <c r="P232" s="52"/>
      <c r="Q232" s="54"/>
      <c r="R232" s="52"/>
      <c r="S232" s="52"/>
    </row>
    <row r="233" spans="14:19" x14ac:dyDescent="0.15">
      <c r="N233" s="52"/>
      <c r="O233" s="53"/>
      <c r="P233" s="52"/>
      <c r="Q233" s="54"/>
      <c r="R233" s="52"/>
      <c r="S233" s="52"/>
    </row>
    <row r="234" spans="14:19" x14ac:dyDescent="0.15">
      <c r="N234" s="52"/>
      <c r="O234" s="53"/>
      <c r="P234" s="52"/>
      <c r="Q234" s="54"/>
      <c r="R234" s="52"/>
      <c r="S234" s="52"/>
    </row>
    <row r="235" spans="14:19" x14ac:dyDescent="0.15">
      <c r="N235" s="52"/>
      <c r="O235" s="53"/>
      <c r="P235" s="52"/>
      <c r="Q235" s="54"/>
      <c r="R235" s="52"/>
      <c r="S235" s="52"/>
    </row>
    <row r="236" spans="14:19" x14ac:dyDescent="0.15">
      <c r="N236" s="52"/>
      <c r="O236" s="53"/>
      <c r="P236" s="52"/>
      <c r="Q236" s="54"/>
      <c r="R236" s="52"/>
      <c r="S236" s="52"/>
    </row>
    <row r="237" spans="14:19" x14ac:dyDescent="0.15">
      <c r="N237" s="52"/>
      <c r="O237" s="53"/>
      <c r="P237" s="52"/>
      <c r="Q237" s="54"/>
      <c r="R237" s="52"/>
      <c r="S237" s="52"/>
    </row>
    <row r="238" spans="14:19" x14ac:dyDescent="0.15">
      <c r="N238" s="52"/>
      <c r="O238" s="53"/>
      <c r="P238" s="52"/>
      <c r="Q238" s="54"/>
      <c r="R238" s="52"/>
      <c r="S238" s="52"/>
    </row>
    <row r="239" spans="14:19" x14ac:dyDescent="0.15">
      <c r="N239" s="52"/>
      <c r="O239" s="53"/>
      <c r="P239" s="52"/>
      <c r="Q239" s="54"/>
      <c r="R239" s="52"/>
      <c r="S239" s="52"/>
    </row>
    <row r="240" spans="14:19" x14ac:dyDescent="0.15">
      <c r="N240" s="52"/>
      <c r="O240" s="53"/>
      <c r="P240" s="52"/>
      <c r="Q240" s="54"/>
      <c r="R240" s="52"/>
      <c r="S240" s="52"/>
    </row>
    <row r="241" spans="14:19" x14ac:dyDescent="0.15">
      <c r="N241" s="52"/>
      <c r="O241" s="53"/>
      <c r="P241" s="52"/>
      <c r="Q241" s="54"/>
      <c r="R241" s="52"/>
      <c r="S241" s="52"/>
    </row>
    <row r="242" spans="14:19" x14ac:dyDescent="0.15">
      <c r="N242" s="52"/>
      <c r="O242" s="53"/>
      <c r="P242" s="52"/>
      <c r="Q242" s="54"/>
      <c r="R242" s="52"/>
      <c r="S242" s="52"/>
    </row>
    <row r="243" spans="14:19" x14ac:dyDescent="0.15">
      <c r="N243" s="52"/>
      <c r="O243" s="53"/>
      <c r="P243" s="52"/>
      <c r="Q243" s="54"/>
      <c r="R243" s="52"/>
      <c r="S243" s="52"/>
    </row>
    <row r="244" spans="14:19" x14ac:dyDescent="0.15">
      <c r="N244" s="52"/>
      <c r="O244" s="53"/>
      <c r="P244" s="52"/>
      <c r="Q244" s="54"/>
      <c r="R244" s="52"/>
      <c r="S244" s="52"/>
    </row>
    <row r="245" spans="14:19" x14ac:dyDescent="0.15">
      <c r="N245" s="52"/>
      <c r="O245" s="53"/>
      <c r="P245" s="52"/>
      <c r="Q245" s="54"/>
      <c r="R245" s="52"/>
      <c r="S245" s="52"/>
    </row>
    <row r="246" spans="14:19" x14ac:dyDescent="0.15">
      <c r="N246" s="52"/>
      <c r="O246" s="53"/>
      <c r="P246" s="52"/>
      <c r="Q246" s="54"/>
      <c r="R246" s="52"/>
      <c r="S246" s="52"/>
    </row>
    <row r="247" spans="14:19" x14ac:dyDescent="0.15">
      <c r="N247" s="52"/>
      <c r="O247" s="53"/>
      <c r="P247" s="52"/>
      <c r="Q247" s="54"/>
      <c r="R247" s="52"/>
      <c r="S247" s="52"/>
    </row>
    <row r="248" spans="14:19" x14ac:dyDescent="0.15">
      <c r="N248" s="52"/>
      <c r="O248" s="53"/>
      <c r="P248" s="52"/>
      <c r="Q248" s="54"/>
      <c r="R248" s="52"/>
      <c r="S248" s="52"/>
    </row>
    <row r="249" spans="14:19" x14ac:dyDescent="0.15">
      <c r="N249" s="52"/>
      <c r="O249" s="53"/>
      <c r="P249" s="52"/>
      <c r="Q249" s="54"/>
      <c r="R249" s="52"/>
      <c r="S249" s="52"/>
    </row>
    <row r="250" spans="14:19" x14ac:dyDescent="0.15">
      <c r="N250" s="52"/>
      <c r="O250" s="53"/>
      <c r="P250" s="52"/>
      <c r="Q250" s="54"/>
      <c r="R250" s="52"/>
      <c r="S250" s="52"/>
    </row>
    <row r="251" spans="14:19" x14ac:dyDescent="0.15">
      <c r="N251" s="52"/>
      <c r="O251" s="53"/>
      <c r="P251" s="52"/>
      <c r="Q251" s="54"/>
      <c r="R251" s="52"/>
      <c r="S251" s="52"/>
    </row>
    <row r="252" spans="14:19" x14ac:dyDescent="0.15">
      <c r="N252" s="52"/>
      <c r="O252" s="53"/>
      <c r="P252" s="52"/>
      <c r="Q252" s="54"/>
      <c r="R252" s="52"/>
      <c r="S252" s="52"/>
    </row>
    <row r="253" spans="14:19" x14ac:dyDescent="0.15">
      <c r="N253" s="52"/>
      <c r="O253" s="53"/>
      <c r="P253" s="52"/>
      <c r="Q253" s="54"/>
      <c r="R253" s="52"/>
      <c r="S253" s="52"/>
    </row>
    <row r="254" spans="14:19" x14ac:dyDescent="0.15">
      <c r="N254" s="52"/>
      <c r="O254" s="53"/>
      <c r="P254" s="52"/>
      <c r="Q254" s="54"/>
      <c r="R254" s="52"/>
      <c r="S254" s="52"/>
    </row>
    <row r="255" spans="14:19" x14ac:dyDescent="0.15">
      <c r="N255" s="52"/>
      <c r="O255" s="53"/>
      <c r="P255" s="52"/>
      <c r="Q255" s="54"/>
      <c r="R255" s="52"/>
      <c r="S255" s="52"/>
    </row>
    <row r="256" spans="14:19" x14ac:dyDescent="0.15">
      <c r="N256" s="52"/>
      <c r="O256" s="53"/>
      <c r="P256" s="52"/>
      <c r="Q256" s="54"/>
      <c r="R256" s="52"/>
      <c r="S256" s="52"/>
    </row>
    <row r="257" spans="14:19" x14ac:dyDescent="0.15">
      <c r="N257" s="52"/>
      <c r="O257" s="53"/>
      <c r="P257" s="52"/>
      <c r="Q257" s="54"/>
      <c r="R257" s="52"/>
      <c r="S257" s="52"/>
    </row>
    <row r="258" spans="14:19" x14ac:dyDescent="0.15">
      <c r="N258" s="52"/>
      <c r="O258" s="53"/>
      <c r="P258" s="52"/>
      <c r="Q258" s="54"/>
      <c r="R258" s="52"/>
      <c r="S258" s="52"/>
    </row>
    <row r="259" spans="14:19" x14ac:dyDescent="0.15">
      <c r="N259" s="52"/>
      <c r="O259" s="53"/>
      <c r="P259" s="52"/>
      <c r="Q259" s="54"/>
      <c r="R259" s="52"/>
      <c r="S259" s="52"/>
    </row>
    <row r="260" spans="14:19" x14ac:dyDescent="0.15">
      <c r="N260" s="52"/>
      <c r="O260" s="53"/>
      <c r="P260" s="52"/>
      <c r="Q260" s="54"/>
      <c r="R260" s="52"/>
      <c r="S260" s="52"/>
    </row>
    <row r="261" spans="14:19" x14ac:dyDescent="0.15">
      <c r="N261" s="52"/>
      <c r="O261" s="53"/>
      <c r="P261" s="52"/>
      <c r="Q261" s="54"/>
      <c r="R261" s="52"/>
      <c r="S261" s="52"/>
    </row>
    <row r="262" spans="14:19" x14ac:dyDescent="0.15">
      <c r="N262" s="52"/>
      <c r="O262" s="53"/>
      <c r="P262" s="52"/>
      <c r="Q262" s="54"/>
      <c r="R262" s="52"/>
      <c r="S262" s="52"/>
    </row>
    <row r="263" spans="14:19" x14ac:dyDescent="0.15">
      <c r="N263" s="52"/>
      <c r="O263" s="53"/>
      <c r="P263" s="52"/>
      <c r="Q263" s="54"/>
      <c r="R263" s="52"/>
      <c r="S263" s="52"/>
    </row>
    <row r="264" spans="14:19" x14ac:dyDescent="0.15">
      <c r="N264" s="52"/>
      <c r="O264" s="53"/>
      <c r="P264" s="52"/>
      <c r="Q264" s="54"/>
      <c r="R264" s="52"/>
      <c r="S264" s="52"/>
    </row>
    <row r="265" spans="14:19" x14ac:dyDescent="0.15">
      <c r="N265" s="52"/>
      <c r="O265" s="53"/>
      <c r="P265" s="52"/>
      <c r="Q265" s="54"/>
      <c r="R265" s="52"/>
      <c r="S265" s="52"/>
    </row>
    <row r="266" spans="14:19" x14ac:dyDescent="0.15">
      <c r="N266" s="52"/>
      <c r="O266" s="53"/>
      <c r="P266" s="52"/>
      <c r="Q266" s="54"/>
      <c r="R266" s="52"/>
      <c r="S266" s="52"/>
    </row>
    <row r="267" spans="14:19" x14ac:dyDescent="0.15">
      <c r="N267" s="52"/>
      <c r="O267" s="53"/>
      <c r="P267" s="52"/>
      <c r="Q267" s="54"/>
      <c r="R267" s="52"/>
      <c r="S267" s="52"/>
    </row>
    <row r="268" spans="14:19" x14ac:dyDescent="0.15">
      <c r="N268" s="52"/>
      <c r="O268" s="53"/>
      <c r="P268" s="52"/>
      <c r="Q268" s="54"/>
      <c r="R268" s="52"/>
      <c r="S268" s="52"/>
    </row>
    <row r="269" spans="14:19" x14ac:dyDescent="0.15">
      <c r="N269" s="52"/>
      <c r="O269" s="53"/>
      <c r="P269" s="52"/>
      <c r="Q269" s="54"/>
      <c r="R269" s="52"/>
      <c r="S269" s="52"/>
    </row>
    <row r="270" spans="14:19" x14ac:dyDescent="0.15">
      <c r="N270" s="52"/>
      <c r="O270" s="53"/>
      <c r="P270" s="52"/>
      <c r="Q270" s="54"/>
      <c r="R270" s="52"/>
      <c r="S270" s="52"/>
    </row>
    <row r="271" spans="14:19" x14ac:dyDescent="0.15">
      <c r="N271" s="52"/>
      <c r="O271" s="53"/>
      <c r="P271" s="52"/>
      <c r="Q271" s="54"/>
      <c r="R271" s="52"/>
      <c r="S271" s="52"/>
    </row>
    <row r="272" spans="14:19" x14ac:dyDescent="0.15">
      <c r="N272" s="52"/>
      <c r="O272" s="53"/>
      <c r="P272" s="52"/>
      <c r="Q272" s="54"/>
      <c r="R272" s="52"/>
      <c r="S272" s="52"/>
    </row>
    <row r="273" spans="14:19" x14ac:dyDescent="0.15">
      <c r="N273" s="52"/>
      <c r="O273" s="53"/>
      <c r="P273" s="52"/>
      <c r="Q273" s="54"/>
      <c r="R273" s="52"/>
      <c r="S273" s="52"/>
    </row>
    <row r="274" spans="14:19" x14ac:dyDescent="0.15">
      <c r="N274" s="52"/>
      <c r="O274" s="53"/>
      <c r="P274" s="52"/>
      <c r="Q274" s="54"/>
      <c r="R274" s="52"/>
      <c r="S274" s="52"/>
    </row>
    <row r="275" spans="14:19" x14ac:dyDescent="0.15">
      <c r="N275" s="52"/>
      <c r="O275" s="53"/>
      <c r="P275" s="52"/>
      <c r="Q275" s="54"/>
      <c r="R275" s="52"/>
      <c r="S275" s="52"/>
    </row>
    <row r="276" spans="14:19" x14ac:dyDescent="0.15">
      <c r="N276" s="52"/>
      <c r="O276" s="53"/>
      <c r="P276" s="52"/>
      <c r="Q276" s="54"/>
      <c r="R276" s="52"/>
      <c r="S276" s="52"/>
    </row>
    <row r="277" spans="14:19" x14ac:dyDescent="0.15">
      <c r="N277" s="52"/>
      <c r="O277" s="53"/>
      <c r="P277" s="52"/>
      <c r="Q277" s="54"/>
      <c r="R277" s="52"/>
      <c r="S277" s="52"/>
    </row>
    <row r="278" spans="14:19" x14ac:dyDescent="0.15">
      <c r="N278" s="52"/>
      <c r="O278" s="53"/>
      <c r="P278" s="52"/>
      <c r="Q278" s="54"/>
      <c r="R278" s="52"/>
      <c r="S278" s="52"/>
    </row>
    <row r="279" spans="14:19" x14ac:dyDescent="0.15">
      <c r="N279" s="52"/>
      <c r="O279" s="53"/>
      <c r="P279" s="52"/>
      <c r="Q279" s="54"/>
      <c r="R279" s="52"/>
      <c r="S279" s="52"/>
    </row>
    <row r="280" spans="14:19" x14ac:dyDescent="0.15">
      <c r="N280" s="52"/>
      <c r="O280" s="53"/>
      <c r="P280" s="52"/>
      <c r="Q280" s="54"/>
      <c r="R280" s="52"/>
      <c r="S280" s="52"/>
    </row>
    <row r="281" spans="14:19" x14ac:dyDescent="0.15">
      <c r="N281" s="52"/>
      <c r="O281" s="53"/>
      <c r="P281" s="52"/>
      <c r="Q281" s="54"/>
      <c r="R281" s="52"/>
      <c r="S281" s="52"/>
    </row>
    <row r="282" spans="14:19" x14ac:dyDescent="0.15">
      <c r="N282" s="52"/>
      <c r="O282" s="53"/>
      <c r="P282" s="52"/>
      <c r="Q282" s="54"/>
      <c r="R282" s="52"/>
      <c r="S282" s="52"/>
    </row>
    <row r="283" spans="14:19" x14ac:dyDescent="0.15">
      <c r="N283" s="52"/>
      <c r="O283" s="53"/>
      <c r="P283" s="52"/>
      <c r="Q283" s="54"/>
      <c r="R283" s="52"/>
      <c r="S283" s="52"/>
    </row>
    <row r="284" spans="14:19" x14ac:dyDescent="0.15">
      <c r="N284" s="52"/>
      <c r="O284" s="53"/>
      <c r="P284" s="52"/>
      <c r="Q284" s="54"/>
      <c r="R284" s="52"/>
      <c r="S284" s="52"/>
    </row>
    <row r="285" spans="14:19" x14ac:dyDescent="0.15">
      <c r="N285" s="52"/>
      <c r="O285" s="53"/>
      <c r="P285" s="52"/>
      <c r="Q285" s="54"/>
      <c r="R285" s="52"/>
      <c r="S285" s="52"/>
    </row>
    <row r="286" spans="14:19" x14ac:dyDescent="0.15">
      <c r="N286" s="52"/>
      <c r="O286" s="53"/>
      <c r="P286" s="52"/>
      <c r="Q286" s="54"/>
      <c r="R286" s="52"/>
      <c r="S286" s="52"/>
    </row>
    <row r="287" spans="14:19" x14ac:dyDescent="0.15">
      <c r="N287" s="52"/>
      <c r="O287" s="53"/>
      <c r="P287" s="52"/>
      <c r="Q287" s="54"/>
      <c r="R287" s="52"/>
      <c r="S287" s="52"/>
    </row>
    <row r="288" spans="14:19" x14ac:dyDescent="0.15">
      <c r="N288" s="52"/>
      <c r="O288" s="53"/>
      <c r="P288" s="52"/>
      <c r="Q288" s="54"/>
      <c r="R288" s="52"/>
      <c r="S288" s="52"/>
    </row>
    <row r="289" spans="14:19" x14ac:dyDescent="0.15">
      <c r="N289" s="52"/>
      <c r="O289" s="53"/>
      <c r="P289" s="52"/>
      <c r="Q289" s="54"/>
      <c r="R289" s="52"/>
      <c r="S289" s="52"/>
    </row>
    <row r="290" spans="14:19" x14ac:dyDescent="0.15">
      <c r="N290" s="52"/>
      <c r="O290" s="53"/>
      <c r="P290" s="52"/>
      <c r="Q290" s="54"/>
      <c r="R290" s="52"/>
      <c r="S290" s="52"/>
    </row>
    <row r="291" spans="14:19" x14ac:dyDescent="0.15">
      <c r="N291" s="52"/>
      <c r="O291" s="53"/>
      <c r="P291" s="52"/>
      <c r="Q291" s="54"/>
      <c r="R291" s="52"/>
      <c r="S291" s="52"/>
    </row>
    <row r="292" spans="14:19" x14ac:dyDescent="0.15">
      <c r="N292" s="52"/>
      <c r="O292" s="53"/>
      <c r="P292" s="52"/>
      <c r="Q292" s="54"/>
      <c r="R292" s="52"/>
      <c r="S292" s="52"/>
    </row>
    <row r="293" spans="14:19" x14ac:dyDescent="0.15">
      <c r="N293" s="52"/>
      <c r="O293" s="53"/>
      <c r="P293" s="52"/>
      <c r="Q293" s="54"/>
      <c r="R293" s="52"/>
      <c r="S293" s="52"/>
    </row>
    <row r="294" spans="14:19" x14ac:dyDescent="0.15">
      <c r="N294" s="52"/>
      <c r="O294" s="53"/>
      <c r="P294" s="52"/>
      <c r="Q294" s="54"/>
      <c r="R294" s="52"/>
      <c r="S294" s="52"/>
    </row>
    <row r="295" spans="14:19" x14ac:dyDescent="0.15">
      <c r="N295" s="52"/>
      <c r="O295" s="53"/>
      <c r="P295" s="52"/>
      <c r="Q295" s="54"/>
      <c r="R295" s="52"/>
      <c r="S295" s="52"/>
    </row>
    <row r="296" spans="14:19" x14ac:dyDescent="0.15">
      <c r="N296" s="52"/>
      <c r="O296" s="53"/>
      <c r="P296" s="52"/>
      <c r="Q296" s="54"/>
      <c r="R296" s="52"/>
      <c r="S296" s="52"/>
    </row>
    <row r="297" spans="14:19" x14ac:dyDescent="0.15">
      <c r="N297" s="52"/>
      <c r="O297" s="53"/>
      <c r="P297" s="52"/>
      <c r="Q297" s="54"/>
      <c r="R297" s="52"/>
      <c r="S297" s="52"/>
    </row>
    <row r="298" spans="14:19" x14ac:dyDescent="0.15">
      <c r="N298" s="52"/>
      <c r="O298" s="53"/>
      <c r="P298" s="52"/>
      <c r="Q298" s="54"/>
      <c r="R298" s="52"/>
      <c r="S298" s="52"/>
    </row>
    <row r="299" spans="14:19" x14ac:dyDescent="0.15">
      <c r="N299" s="52"/>
      <c r="O299" s="53"/>
      <c r="P299" s="52"/>
      <c r="Q299" s="54"/>
      <c r="R299" s="52"/>
      <c r="S299" s="52"/>
    </row>
    <row r="300" spans="14:19" x14ac:dyDescent="0.15">
      <c r="N300" s="52"/>
      <c r="O300" s="53"/>
      <c r="P300" s="52"/>
      <c r="Q300" s="54"/>
      <c r="R300" s="52"/>
      <c r="S300" s="52"/>
    </row>
    <row r="301" spans="14:19" x14ac:dyDescent="0.15">
      <c r="N301" s="52"/>
      <c r="O301" s="53"/>
      <c r="P301" s="52"/>
      <c r="Q301" s="54"/>
      <c r="R301" s="52"/>
      <c r="S301" s="52"/>
    </row>
    <row r="302" spans="14:19" x14ac:dyDescent="0.15">
      <c r="N302" s="52"/>
      <c r="O302" s="53"/>
      <c r="P302" s="52"/>
      <c r="Q302" s="54"/>
      <c r="R302" s="52"/>
      <c r="S302" s="52"/>
    </row>
    <row r="303" spans="14:19" x14ac:dyDescent="0.15">
      <c r="N303" s="52"/>
      <c r="O303" s="53"/>
      <c r="P303" s="52"/>
      <c r="Q303" s="54"/>
      <c r="R303" s="52"/>
      <c r="S303" s="52"/>
    </row>
    <row r="304" spans="14:19" x14ac:dyDescent="0.15">
      <c r="N304" s="52"/>
      <c r="O304" s="53"/>
      <c r="P304" s="52"/>
      <c r="Q304" s="54"/>
      <c r="R304" s="52"/>
      <c r="S304" s="52"/>
    </row>
    <row r="305" spans="14:19" x14ac:dyDescent="0.15">
      <c r="N305" s="52"/>
      <c r="O305" s="53"/>
      <c r="P305" s="52"/>
      <c r="Q305" s="54"/>
      <c r="R305" s="52"/>
      <c r="S305" s="52"/>
    </row>
    <row r="306" spans="14:19" x14ac:dyDescent="0.15">
      <c r="N306" s="52"/>
      <c r="O306" s="53"/>
      <c r="P306" s="52"/>
      <c r="Q306" s="54"/>
      <c r="R306" s="52"/>
      <c r="S306" s="52"/>
    </row>
    <row r="307" spans="14:19" x14ac:dyDescent="0.15">
      <c r="N307" s="52"/>
      <c r="O307" s="53"/>
      <c r="P307" s="52"/>
      <c r="Q307" s="54"/>
      <c r="R307" s="52"/>
      <c r="S307" s="52"/>
    </row>
    <row r="308" spans="14:19" x14ac:dyDescent="0.15">
      <c r="N308" s="52"/>
      <c r="O308" s="53"/>
      <c r="P308" s="52"/>
      <c r="Q308" s="54"/>
      <c r="R308" s="52"/>
      <c r="S308" s="52"/>
    </row>
    <row r="309" spans="14:19" x14ac:dyDescent="0.15">
      <c r="N309" s="52"/>
      <c r="O309" s="53"/>
      <c r="P309" s="52"/>
      <c r="Q309" s="54"/>
      <c r="R309" s="52"/>
      <c r="S309" s="52"/>
    </row>
    <row r="310" spans="14:19" x14ac:dyDescent="0.15">
      <c r="N310" s="52"/>
      <c r="O310" s="53"/>
      <c r="P310" s="52"/>
      <c r="Q310" s="54"/>
      <c r="R310" s="52"/>
      <c r="S310" s="52"/>
    </row>
    <row r="311" spans="14:19" x14ac:dyDescent="0.15">
      <c r="N311" s="52"/>
      <c r="O311" s="53"/>
      <c r="P311" s="52"/>
      <c r="Q311" s="54"/>
      <c r="R311" s="52"/>
      <c r="S311" s="52"/>
    </row>
    <row r="312" spans="14:19" x14ac:dyDescent="0.15">
      <c r="N312" s="52"/>
      <c r="O312" s="53"/>
      <c r="P312" s="52"/>
      <c r="Q312" s="54"/>
      <c r="R312" s="52"/>
      <c r="S312" s="52"/>
    </row>
    <row r="313" spans="14:19" x14ac:dyDescent="0.15">
      <c r="N313" s="52"/>
      <c r="O313" s="53"/>
      <c r="P313" s="52"/>
      <c r="Q313" s="54"/>
      <c r="R313" s="52"/>
      <c r="S313" s="52"/>
    </row>
    <row r="314" spans="14:19" x14ac:dyDescent="0.15">
      <c r="N314" s="52"/>
      <c r="O314" s="53"/>
      <c r="P314" s="52"/>
      <c r="Q314" s="54"/>
      <c r="R314" s="52"/>
      <c r="S314" s="52"/>
    </row>
    <row r="315" spans="14:19" x14ac:dyDescent="0.15">
      <c r="N315" s="52"/>
      <c r="O315" s="53"/>
      <c r="P315" s="52"/>
      <c r="Q315" s="54"/>
      <c r="R315" s="52"/>
      <c r="S315" s="52"/>
    </row>
    <row r="316" spans="14:19" x14ac:dyDescent="0.15">
      <c r="N316" s="52"/>
      <c r="O316" s="53"/>
      <c r="P316" s="52"/>
      <c r="Q316" s="54"/>
      <c r="R316" s="52"/>
      <c r="S316" s="52"/>
    </row>
    <row r="317" spans="14:19" x14ac:dyDescent="0.15">
      <c r="N317" s="52"/>
      <c r="O317" s="53"/>
      <c r="P317" s="52"/>
      <c r="Q317" s="54"/>
      <c r="R317" s="52"/>
      <c r="S317" s="52"/>
    </row>
    <row r="318" spans="14:19" x14ac:dyDescent="0.15">
      <c r="N318" s="52"/>
      <c r="O318" s="53"/>
      <c r="P318" s="52"/>
      <c r="Q318" s="54"/>
      <c r="R318" s="52"/>
      <c r="S318" s="52"/>
    </row>
    <row r="319" spans="14:19" x14ac:dyDescent="0.15">
      <c r="N319" s="52"/>
      <c r="O319" s="53"/>
      <c r="P319" s="52"/>
      <c r="Q319" s="54"/>
      <c r="R319" s="52"/>
      <c r="S319" s="52"/>
    </row>
    <row r="320" spans="14:19" x14ac:dyDescent="0.15">
      <c r="N320" s="52"/>
      <c r="O320" s="53"/>
      <c r="P320" s="52"/>
      <c r="Q320" s="54"/>
      <c r="R320" s="52"/>
      <c r="S320" s="52"/>
    </row>
    <row r="321" spans="14:19" x14ac:dyDescent="0.15">
      <c r="N321" s="52"/>
      <c r="O321" s="53"/>
      <c r="P321" s="52"/>
      <c r="Q321" s="54"/>
      <c r="R321" s="52"/>
      <c r="S321" s="52"/>
    </row>
    <row r="322" spans="14:19" x14ac:dyDescent="0.15">
      <c r="N322" s="52"/>
      <c r="O322" s="53"/>
      <c r="P322" s="52"/>
      <c r="Q322" s="54"/>
      <c r="R322" s="52"/>
      <c r="S322" s="52"/>
    </row>
    <row r="323" spans="14:19" x14ac:dyDescent="0.15">
      <c r="N323" s="52"/>
      <c r="O323" s="53"/>
      <c r="P323" s="52"/>
      <c r="Q323" s="54"/>
      <c r="R323" s="52"/>
      <c r="S323" s="52"/>
    </row>
    <row r="324" spans="14:19" x14ac:dyDescent="0.15">
      <c r="N324" s="52"/>
      <c r="O324" s="53"/>
      <c r="P324" s="52"/>
      <c r="Q324" s="54"/>
      <c r="R324" s="52"/>
      <c r="S324" s="52"/>
    </row>
    <row r="325" spans="14:19" x14ac:dyDescent="0.15">
      <c r="N325" s="52"/>
      <c r="O325" s="53"/>
      <c r="P325" s="52"/>
      <c r="Q325" s="54"/>
      <c r="R325" s="52"/>
      <c r="S325" s="52"/>
    </row>
    <row r="326" spans="14:19" x14ac:dyDescent="0.15">
      <c r="N326" s="52"/>
      <c r="O326" s="53"/>
      <c r="P326" s="52"/>
      <c r="Q326" s="54"/>
      <c r="R326" s="52"/>
      <c r="S326" s="52"/>
    </row>
    <row r="327" spans="14:19" x14ac:dyDescent="0.15">
      <c r="N327" s="52"/>
      <c r="O327" s="53"/>
      <c r="P327" s="52"/>
      <c r="Q327" s="54"/>
      <c r="R327" s="52"/>
      <c r="S327" s="52"/>
    </row>
    <row r="328" spans="14:19" x14ac:dyDescent="0.15">
      <c r="N328" s="52"/>
      <c r="O328" s="53"/>
      <c r="P328" s="52"/>
      <c r="Q328" s="54"/>
      <c r="R328" s="52"/>
      <c r="S328" s="52"/>
    </row>
    <row r="329" spans="14:19" x14ac:dyDescent="0.15">
      <c r="N329" s="52"/>
      <c r="O329" s="53"/>
      <c r="P329" s="52"/>
      <c r="Q329" s="54"/>
      <c r="R329" s="52"/>
      <c r="S329" s="52"/>
    </row>
    <row r="330" spans="14:19" x14ac:dyDescent="0.15">
      <c r="N330" s="52"/>
      <c r="O330" s="53"/>
      <c r="P330" s="52"/>
      <c r="Q330" s="54"/>
      <c r="R330" s="52"/>
      <c r="S330" s="52"/>
    </row>
    <row r="331" spans="14:19" x14ac:dyDescent="0.15">
      <c r="N331" s="52"/>
      <c r="O331" s="53"/>
      <c r="P331" s="52"/>
      <c r="Q331" s="54"/>
      <c r="R331" s="52"/>
      <c r="S331" s="52"/>
    </row>
    <row r="332" spans="14:19" x14ac:dyDescent="0.15">
      <c r="N332" s="52"/>
      <c r="O332" s="53"/>
      <c r="P332" s="52"/>
      <c r="Q332" s="54"/>
      <c r="R332" s="52"/>
      <c r="S332" s="52"/>
    </row>
    <row r="333" spans="14:19" x14ac:dyDescent="0.15">
      <c r="N333" s="52"/>
      <c r="O333" s="53"/>
      <c r="P333" s="52"/>
      <c r="Q333" s="54"/>
      <c r="R333" s="52"/>
      <c r="S333" s="52"/>
    </row>
    <row r="334" spans="14:19" x14ac:dyDescent="0.15">
      <c r="N334" s="52"/>
      <c r="O334" s="53"/>
      <c r="P334" s="52"/>
      <c r="Q334" s="54"/>
      <c r="R334" s="52"/>
      <c r="S334" s="52"/>
    </row>
    <row r="335" spans="14:19" x14ac:dyDescent="0.15">
      <c r="N335" s="52"/>
      <c r="O335" s="53"/>
      <c r="P335" s="52"/>
      <c r="Q335" s="54"/>
      <c r="R335" s="52"/>
      <c r="S335" s="52"/>
    </row>
    <row r="336" spans="14:19" x14ac:dyDescent="0.15">
      <c r="N336" s="52"/>
      <c r="O336" s="53"/>
      <c r="P336" s="52"/>
      <c r="Q336" s="54"/>
      <c r="R336" s="52"/>
      <c r="S336" s="52"/>
    </row>
    <row r="337" spans="14:19" x14ac:dyDescent="0.15">
      <c r="N337" s="52"/>
      <c r="O337" s="53"/>
      <c r="P337" s="52"/>
      <c r="Q337" s="54"/>
      <c r="R337" s="52"/>
      <c r="S337" s="52"/>
    </row>
    <row r="338" spans="14:19" x14ac:dyDescent="0.15">
      <c r="N338" s="52"/>
      <c r="O338" s="53"/>
      <c r="P338" s="52"/>
      <c r="Q338" s="54"/>
      <c r="R338" s="52"/>
      <c r="S338" s="52"/>
    </row>
    <row r="339" spans="14:19" x14ac:dyDescent="0.15">
      <c r="N339" s="52"/>
      <c r="O339" s="53"/>
      <c r="P339" s="52"/>
      <c r="Q339" s="54"/>
      <c r="R339" s="52"/>
      <c r="S339" s="52"/>
    </row>
    <row r="340" spans="14:19" x14ac:dyDescent="0.15">
      <c r="N340" s="52"/>
      <c r="O340" s="53"/>
      <c r="P340" s="52"/>
      <c r="Q340" s="54"/>
      <c r="R340" s="52"/>
      <c r="S340" s="52"/>
    </row>
    <row r="341" spans="14:19" x14ac:dyDescent="0.15">
      <c r="N341" s="52"/>
      <c r="O341" s="53"/>
      <c r="P341" s="52"/>
      <c r="Q341" s="54"/>
      <c r="R341" s="52"/>
      <c r="S341" s="52"/>
    </row>
    <row r="342" spans="14:19" x14ac:dyDescent="0.15">
      <c r="N342" s="52"/>
      <c r="O342" s="53"/>
      <c r="P342" s="52"/>
      <c r="Q342" s="54"/>
      <c r="R342" s="52"/>
      <c r="S342" s="52"/>
    </row>
    <row r="343" spans="14:19" x14ac:dyDescent="0.15">
      <c r="N343" s="52"/>
      <c r="O343" s="53"/>
      <c r="P343" s="52"/>
      <c r="Q343" s="54"/>
      <c r="R343" s="52"/>
      <c r="S343" s="52"/>
    </row>
    <row r="344" spans="14:19" x14ac:dyDescent="0.15">
      <c r="N344" s="52"/>
      <c r="O344" s="53"/>
      <c r="P344" s="52"/>
      <c r="Q344" s="54"/>
      <c r="R344" s="52"/>
      <c r="S344" s="52"/>
    </row>
    <row r="345" spans="14:19" x14ac:dyDescent="0.15">
      <c r="N345" s="52"/>
      <c r="O345" s="53"/>
      <c r="P345" s="52"/>
      <c r="Q345" s="54"/>
      <c r="R345" s="52"/>
      <c r="S345" s="52"/>
    </row>
    <row r="346" spans="14:19" x14ac:dyDescent="0.15">
      <c r="N346" s="52"/>
      <c r="O346" s="53"/>
      <c r="P346" s="52"/>
      <c r="Q346" s="54"/>
      <c r="R346" s="52"/>
      <c r="S346" s="52"/>
    </row>
    <row r="347" spans="14:19" x14ac:dyDescent="0.15">
      <c r="N347" s="52"/>
      <c r="O347" s="53"/>
      <c r="P347" s="52"/>
      <c r="Q347" s="54"/>
      <c r="R347" s="52"/>
      <c r="S347" s="52"/>
    </row>
    <row r="348" spans="14:19" x14ac:dyDescent="0.15">
      <c r="N348" s="52"/>
      <c r="O348" s="53"/>
      <c r="P348" s="52"/>
      <c r="Q348" s="54"/>
      <c r="R348" s="52"/>
      <c r="S348" s="52"/>
    </row>
    <row r="349" spans="14:19" x14ac:dyDescent="0.15">
      <c r="N349" s="52"/>
      <c r="O349" s="53"/>
      <c r="P349" s="52"/>
      <c r="Q349" s="54"/>
      <c r="R349" s="52"/>
      <c r="S349" s="52"/>
    </row>
    <row r="350" spans="14:19" x14ac:dyDescent="0.15">
      <c r="N350" s="52"/>
      <c r="O350" s="53"/>
      <c r="P350" s="52"/>
      <c r="Q350" s="54"/>
      <c r="R350" s="52"/>
      <c r="S350" s="52"/>
    </row>
    <row r="351" spans="14:19" x14ac:dyDescent="0.15">
      <c r="N351" s="52"/>
      <c r="O351" s="53"/>
      <c r="P351" s="52"/>
      <c r="Q351" s="54"/>
      <c r="R351" s="52"/>
      <c r="S351" s="52"/>
    </row>
    <row r="352" spans="14:19" x14ac:dyDescent="0.15">
      <c r="N352" s="52"/>
      <c r="O352" s="53"/>
      <c r="P352" s="52"/>
      <c r="Q352" s="54"/>
      <c r="R352" s="52"/>
      <c r="S352" s="52"/>
    </row>
    <row r="353" spans="14:19" x14ac:dyDescent="0.15">
      <c r="N353" s="52"/>
      <c r="O353" s="53"/>
      <c r="P353" s="52"/>
      <c r="Q353" s="54"/>
      <c r="R353" s="52"/>
      <c r="S353" s="52"/>
    </row>
    <row r="354" spans="14:19" x14ac:dyDescent="0.15">
      <c r="N354" s="52"/>
      <c r="O354" s="53"/>
      <c r="P354" s="52"/>
      <c r="Q354" s="54"/>
      <c r="R354" s="52"/>
      <c r="S354" s="52"/>
    </row>
    <row r="355" spans="14:19" x14ac:dyDescent="0.15">
      <c r="N355" s="52"/>
      <c r="O355" s="53"/>
      <c r="P355" s="52"/>
      <c r="Q355" s="54"/>
      <c r="R355" s="52"/>
      <c r="S355" s="52"/>
    </row>
    <row r="356" spans="14:19" x14ac:dyDescent="0.15">
      <c r="N356" s="52"/>
      <c r="O356" s="53"/>
      <c r="P356" s="52"/>
      <c r="Q356" s="54"/>
      <c r="R356" s="52"/>
      <c r="S356" s="52"/>
    </row>
    <row r="357" spans="14:19" x14ac:dyDescent="0.15">
      <c r="N357" s="52"/>
      <c r="O357" s="53"/>
      <c r="P357" s="52"/>
      <c r="Q357" s="54"/>
      <c r="R357" s="52"/>
      <c r="S357" s="52"/>
    </row>
    <row r="358" spans="14:19" x14ac:dyDescent="0.15">
      <c r="N358" s="52"/>
      <c r="O358" s="53"/>
      <c r="P358" s="52"/>
      <c r="Q358" s="54"/>
      <c r="R358" s="52"/>
      <c r="S358" s="52"/>
    </row>
    <row r="359" spans="14:19" x14ac:dyDescent="0.15">
      <c r="N359" s="52"/>
      <c r="O359" s="53"/>
      <c r="P359" s="52"/>
      <c r="Q359" s="54"/>
      <c r="R359" s="52"/>
      <c r="S359" s="52"/>
    </row>
    <row r="360" spans="14:19" x14ac:dyDescent="0.15">
      <c r="N360" s="52"/>
      <c r="O360" s="53"/>
      <c r="P360" s="52"/>
      <c r="Q360" s="54"/>
      <c r="R360" s="52"/>
      <c r="S360" s="52"/>
    </row>
    <row r="361" spans="14:19" x14ac:dyDescent="0.15">
      <c r="N361" s="52"/>
      <c r="O361" s="53"/>
      <c r="P361" s="52"/>
      <c r="Q361" s="54"/>
      <c r="R361" s="52"/>
      <c r="S361" s="52"/>
    </row>
    <row r="362" spans="14:19" x14ac:dyDescent="0.15">
      <c r="N362" s="52"/>
      <c r="O362" s="53"/>
      <c r="P362" s="52"/>
      <c r="Q362" s="54"/>
      <c r="R362" s="52"/>
      <c r="S362" s="52"/>
    </row>
    <row r="363" spans="14:19" x14ac:dyDescent="0.15">
      <c r="N363" s="52"/>
      <c r="O363" s="53"/>
      <c r="P363" s="52"/>
      <c r="Q363" s="54"/>
      <c r="R363" s="52"/>
      <c r="S363" s="52"/>
    </row>
    <row r="364" spans="14:19" x14ac:dyDescent="0.15">
      <c r="N364" s="52"/>
      <c r="O364" s="53"/>
      <c r="P364" s="52"/>
      <c r="Q364" s="54"/>
      <c r="R364" s="52"/>
      <c r="S364" s="52"/>
    </row>
    <row r="365" spans="14:19" x14ac:dyDescent="0.15">
      <c r="N365" s="52"/>
      <c r="O365" s="53"/>
      <c r="P365" s="52"/>
      <c r="Q365" s="54"/>
      <c r="R365" s="52"/>
      <c r="S365" s="52"/>
    </row>
    <row r="366" spans="14:19" x14ac:dyDescent="0.15">
      <c r="N366" s="52"/>
      <c r="O366" s="53"/>
      <c r="P366" s="52"/>
      <c r="Q366" s="54"/>
      <c r="R366" s="52"/>
      <c r="S366" s="52"/>
    </row>
    <row r="367" spans="14:19" x14ac:dyDescent="0.15">
      <c r="N367" s="52"/>
      <c r="O367" s="53"/>
      <c r="P367" s="52"/>
      <c r="Q367" s="54"/>
      <c r="R367" s="52"/>
      <c r="S367" s="52"/>
    </row>
    <row r="368" spans="14:19" x14ac:dyDescent="0.15">
      <c r="N368" s="52"/>
      <c r="O368" s="53"/>
      <c r="P368" s="52"/>
      <c r="Q368" s="54"/>
      <c r="R368" s="52"/>
      <c r="S368" s="52"/>
    </row>
    <row r="369" spans="14:19" x14ac:dyDescent="0.15">
      <c r="N369" s="52"/>
      <c r="O369" s="53"/>
      <c r="P369" s="52"/>
      <c r="Q369" s="54"/>
      <c r="R369" s="52"/>
      <c r="S369" s="52"/>
    </row>
    <row r="370" spans="14:19" x14ac:dyDescent="0.15">
      <c r="N370" s="52"/>
      <c r="O370" s="53"/>
      <c r="P370" s="52"/>
      <c r="Q370" s="54"/>
      <c r="R370" s="52"/>
      <c r="S370" s="52"/>
    </row>
    <row r="371" spans="14:19" x14ac:dyDescent="0.15">
      <c r="N371" s="52"/>
      <c r="O371" s="53"/>
      <c r="P371" s="52"/>
      <c r="Q371" s="54"/>
      <c r="R371" s="52"/>
      <c r="S371" s="52"/>
    </row>
    <row r="372" spans="14:19" x14ac:dyDescent="0.15">
      <c r="N372" s="52"/>
      <c r="O372" s="53"/>
      <c r="P372" s="52"/>
      <c r="Q372" s="54"/>
      <c r="R372" s="52"/>
      <c r="S372" s="52"/>
    </row>
    <row r="373" spans="14:19" x14ac:dyDescent="0.15">
      <c r="N373" s="52"/>
      <c r="O373" s="53"/>
      <c r="P373" s="52"/>
      <c r="Q373" s="54"/>
      <c r="R373" s="52"/>
      <c r="S373" s="52"/>
    </row>
    <row r="374" spans="14:19" x14ac:dyDescent="0.15">
      <c r="N374" s="52"/>
      <c r="O374" s="53"/>
      <c r="P374" s="52"/>
      <c r="Q374" s="54"/>
      <c r="R374" s="52"/>
      <c r="S374" s="52"/>
    </row>
    <row r="375" spans="14:19" x14ac:dyDescent="0.15">
      <c r="N375" s="52"/>
      <c r="O375" s="53"/>
      <c r="P375" s="52"/>
      <c r="Q375" s="54"/>
      <c r="R375" s="52"/>
      <c r="S375" s="52"/>
    </row>
    <row r="376" spans="14:19" x14ac:dyDescent="0.15">
      <c r="N376" s="52"/>
      <c r="O376" s="53"/>
      <c r="P376" s="52"/>
      <c r="Q376" s="54"/>
      <c r="R376" s="52"/>
      <c r="S376" s="52"/>
    </row>
    <row r="377" spans="14:19" x14ac:dyDescent="0.15">
      <c r="N377" s="52"/>
      <c r="O377" s="53"/>
      <c r="P377" s="52"/>
      <c r="Q377" s="54"/>
      <c r="R377" s="52"/>
      <c r="S377" s="52"/>
    </row>
    <row r="378" spans="14:19" x14ac:dyDescent="0.15">
      <c r="N378" s="52"/>
      <c r="O378" s="53"/>
      <c r="P378" s="52"/>
      <c r="Q378" s="54"/>
      <c r="R378" s="52"/>
      <c r="S378" s="52"/>
    </row>
    <row r="379" spans="14:19" x14ac:dyDescent="0.15">
      <c r="N379" s="52"/>
      <c r="O379" s="53"/>
      <c r="P379" s="52"/>
      <c r="Q379" s="54"/>
      <c r="R379" s="52"/>
      <c r="S379" s="52"/>
    </row>
    <row r="380" spans="14:19" x14ac:dyDescent="0.15">
      <c r="N380" s="52"/>
      <c r="O380" s="53"/>
      <c r="P380" s="52"/>
      <c r="Q380" s="54"/>
      <c r="R380" s="52"/>
      <c r="S380" s="52"/>
    </row>
    <row r="381" spans="14:19" x14ac:dyDescent="0.15">
      <c r="N381" s="52"/>
      <c r="O381" s="53"/>
      <c r="P381" s="52"/>
      <c r="Q381" s="54"/>
      <c r="R381" s="52"/>
      <c r="S381" s="52"/>
    </row>
    <row r="382" spans="14:19" x14ac:dyDescent="0.15">
      <c r="N382" s="52"/>
      <c r="O382" s="53"/>
      <c r="P382" s="52"/>
      <c r="Q382" s="54"/>
      <c r="R382" s="52"/>
      <c r="S382" s="52"/>
    </row>
    <row r="383" spans="14:19" x14ac:dyDescent="0.15">
      <c r="N383" s="52"/>
      <c r="O383" s="53"/>
      <c r="P383" s="52"/>
      <c r="Q383" s="54"/>
      <c r="R383" s="52"/>
      <c r="S383" s="52"/>
    </row>
    <row r="384" spans="14:19" x14ac:dyDescent="0.15">
      <c r="N384" s="52"/>
      <c r="O384" s="53"/>
      <c r="P384" s="52"/>
      <c r="Q384" s="54"/>
      <c r="R384" s="52"/>
      <c r="S384" s="52"/>
    </row>
    <row r="385" spans="14:19" x14ac:dyDescent="0.15">
      <c r="N385" s="52"/>
      <c r="O385" s="53"/>
      <c r="P385" s="52"/>
      <c r="Q385" s="54"/>
      <c r="R385" s="52"/>
      <c r="S385" s="52"/>
    </row>
    <row r="386" spans="14:19" x14ac:dyDescent="0.15">
      <c r="N386" s="52"/>
      <c r="O386" s="53"/>
      <c r="P386" s="52"/>
      <c r="Q386" s="54"/>
      <c r="R386" s="52"/>
      <c r="S386" s="52"/>
    </row>
    <row r="387" spans="14:19" x14ac:dyDescent="0.15">
      <c r="N387" s="52"/>
      <c r="O387" s="53"/>
      <c r="P387" s="52"/>
      <c r="Q387" s="54"/>
      <c r="R387" s="52"/>
      <c r="S387" s="52"/>
    </row>
    <row r="388" spans="14:19" x14ac:dyDescent="0.15">
      <c r="N388" s="52"/>
      <c r="O388" s="53"/>
      <c r="P388" s="52"/>
      <c r="Q388" s="54"/>
      <c r="R388" s="52"/>
      <c r="S388" s="52"/>
    </row>
    <row r="389" spans="14:19" x14ac:dyDescent="0.15">
      <c r="N389" s="52"/>
      <c r="O389" s="53"/>
      <c r="P389" s="52"/>
      <c r="Q389" s="54"/>
      <c r="R389" s="52"/>
      <c r="S389" s="52"/>
    </row>
    <row r="390" spans="14:19" x14ac:dyDescent="0.15">
      <c r="N390" s="52"/>
      <c r="O390" s="53"/>
      <c r="P390" s="52"/>
      <c r="Q390" s="54"/>
      <c r="R390" s="52"/>
      <c r="S390" s="52"/>
    </row>
    <row r="391" spans="14:19" x14ac:dyDescent="0.15">
      <c r="N391" s="52"/>
      <c r="O391" s="53"/>
      <c r="P391" s="52"/>
      <c r="Q391" s="54"/>
      <c r="R391" s="52"/>
      <c r="S391" s="52"/>
    </row>
    <row r="392" spans="14:19" x14ac:dyDescent="0.15">
      <c r="N392" s="52"/>
      <c r="O392" s="53"/>
      <c r="P392" s="52"/>
      <c r="Q392" s="54"/>
      <c r="R392" s="52"/>
      <c r="S392" s="52"/>
    </row>
    <row r="393" spans="14:19" x14ac:dyDescent="0.15">
      <c r="N393" s="52"/>
      <c r="O393" s="53"/>
      <c r="P393" s="52"/>
      <c r="Q393" s="54"/>
      <c r="R393" s="52"/>
      <c r="S393" s="52"/>
    </row>
    <row r="394" spans="14:19" x14ac:dyDescent="0.15">
      <c r="N394" s="52"/>
      <c r="O394" s="53"/>
      <c r="P394" s="52"/>
      <c r="Q394" s="54"/>
      <c r="R394" s="52"/>
      <c r="S394" s="52"/>
    </row>
    <row r="395" spans="14:19" x14ac:dyDescent="0.15">
      <c r="N395" s="52"/>
      <c r="O395" s="53"/>
      <c r="P395" s="52"/>
      <c r="Q395" s="54"/>
      <c r="R395" s="52"/>
      <c r="S395" s="52"/>
    </row>
    <row r="396" spans="14:19" x14ac:dyDescent="0.15">
      <c r="N396" s="52"/>
      <c r="O396" s="53"/>
      <c r="P396" s="52"/>
      <c r="Q396" s="54"/>
      <c r="R396" s="52"/>
      <c r="S396" s="52"/>
    </row>
    <row r="397" spans="14:19" x14ac:dyDescent="0.15">
      <c r="N397" s="52"/>
      <c r="O397" s="53"/>
      <c r="P397" s="52"/>
      <c r="Q397" s="54"/>
      <c r="R397" s="52"/>
      <c r="S397" s="52"/>
    </row>
    <row r="398" spans="14:19" x14ac:dyDescent="0.15">
      <c r="N398" s="52"/>
      <c r="O398" s="53"/>
      <c r="P398" s="52"/>
      <c r="Q398" s="54"/>
      <c r="R398" s="52"/>
      <c r="S398" s="52"/>
    </row>
    <row r="399" spans="14:19" x14ac:dyDescent="0.15">
      <c r="N399" s="52"/>
      <c r="O399" s="53"/>
      <c r="P399" s="52"/>
      <c r="Q399" s="54"/>
      <c r="R399" s="52"/>
      <c r="S399" s="52"/>
    </row>
    <row r="400" spans="14:19" x14ac:dyDescent="0.15">
      <c r="N400" s="52"/>
      <c r="O400" s="53"/>
      <c r="P400" s="52"/>
      <c r="Q400" s="54"/>
      <c r="R400" s="52"/>
      <c r="S400" s="52"/>
    </row>
    <row r="401" spans="14:19" x14ac:dyDescent="0.15">
      <c r="N401" s="52"/>
      <c r="O401" s="53"/>
      <c r="P401" s="52"/>
      <c r="Q401" s="54"/>
      <c r="R401" s="52"/>
      <c r="S401" s="52"/>
    </row>
    <row r="402" spans="14:19" x14ac:dyDescent="0.15">
      <c r="N402" s="52"/>
      <c r="O402" s="53"/>
      <c r="P402" s="52"/>
      <c r="Q402" s="54"/>
      <c r="R402" s="52"/>
      <c r="S402" s="52"/>
    </row>
    <row r="403" spans="14:19" x14ac:dyDescent="0.15">
      <c r="N403" s="52"/>
      <c r="O403" s="53"/>
      <c r="P403" s="52"/>
      <c r="Q403" s="54"/>
      <c r="R403" s="52"/>
      <c r="S403" s="52"/>
    </row>
    <row r="404" spans="14:19" x14ac:dyDescent="0.15">
      <c r="N404" s="52"/>
      <c r="O404" s="53"/>
      <c r="P404" s="52"/>
      <c r="Q404" s="54"/>
      <c r="R404" s="52"/>
      <c r="S404" s="52"/>
    </row>
    <row r="405" spans="14:19" x14ac:dyDescent="0.15">
      <c r="N405" s="52"/>
      <c r="O405" s="53"/>
      <c r="P405" s="52"/>
      <c r="Q405" s="54"/>
      <c r="R405" s="52"/>
      <c r="S405" s="52"/>
    </row>
    <row r="406" spans="14:19" x14ac:dyDescent="0.15">
      <c r="N406" s="52"/>
      <c r="O406" s="53"/>
      <c r="P406" s="52"/>
      <c r="Q406" s="54"/>
      <c r="R406" s="52"/>
      <c r="S406" s="52"/>
    </row>
    <row r="407" spans="14:19" x14ac:dyDescent="0.15">
      <c r="N407" s="52"/>
      <c r="O407" s="53"/>
      <c r="P407" s="52"/>
      <c r="Q407" s="54"/>
      <c r="R407" s="52"/>
      <c r="S407" s="52"/>
    </row>
    <row r="408" spans="14:19" x14ac:dyDescent="0.15">
      <c r="N408" s="52"/>
      <c r="O408" s="53"/>
      <c r="P408" s="52"/>
      <c r="Q408" s="54"/>
      <c r="R408" s="52"/>
      <c r="S408" s="52"/>
    </row>
    <row r="409" spans="14:19" x14ac:dyDescent="0.15">
      <c r="N409" s="52"/>
      <c r="O409" s="53"/>
      <c r="P409" s="52"/>
      <c r="Q409" s="54"/>
      <c r="R409" s="52"/>
      <c r="S409" s="52"/>
    </row>
    <row r="410" spans="14:19" x14ac:dyDescent="0.15">
      <c r="N410" s="52"/>
      <c r="O410" s="53"/>
      <c r="P410" s="52"/>
      <c r="Q410" s="54"/>
      <c r="R410" s="52"/>
      <c r="S410" s="52"/>
    </row>
    <row r="411" spans="14:19" x14ac:dyDescent="0.15">
      <c r="N411" s="52"/>
      <c r="O411" s="53"/>
      <c r="P411" s="52"/>
      <c r="Q411" s="54"/>
      <c r="R411" s="52"/>
      <c r="S411" s="52"/>
    </row>
    <row r="412" spans="14:19" x14ac:dyDescent="0.15">
      <c r="N412" s="52"/>
      <c r="O412" s="53"/>
      <c r="P412" s="52"/>
      <c r="Q412" s="54"/>
      <c r="R412" s="52"/>
      <c r="S412" s="52"/>
    </row>
    <row r="413" spans="14:19" x14ac:dyDescent="0.15">
      <c r="N413" s="52"/>
      <c r="O413" s="53"/>
      <c r="P413" s="52"/>
      <c r="Q413" s="54"/>
      <c r="R413" s="52"/>
      <c r="S413" s="52"/>
    </row>
    <row r="414" spans="14:19" x14ac:dyDescent="0.15">
      <c r="N414" s="52"/>
      <c r="O414" s="53"/>
      <c r="P414" s="52"/>
      <c r="Q414" s="54"/>
      <c r="R414" s="52"/>
      <c r="S414" s="52"/>
    </row>
    <row r="415" spans="14:19" x14ac:dyDescent="0.15">
      <c r="N415" s="52"/>
      <c r="O415" s="53"/>
      <c r="P415" s="52"/>
      <c r="Q415" s="54"/>
      <c r="R415" s="52"/>
      <c r="S415" s="52"/>
    </row>
    <row r="416" spans="14:19" x14ac:dyDescent="0.15">
      <c r="N416" s="52"/>
      <c r="O416" s="53"/>
      <c r="P416" s="52"/>
      <c r="Q416" s="54"/>
      <c r="R416" s="52"/>
      <c r="S416" s="52"/>
    </row>
    <row r="417" spans="14:19" x14ac:dyDescent="0.15">
      <c r="N417" s="52"/>
      <c r="O417" s="53"/>
      <c r="P417" s="52"/>
      <c r="Q417" s="54"/>
      <c r="R417" s="52"/>
      <c r="S417" s="52"/>
    </row>
    <row r="418" spans="14:19" x14ac:dyDescent="0.15">
      <c r="N418" s="52"/>
      <c r="O418" s="53"/>
      <c r="P418" s="52"/>
      <c r="Q418" s="54"/>
      <c r="R418" s="52"/>
      <c r="S418" s="52"/>
    </row>
    <row r="419" spans="14:19" x14ac:dyDescent="0.15">
      <c r="N419" s="52"/>
      <c r="O419" s="53"/>
      <c r="P419" s="52"/>
      <c r="Q419" s="54"/>
      <c r="R419" s="52"/>
      <c r="S419" s="52"/>
    </row>
    <row r="420" spans="14:19" x14ac:dyDescent="0.15">
      <c r="N420" s="52"/>
      <c r="O420" s="53"/>
      <c r="P420" s="52"/>
      <c r="Q420" s="54"/>
      <c r="R420" s="52"/>
      <c r="S420" s="52"/>
    </row>
    <row r="421" spans="14:19" x14ac:dyDescent="0.15">
      <c r="N421" s="52"/>
      <c r="O421" s="53"/>
      <c r="P421" s="52"/>
      <c r="Q421" s="54"/>
      <c r="R421" s="52"/>
      <c r="S421" s="52"/>
    </row>
    <row r="422" spans="14:19" x14ac:dyDescent="0.15">
      <c r="N422" s="52"/>
      <c r="O422" s="53"/>
      <c r="P422" s="52"/>
      <c r="Q422" s="54"/>
      <c r="R422" s="52"/>
      <c r="S422" s="52"/>
    </row>
    <row r="423" spans="14:19" x14ac:dyDescent="0.15">
      <c r="N423" s="52"/>
      <c r="O423" s="53"/>
      <c r="P423" s="52"/>
      <c r="Q423" s="54"/>
      <c r="R423" s="52"/>
      <c r="S423" s="52"/>
    </row>
    <row r="424" spans="14:19" x14ac:dyDescent="0.15">
      <c r="N424" s="52"/>
      <c r="O424" s="53"/>
      <c r="P424" s="52"/>
      <c r="Q424" s="54"/>
      <c r="R424" s="52"/>
      <c r="S424" s="52"/>
    </row>
    <row r="425" spans="14:19" x14ac:dyDescent="0.15">
      <c r="N425" s="52"/>
      <c r="O425" s="53"/>
      <c r="P425" s="52"/>
      <c r="Q425" s="54"/>
      <c r="R425" s="52"/>
      <c r="S425" s="52"/>
    </row>
    <row r="426" spans="14:19" x14ac:dyDescent="0.15">
      <c r="N426" s="52"/>
      <c r="O426" s="53"/>
      <c r="P426" s="52"/>
      <c r="Q426" s="54"/>
      <c r="R426" s="52"/>
      <c r="S426" s="52"/>
    </row>
    <row r="427" spans="14:19" x14ac:dyDescent="0.15">
      <c r="N427" s="52"/>
      <c r="O427" s="53"/>
      <c r="P427" s="52"/>
      <c r="Q427" s="54"/>
      <c r="R427" s="52"/>
      <c r="S427" s="52"/>
    </row>
    <row r="428" spans="14:19" x14ac:dyDescent="0.15">
      <c r="N428" s="52"/>
      <c r="O428" s="53"/>
      <c r="P428" s="52"/>
      <c r="Q428" s="54"/>
      <c r="R428" s="52"/>
      <c r="S428" s="52"/>
    </row>
    <row r="429" spans="14:19" x14ac:dyDescent="0.15">
      <c r="N429" s="52"/>
      <c r="O429" s="53"/>
      <c r="P429" s="52"/>
      <c r="Q429" s="54"/>
      <c r="R429" s="52"/>
      <c r="S429" s="52"/>
    </row>
    <row r="430" spans="14:19" x14ac:dyDescent="0.15">
      <c r="N430" s="52"/>
      <c r="O430" s="53"/>
      <c r="P430" s="52"/>
      <c r="Q430" s="54"/>
      <c r="R430" s="52"/>
      <c r="S430" s="52"/>
    </row>
    <row r="431" spans="14:19" x14ac:dyDescent="0.15">
      <c r="N431" s="52"/>
      <c r="O431" s="53"/>
      <c r="P431" s="52"/>
      <c r="Q431" s="54"/>
      <c r="R431" s="52"/>
      <c r="S431" s="52"/>
    </row>
    <row r="432" spans="14:19" x14ac:dyDescent="0.15">
      <c r="N432" s="52"/>
      <c r="O432" s="53"/>
      <c r="P432" s="52"/>
      <c r="Q432" s="54"/>
      <c r="R432" s="52"/>
      <c r="S432" s="52"/>
    </row>
    <row r="433" spans="14:19" x14ac:dyDescent="0.15">
      <c r="N433" s="52"/>
      <c r="O433" s="53"/>
      <c r="P433" s="52"/>
      <c r="Q433" s="54"/>
      <c r="R433" s="52"/>
      <c r="S433" s="52"/>
    </row>
    <row r="434" spans="14:19" x14ac:dyDescent="0.15">
      <c r="N434" s="52"/>
      <c r="O434" s="53"/>
      <c r="P434" s="52"/>
      <c r="Q434" s="54"/>
      <c r="R434" s="52"/>
      <c r="S434" s="52"/>
    </row>
    <row r="435" spans="14:19" x14ac:dyDescent="0.15">
      <c r="N435" s="52"/>
      <c r="O435" s="53"/>
      <c r="P435" s="52"/>
      <c r="Q435" s="54"/>
      <c r="R435" s="52"/>
      <c r="S435" s="52"/>
    </row>
    <row r="436" spans="14:19" x14ac:dyDescent="0.15">
      <c r="N436" s="52"/>
      <c r="O436" s="53"/>
      <c r="P436" s="52"/>
      <c r="Q436" s="54"/>
      <c r="R436" s="52"/>
      <c r="S436" s="52"/>
    </row>
    <row r="437" spans="14:19" x14ac:dyDescent="0.15">
      <c r="N437" s="52"/>
      <c r="O437" s="53"/>
      <c r="P437" s="52"/>
      <c r="Q437" s="54"/>
      <c r="R437" s="52"/>
      <c r="S437" s="52"/>
    </row>
    <row r="438" spans="14:19" x14ac:dyDescent="0.15">
      <c r="N438" s="52"/>
      <c r="O438" s="53"/>
      <c r="P438" s="52"/>
      <c r="Q438" s="54"/>
      <c r="R438" s="52"/>
      <c r="S438" s="52"/>
    </row>
    <row r="439" spans="14:19" x14ac:dyDescent="0.15">
      <c r="N439" s="52"/>
      <c r="O439" s="53"/>
      <c r="P439" s="52"/>
      <c r="Q439" s="54"/>
      <c r="R439" s="52"/>
      <c r="S439" s="52"/>
    </row>
    <row r="440" spans="14:19" x14ac:dyDescent="0.15">
      <c r="N440" s="52"/>
      <c r="O440" s="53"/>
      <c r="P440" s="52"/>
      <c r="Q440" s="54"/>
      <c r="R440" s="52"/>
      <c r="S440" s="52"/>
    </row>
    <row r="441" spans="14:19" x14ac:dyDescent="0.15">
      <c r="N441" s="52"/>
      <c r="O441" s="53"/>
      <c r="P441" s="52"/>
      <c r="Q441" s="54"/>
      <c r="R441" s="52"/>
      <c r="S441" s="52"/>
    </row>
    <row r="442" spans="14:19" x14ac:dyDescent="0.15">
      <c r="N442" s="52"/>
      <c r="O442" s="53"/>
      <c r="P442" s="52"/>
      <c r="Q442" s="54"/>
      <c r="R442" s="52"/>
      <c r="S442" s="52"/>
    </row>
    <row r="443" spans="14:19" x14ac:dyDescent="0.15">
      <c r="N443" s="52"/>
      <c r="O443" s="53"/>
      <c r="P443" s="52"/>
      <c r="Q443" s="54"/>
      <c r="R443" s="52"/>
      <c r="S443" s="52"/>
    </row>
    <row r="444" spans="14:19" x14ac:dyDescent="0.15">
      <c r="N444" s="52"/>
      <c r="O444" s="53"/>
      <c r="P444" s="52"/>
      <c r="Q444" s="54"/>
      <c r="R444" s="52"/>
      <c r="S444" s="52"/>
    </row>
    <row r="445" spans="14:19" x14ac:dyDescent="0.15">
      <c r="N445" s="52"/>
      <c r="O445" s="53"/>
      <c r="P445" s="52"/>
      <c r="Q445" s="54"/>
      <c r="R445" s="52"/>
      <c r="S445" s="52"/>
    </row>
    <row r="446" spans="14:19" x14ac:dyDescent="0.15">
      <c r="N446" s="52"/>
      <c r="O446" s="53"/>
      <c r="P446" s="52"/>
      <c r="Q446" s="54"/>
      <c r="R446" s="52"/>
      <c r="S446" s="52"/>
    </row>
    <row r="447" spans="14:19" x14ac:dyDescent="0.15">
      <c r="N447" s="52"/>
      <c r="O447" s="53"/>
      <c r="P447" s="52"/>
      <c r="Q447" s="54"/>
      <c r="R447" s="52"/>
      <c r="S447" s="52"/>
    </row>
    <row r="448" spans="14:19" x14ac:dyDescent="0.15">
      <c r="N448" s="52"/>
      <c r="O448" s="53"/>
      <c r="P448" s="52"/>
      <c r="Q448" s="54"/>
      <c r="R448" s="52"/>
      <c r="S448" s="52"/>
    </row>
    <row r="449" spans="14:19" x14ac:dyDescent="0.15">
      <c r="N449" s="52"/>
      <c r="O449" s="53"/>
      <c r="P449" s="52"/>
      <c r="Q449" s="54"/>
      <c r="R449" s="52"/>
      <c r="S449" s="52"/>
    </row>
    <row r="450" spans="14:19" x14ac:dyDescent="0.15">
      <c r="N450" s="52"/>
      <c r="O450" s="53"/>
      <c r="P450" s="52"/>
      <c r="Q450" s="54"/>
      <c r="R450" s="52"/>
      <c r="S450" s="52"/>
    </row>
    <row r="451" spans="14:19" x14ac:dyDescent="0.15">
      <c r="N451" s="52"/>
      <c r="O451" s="53"/>
      <c r="P451" s="52"/>
      <c r="Q451" s="54"/>
      <c r="R451" s="52"/>
      <c r="S451" s="52"/>
    </row>
    <row r="452" spans="14:19" x14ac:dyDescent="0.15">
      <c r="N452" s="52"/>
      <c r="O452" s="53"/>
      <c r="P452" s="52"/>
      <c r="Q452" s="54"/>
      <c r="R452" s="52"/>
      <c r="S452" s="52"/>
    </row>
    <row r="453" spans="14:19" x14ac:dyDescent="0.15">
      <c r="N453" s="52"/>
      <c r="O453" s="53"/>
      <c r="P453" s="52"/>
      <c r="Q453" s="54"/>
      <c r="R453" s="52"/>
      <c r="S453" s="52"/>
    </row>
    <row r="454" spans="14:19" x14ac:dyDescent="0.15">
      <c r="N454" s="52"/>
      <c r="O454" s="53"/>
      <c r="P454" s="52"/>
      <c r="Q454" s="54"/>
      <c r="R454" s="52"/>
      <c r="S454" s="52"/>
    </row>
    <row r="455" spans="14:19" x14ac:dyDescent="0.15">
      <c r="N455" s="52"/>
      <c r="O455" s="53"/>
      <c r="P455" s="52"/>
      <c r="Q455" s="54"/>
      <c r="R455" s="52"/>
      <c r="S455" s="52"/>
    </row>
    <row r="456" spans="14:19" x14ac:dyDescent="0.15">
      <c r="N456" s="52"/>
      <c r="O456" s="53"/>
      <c r="P456" s="52"/>
      <c r="Q456" s="54"/>
      <c r="R456" s="52"/>
      <c r="S456" s="52"/>
    </row>
    <row r="457" spans="14:19" x14ac:dyDescent="0.15">
      <c r="N457" s="52"/>
      <c r="O457" s="53"/>
      <c r="P457" s="52"/>
      <c r="Q457" s="54"/>
      <c r="R457" s="52"/>
      <c r="S457" s="52"/>
    </row>
    <row r="458" spans="14:19" x14ac:dyDescent="0.15">
      <c r="N458" s="52"/>
      <c r="O458" s="53"/>
      <c r="P458" s="52"/>
      <c r="Q458" s="54"/>
      <c r="R458" s="52"/>
      <c r="S458" s="52"/>
    </row>
    <row r="459" spans="14:19" x14ac:dyDescent="0.15">
      <c r="N459" s="52"/>
      <c r="O459" s="53"/>
      <c r="P459" s="52"/>
      <c r="Q459" s="54"/>
      <c r="R459" s="52"/>
      <c r="S459" s="52"/>
    </row>
    <row r="460" spans="14:19" x14ac:dyDescent="0.15">
      <c r="N460" s="52"/>
      <c r="O460" s="53"/>
      <c r="P460" s="52"/>
      <c r="Q460" s="54"/>
      <c r="R460" s="52"/>
      <c r="S460" s="52"/>
    </row>
    <row r="461" spans="14:19" x14ac:dyDescent="0.15">
      <c r="N461" s="52"/>
      <c r="O461" s="53"/>
      <c r="P461" s="52"/>
      <c r="Q461" s="54"/>
      <c r="R461" s="52"/>
      <c r="S461" s="52"/>
    </row>
    <row r="462" spans="14:19" x14ac:dyDescent="0.15">
      <c r="N462" s="52"/>
      <c r="O462" s="53"/>
      <c r="P462" s="52"/>
      <c r="Q462" s="54"/>
      <c r="R462" s="52"/>
      <c r="S462" s="52"/>
    </row>
    <row r="463" spans="14:19" x14ac:dyDescent="0.15">
      <c r="N463" s="52"/>
      <c r="O463" s="53"/>
      <c r="P463" s="52"/>
      <c r="Q463" s="54"/>
      <c r="R463" s="52"/>
      <c r="S463" s="52"/>
    </row>
    <row r="464" spans="14:19" x14ac:dyDescent="0.15">
      <c r="N464" s="52"/>
      <c r="O464" s="53"/>
      <c r="P464" s="52"/>
      <c r="Q464" s="54"/>
      <c r="R464" s="52"/>
      <c r="S464" s="52"/>
    </row>
    <row r="465" spans="14:19" x14ac:dyDescent="0.15">
      <c r="N465" s="52"/>
      <c r="O465" s="53"/>
      <c r="P465" s="52"/>
      <c r="Q465" s="54"/>
      <c r="R465" s="52"/>
      <c r="S465" s="52"/>
    </row>
    <row r="466" spans="14:19" x14ac:dyDescent="0.15">
      <c r="N466" s="52"/>
      <c r="O466" s="53"/>
      <c r="P466" s="52"/>
      <c r="Q466" s="54"/>
      <c r="R466" s="52"/>
      <c r="S466" s="52"/>
    </row>
    <row r="467" spans="14:19" x14ac:dyDescent="0.15">
      <c r="N467" s="52"/>
      <c r="O467" s="53"/>
      <c r="P467" s="52"/>
      <c r="Q467" s="54"/>
      <c r="R467" s="52"/>
      <c r="S467" s="52"/>
    </row>
    <row r="468" spans="14:19" x14ac:dyDescent="0.15">
      <c r="N468" s="52"/>
      <c r="O468" s="53"/>
      <c r="P468" s="52"/>
      <c r="Q468" s="54"/>
      <c r="R468" s="52"/>
      <c r="S468" s="52"/>
    </row>
    <row r="469" spans="14:19" x14ac:dyDescent="0.15">
      <c r="N469" s="52"/>
      <c r="O469" s="53"/>
      <c r="P469" s="52"/>
      <c r="Q469" s="54"/>
      <c r="R469" s="52"/>
      <c r="S469" s="52"/>
    </row>
    <row r="470" spans="14:19" x14ac:dyDescent="0.15">
      <c r="N470" s="52"/>
      <c r="O470" s="53"/>
      <c r="P470" s="52"/>
      <c r="Q470" s="54"/>
      <c r="R470" s="52"/>
      <c r="S470" s="52"/>
    </row>
    <row r="471" spans="14:19" x14ac:dyDescent="0.15">
      <c r="N471" s="52"/>
      <c r="O471" s="53"/>
      <c r="P471" s="52"/>
      <c r="Q471" s="54"/>
      <c r="R471" s="52"/>
      <c r="S471" s="52"/>
    </row>
    <row r="472" spans="14:19" x14ac:dyDescent="0.15">
      <c r="N472" s="52"/>
      <c r="O472" s="53"/>
      <c r="P472" s="52"/>
      <c r="Q472" s="54"/>
      <c r="R472" s="52"/>
      <c r="S472" s="52"/>
    </row>
    <row r="473" spans="14:19" x14ac:dyDescent="0.15">
      <c r="N473" s="52"/>
      <c r="O473" s="53"/>
      <c r="P473" s="52"/>
      <c r="Q473" s="54"/>
      <c r="R473" s="52"/>
      <c r="S473" s="52"/>
    </row>
    <row r="474" spans="14:19" x14ac:dyDescent="0.15">
      <c r="N474" s="52"/>
      <c r="O474" s="53"/>
      <c r="P474" s="52"/>
      <c r="Q474" s="54"/>
      <c r="R474" s="52"/>
      <c r="S474" s="52"/>
    </row>
    <row r="475" spans="14:19" x14ac:dyDescent="0.15">
      <c r="N475" s="52"/>
      <c r="O475" s="53"/>
      <c r="P475" s="52"/>
      <c r="Q475" s="54"/>
      <c r="R475" s="52"/>
      <c r="S475" s="52"/>
    </row>
    <row r="476" spans="14:19" x14ac:dyDescent="0.15">
      <c r="N476" s="52"/>
      <c r="O476" s="53"/>
      <c r="P476" s="52"/>
      <c r="Q476" s="54"/>
      <c r="R476" s="52"/>
      <c r="S476" s="52"/>
    </row>
    <row r="477" spans="14:19" x14ac:dyDescent="0.15">
      <c r="N477" s="52"/>
      <c r="O477" s="53"/>
      <c r="P477" s="52"/>
      <c r="Q477" s="54"/>
      <c r="R477" s="52"/>
      <c r="S477" s="52"/>
    </row>
    <row r="478" spans="14:19" x14ac:dyDescent="0.15">
      <c r="N478" s="52"/>
      <c r="O478" s="53"/>
      <c r="P478" s="52"/>
      <c r="Q478" s="54"/>
      <c r="R478" s="52"/>
      <c r="S478" s="52"/>
    </row>
    <row r="479" spans="14:19" x14ac:dyDescent="0.15">
      <c r="N479" s="52"/>
      <c r="O479" s="53"/>
      <c r="P479" s="52"/>
      <c r="Q479" s="54"/>
      <c r="R479" s="52"/>
      <c r="S479" s="52"/>
    </row>
    <row r="480" spans="14:19" x14ac:dyDescent="0.15">
      <c r="N480" s="52"/>
      <c r="O480" s="53"/>
      <c r="P480" s="52"/>
      <c r="Q480" s="54"/>
      <c r="R480" s="52"/>
      <c r="S480" s="52"/>
    </row>
    <row r="481" spans="14:19" x14ac:dyDescent="0.15">
      <c r="N481" s="52"/>
      <c r="O481" s="53"/>
      <c r="P481" s="52"/>
      <c r="Q481" s="54"/>
      <c r="R481" s="52"/>
      <c r="S481" s="52"/>
    </row>
    <row r="482" spans="14:19" x14ac:dyDescent="0.15">
      <c r="N482" s="52"/>
      <c r="O482" s="53"/>
      <c r="P482" s="52"/>
      <c r="Q482" s="54"/>
      <c r="R482" s="52"/>
      <c r="S482" s="52"/>
    </row>
    <row r="483" spans="14:19" x14ac:dyDescent="0.15">
      <c r="N483" s="52"/>
      <c r="O483" s="53"/>
      <c r="P483" s="52"/>
      <c r="Q483" s="54"/>
      <c r="R483" s="52"/>
      <c r="S483" s="52"/>
    </row>
    <row r="484" spans="14:19" x14ac:dyDescent="0.15">
      <c r="N484" s="52"/>
      <c r="O484" s="53"/>
      <c r="P484" s="52"/>
      <c r="Q484" s="54"/>
      <c r="R484" s="52"/>
      <c r="S484" s="52"/>
    </row>
    <row r="485" spans="14:19" x14ac:dyDescent="0.15">
      <c r="N485" s="52"/>
      <c r="O485" s="53"/>
      <c r="P485" s="52"/>
      <c r="Q485" s="54"/>
      <c r="R485" s="52"/>
      <c r="S485" s="52"/>
    </row>
    <row r="486" spans="14:19" x14ac:dyDescent="0.15">
      <c r="N486" s="52"/>
      <c r="O486" s="53"/>
      <c r="P486" s="52"/>
      <c r="Q486" s="54"/>
      <c r="R486" s="52"/>
      <c r="S486" s="52"/>
    </row>
    <row r="487" spans="14:19" x14ac:dyDescent="0.15">
      <c r="N487" s="52"/>
      <c r="O487" s="53"/>
      <c r="P487" s="52"/>
      <c r="Q487" s="54"/>
      <c r="R487" s="52"/>
      <c r="S487" s="52"/>
    </row>
    <row r="488" spans="14:19" x14ac:dyDescent="0.15">
      <c r="N488" s="52"/>
      <c r="O488" s="53"/>
      <c r="P488" s="52"/>
      <c r="Q488" s="54"/>
      <c r="R488" s="52"/>
      <c r="S488" s="52"/>
    </row>
    <row r="489" spans="14:19" x14ac:dyDescent="0.15">
      <c r="N489" s="52"/>
      <c r="O489" s="53"/>
      <c r="P489" s="52"/>
      <c r="Q489" s="54"/>
      <c r="R489" s="52"/>
      <c r="S489" s="52"/>
    </row>
    <row r="490" spans="14:19" x14ac:dyDescent="0.15">
      <c r="N490" s="52"/>
      <c r="O490" s="53"/>
      <c r="P490" s="52"/>
      <c r="Q490" s="54"/>
      <c r="R490" s="52"/>
      <c r="S490" s="52"/>
    </row>
    <row r="491" spans="14:19" x14ac:dyDescent="0.15">
      <c r="N491" s="52"/>
      <c r="O491" s="53"/>
      <c r="P491" s="52"/>
      <c r="Q491" s="54"/>
      <c r="R491" s="52"/>
      <c r="S491" s="52"/>
    </row>
    <row r="492" spans="14:19" x14ac:dyDescent="0.15">
      <c r="N492" s="52"/>
      <c r="O492" s="53"/>
      <c r="P492" s="52"/>
      <c r="Q492" s="54"/>
      <c r="R492" s="52"/>
      <c r="S492" s="52"/>
    </row>
    <row r="493" spans="14:19" x14ac:dyDescent="0.15">
      <c r="N493" s="52"/>
      <c r="O493" s="53"/>
      <c r="P493" s="52"/>
      <c r="Q493" s="54"/>
      <c r="R493" s="52"/>
      <c r="S493" s="52"/>
    </row>
    <row r="494" spans="14:19" x14ac:dyDescent="0.15">
      <c r="N494" s="52"/>
      <c r="O494" s="53"/>
      <c r="P494" s="52"/>
      <c r="Q494" s="54"/>
      <c r="R494" s="52"/>
      <c r="S494" s="52"/>
    </row>
    <row r="495" spans="14:19" x14ac:dyDescent="0.15">
      <c r="N495" s="52"/>
      <c r="O495" s="53"/>
      <c r="P495" s="52"/>
      <c r="Q495" s="54"/>
      <c r="R495" s="52"/>
      <c r="S495" s="52"/>
    </row>
    <row r="496" spans="14:19" x14ac:dyDescent="0.15">
      <c r="N496" s="52"/>
      <c r="O496" s="53"/>
      <c r="P496" s="52"/>
      <c r="Q496" s="54"/>
      <c r="R496" s="52"/>
      <c r="S496" s="52"/>
    </row>
    <row r="497" spans="14:19" x14ac:dyDescent="0.15">
      <c r="N497" s="52"/>
      <c r="O497" s="53"/>
      <c r="P497" s="52"/>
      <c r="Q497" s="54"/>
      <c r="R497" s="52"/>
      <c r="S497" s="52"/>
    </row>
    <row r="498" spans="14:19" x14ac:dyDescent="0.15">
      <c r="N498" s="52"/>
      <c r="O498" s="53"/>
      <c r="P498" s="52"/>
      <c r="Q498" s="54"/>
      <c r="R498" s="52"/>
      <c r="S498" s="52"/>
    </row>
    <row r="499" spans="14:19" x14ac:dyDescent="0.15">
      <c r="N499" s="52"/>
      <c r="O499" s="53"/>
      <c r="P499" s="52"/>
      <c r="Q499" s="54"/>
      <c r="R499" s="52"/>
      <c r="S499" s="52"/>
    </row>
    <row r="500" spans="14:19" x14ac:dyDescent="0.15">
      <c r="N500" s="52"/>
      <c r="O500" s="53"/>
      <c r="P500" s="52"/>
      <c r="Q500" s="54"/>
      <c r="R500" s="52"/>
      <c r="S500" s="52"/>
    </row>
    <row r="501" spans="14:19" x14ac:dyDescent="0.15">
      <c r="N501" s="52"/>
      <c r="O501" s="53"/>
      <c r="P501" s="52"/>
      <c r="Q501" s="54"/>
      <c r="R501" s="52"/>
      <c r="S501" s="52"/>
    </row>
    <row r="502" spans="14:19" x14ac:dyDescent="0.15">
      <c r="N502" s="52"/>
      <c r="O502" s="53"/>
      <c r="P502" s="52"/>
      <c r="Q502" s="54"/>
      <c r="R502" s="52"/>
      <c r="S502" s="52"/>
    </row>
    <row r="503" spans="14:19" x14ac:dyDescent="0.15">
      <c r="N503" s="52"/>
      <c r="O503" s="53"/>
      <c r="P503" s="52"/>
      <c r="Q503" s="54"/>
      <c r="R503" s="52"/>
      <c r="S503" s="52"/>
    </row>
    <row r="504" spans="14:19" x14ac:dyDescent="0.15">
      <c r="N504" s="52"/>
      <c r="O504" s="53"/>
      <c r="P504" s="52"/>
      <c r="Q504" s="54"/>
      <c r="R504" s="52"/>
      <c r="S504" s="52"/>
    </row>
    <row r="505" spans="14:19" x14ac:dyDescent="0.15">
      <c r="N505" s="52"/>
      <c r="O505" s="53"/>
      <c r="P505" s="52"/>
      <c r="Q505" s="54"/>
      <c r="R505" s="52"/>
      <c r="S505" s="52"/>
    </row>
    <row r="506" spans="14:19" x14ac:dyDescent="0.15">
      <c r="N506" s="52"/>
      <c r="O506" s="53"/>
      <c r="P506" s="52"/>
      <c r="Q506" s="54"/>
      <c r="R506" s="52"/>
      <c r="S506" s="52"/>
    </row>
    <row r="507" spans="14:19" x14ac:dyDescent="0.15">
      <c r="N507" s="52"/>
      <c r="O507" s="53"/>
      <c r="P507" s="52"/>
      <c r="Q507" s="54"/>
      <c r="R507" s="52"/>
      <c r="S507" s="52"/>
    </row>
    <row r="508" spans="14:19" x14ac:dyDescent="0.15">
      <c r="N508" s="52"/>
      <c r="O508" s="53"/>
      <c r="P508" s="52"/>
      <c r="Q508" s="54"/>
      <c r="R508" s="52"/>
      <c r="S508" s="52"/>
    </row>
    <row r="509" spans="14:19" x14ac:dyDescent="0.15">
      <c r="N509" s="52"/>
      <c r="O509" s="53"/>
      <c r="P509" s="52"/>
      <c r="Q509" s="54"/>
      <c r="R509" s="52"/>
      <c r="S509" s="52"/>
    </row>
    <row r="510" spans="14:19" x14ac:dyDescent="0.15">
      <c r="N510" s="52"/>
      <c r="O510" s="53"/>
      <c r="P510" s="52"/>
      <c r="Q510" s="54"/>
      <c r="R510" s="52"/>
      <c r="S510" s="52"/>
    </row>
    <row r="511" spans="14:19" x14ac:dyDescent="0.15">
      <c r="N511" s="52"/>
      <c r="O511" s="53"/>
      <c r="P511" s="52"/>
      <c r="Q511" s="54"/>
      <c r="R511" s="52"/>
      <c r="S511" s="52"/>
    </row>
    <row r="512" spans="14:19" x14ac:dyDescent="0.15">
      <c r="N512" s="52"/>
      <c r="O512" s="53"/>
      <c r="P512" s="52"/>
      <c r="Q512" s="54"/>
      <c r="R512" s="52"/>
      <c r="S512" s="52"/>
    </row>
    <row r="513" spans="14:19" x14ac:dyDescent="0.15">
      <c r="N513" s="52"/>
      <c r="O513" s="53"/>
      <c r="P513" s="52"/>
      <c r="Q513" s="54"/>
      <c r="R513" s="52"/>
      <c r="S513" s="52"/>
    </row>
    <row r="514" spans="14:19" x14ac:dyDescent="0.15">
      <c r="N514" s="52"/>
      <c r="O514" s="53"/>
      <c r="P514" s="52"/>
      <c r="Q514" s="54"/>
      <c r="R514" s="52"/>
      <c r="S514" s="52"/>
    </row>
    <row r="515" spans="14:19" x14ac:dyDescent="0.15">
      <c r="N515" s="52"/>
      <c r="O515" s="53"/>
      <c r="P515" s="52"/>
      <c r="Q515" s="54"/>
      <c r="R515" s="52"/>
      <c r="S515" s="52"/>
    </row>
    <row r="516" spans="14:19" x14ac:dyDescent="0.15">
      <c r="N516" s="52"/>
      <c r="O516" s="53"/>
      <c r="P516" s="52"/>
      <c r="Q516" s="54"/>
      <c r="R516" s="52"/>
      <c r="S516" s="52"/>
    </row>
    <row r="517" spans="14:19" x14ac:dyDescent="0.15">
      <c r="N517" s="52"/>
      <c r="O517" s="53"/>
      <c r="P517" s="52"/>
      <c r="Q517" s="54"/>
      <c r="R517" s="52"/>
      <c r="S517" s="52"/>
    </row>
    <row r="518" spans="14:19" x14ac:dyDescent="0.15">
      <c r="N518" s="52"/>
      <c r="O518" s="53"/>
      <c r="P518" s="52"/>
      <c r="Q518" s="54"/>
      <c r="R518" s="52"/>
      <c r="S518" s="52"/>
    </row>
    <row r="519" spans="14:19" x14ac:dyDescent="0.15">
      <c r="N519" s="52"/>
      <c r="O519" s="53"/>
      <c r="P519" s="52"/>
      <c r="Q519" s="54"/>
      <c r="R519" s="52"/>
      <c r="S519" s="52"/>
    </row>
    <row r="520" spans="14:19" x14ac:dyDescent="0.15">
      <c r="N520" s="52"/>
      <c r="O520" s="53"/>
      <c r="P520" s="52"/>
      <c r="Q520" s="54"/>
      <c r="R520" s="52"/>
      <c r="S520" s="52"/>
    </row>
    <row r="521" spans="14:19" x14ac:dyDescent="0.15">
      <c r="N521" s="52"/>
      <c r="O521" s="53"/>
      <c r="P521" s="52"/>
      <c r="Q521" s="54"/>
      <c r="R521" s="52"/>
      <c r="S521" s="52"/>
    </row>
    <row r="522" spans="14:19" x14ac:dyDescent="0.15">
      <c r="N522" s="52"/>
      <c r="O522" s="53"/>
      <c r="P522" s="52"/>
      <c r="Q522" s="54"/>
      <c r="R522" s="52"/>
      <c r="S522" s="52"/>
    </row>
    <row r="523" spans="14:19" x14ac:dyDescent="0.15">
      <c r="N523" s="52"/>
      <c r="O523" s="53"/>
      <c r="P523" s="52"/>
      <c r="Q523" s="54"/>
      <c r="R523" s="52"/>
      <c r="S523" s="52"/>
    </row>
    <row r="524" spans="14:19" x14ac:dyDescent="0.15">
      <c r="N524" s="52"/>
      <c r="O524" s="53"/>
      <c r="P524" s="52"/>
      <c r="Q524" s="54"/>
      <c r="R524" s="52"/>
      <c r="S524" s="52"/>
    </row>
    <row r="525" spans="14:19" x14ac:dyDescent="0.15">
      <c r="N525" s="52"/>
      <c r="O525" s="53"/>
      <c r="P525" s="52"/>
      <c r="Q525" s="54"/>
      <c r="R525" s="52"/>
      <c r="S525" s="52"/>
    </row>
    <row r="526" spans="14:19" x14ac:dyDescent="0.15">
      <c r="N526" s="52"/>
      <c r="O526" s="53"/>
      <c r="P526" s="52"/>
      <c r="Q526" s="54"/>
      <c r="R526" s="52"/>
      <c r="S526" s="52"/>
    </row>
    <row r="527" spans="14:19" x14ac:dyDescent="0.15">
      <c r="N527" s="52"/>
      <c r="O527" s="53"/>
      <c r="P527" s="52"/>
      <c r="Q527" s="54"/>
      <c r="R527" s="52"/>
      <c r="S527" s="52"/>
    </row>
    <row r="528" spans="14:19" x14ac:dyDescent="0.15">
      <c r="N528" s="52"/>
      <c r="O528" s="53"/>
      <c r="P528" s="52"/>
      <c r="Q528" s="54"/>
      <c r="R528" s="52"/>
      <c r="S528" s="52"/>
    </row>
    <row r="529" spans="14:19" x14ac:dyDescent="0.15">
      <c r="N529" s="52"/>
      <c r="O529" s="53"/>
      <c r="P529" s="52"/>
      <c r="Q529" s="54"/>
      <c r="R529" s="52"/>
      <c r="S529" s="52"/>
    </row>
    <row r="530" spans="14:19" x14ac:dyDescent="0.15">
      <c r="N530" s="52"/>
      <c r="O530" s="53"/>
      <c r="P530" s="52"/>
      <c r="Q530" s="54"/>
      <c r="R530" s="52"/>
      <c r="S530" s="52"/>
    </row>
    <row r="531" spans="14:19" x14ac:dyDescent="0.15">
      <c r="N531" s="52"/>
      <c r="O531" s="53"/>
      <c r="P531" s="52"/>
      <c r="Q531" s="54"/>
      <c r="R531" s="52"/>
      <c r="S531" s="52"/>
    </row>
    <row r="532" spans="14:19" x14ac:dyDescent="0.15">
      <c r="N532" s="52"/>
      <c r="O532" s="53"/>
      <c r="P532" s="52"/>
      <c r="Q532" s="54"/>
      <c r="R532" s="52"/>
      <c r="S532" s="52"/>
    </row>
    <row r="533" spans="14:19" x14ac:dyDescent="0.15">
      <c r="N533" s="52"/>
      <c r="O533" s="53"/>
      <c r="P533" s="52"/>
      <c r="Q533" s="54"/>
      <c r="R533" s="52"/>
      <c r="S533" s="52"/>
    </row>
    <row r="534" spans="14:19" x14ac:dyDescent="0.15">
      <c r="N534" s="52"/>
      <c r="O534" s="53"/>
      <c r="P534" s="52"/>
      <c r="Q534" s="54"/>
      <c r="R534" s="52"/>
      <c r="S534" s="52"/>
    </row>
    <row r="535" spans="14:19" x14ac:dyDescent="0.15">
      <c r="N535" s="52"/>
      <c r="O535" s="53"/>
      <c r="P535" s="52"/>
      <c r="Q535" s="54"/>
      <c r="R535" s="52"/>
      <c r="S535" s="52"/>
    </row>
    <row r="536" spans="14:19" x14ac:dyDescent="0.15">
      <c r="N536" s="52"/>
      <c r="O536" s="53"/>
      <c r="P536" s="52"/>
      <c r="Q536" s="54"/>
      <c r="R536" s="52"/>
      <c r="S536" s="52"/>
    </row>
    <row r="537" spans="14:19" x14ac:dyDescent="0.15">
      <c r="N537" s="52"/>
      <c r="O537" s="53"/>
      <c r="P537" s="52"/>
      <c r="Q537" s="54"/>
      <c r="R537" s="52"/>
      <c r="S537" s="52"/>
    </row>
    <row r="538" spans="14:19" x14ac:dyDescent="0.15">
      <c r="N538" s="52"/>
      <c r="O538" s="53"/>
      <c r="P538" s="52"/>
      <c r="Q538" s="54"/>
      <c r="R538" s="52"/>
      <c r="S538" s="52"/>
    </row>
    <row r="539" spans="14:19" x14ac:dyDescent="0.15">
      <c r="N539" s="52"/>
      <c r="O539" s="53"/>
      <c r="P539" s="52"/>
      <c r="Q539" s="54"/>
      <c r="R539" s="52"/>
      <c r="S539" s="52"/>
    </row>
    <row r="540" spans="14:19" x14ac:dyDescent="0.15">
      <c r="N540" s="52"/>
      <c r="O540" s="53"/>
      <c r="P540" s="52"/>
      <c r="Q540" s="54"/>
      <c r="R540" s="52"/>
      <c r="S540" s="52"/>
    </row>
    <row r="541" spans="14:19" x14ac:dyDescent="0.15">
      <c r="N541" s="52"/>
      <c r="O541" s="53"/>
      <c r="P541" s="52"/>
      <c r="Q541" s="54"/>
      <c r="R541" s="52"/>
      <c r="S541" s="52"/>
    </row>
    <row r="542" spans="14:19" x14ac:dyDescent="0.15">
      <c r="N542" s="52"/>
      <c r="O542" s="53"/>
      <c r="P542" s="52"/>
      <c r="Q542" s="54"/>
      <c r="R542" s="52"/>
      <c r="S542" s="52"/>
    </row>
    <row r="543" spans="14:19" x14ac:dyDescent="0.15">
      <c r="N543" s="52"/>
      <c r="O543" s="53"/>
      <c r="P543" s="52"/>
      <c r="Q543" s="54"/>
      <c r="R543" s="52"/>
      <c r="S543" s="52"/>
    </row>
    <row r="544" spans="14:19" x14ac:dyDescent="0.15">
      <c r="N544" s="52"/>
      <c r="O544" s="53"/>
      <c r="P544" s="52"/>
      <c r="Q544" s="54"/>
      <c r="R544" s="52"/>
      <c r="S544" s="52"/>
    </row>
    <row r="545" spans="14:19" x14ac:dyDescent="0.15">
      <c r="N545" s="52"/>
      <c r="O545" s="53"/>
      <c r="P545" s="52"/>
      <c r="Q545" s="54"/>
      <c r="R545" s="52"/>
      <c r="S545" s="52"/>
    </row>
    <row r="546" spans="14:19" x14ac:dyDescent="0.15">
      <c r="N546" s="52"/>
      <c r="O546" s="53"/>
      <c r="P546" s="52"/>
      <c r="Q546" s="54"/>
      <c r="R546" s="52"/>
      <c r="S546" s="52"/>
    </row>
    <row r="547" spans="14:19" x14ac:dyDescent="0.15">
      <c r="N547" s="52"/>
      <c r="O547" s="53"/>
      <c r="P547" s="52"/>
      <c r="Q547" s="54"/>
      <c r="R547" s="52"/>
      <c r="S547" s="52"/>
    </row>
    <row r="548" spans="14:19" x14ac:dyDescent="0.15">
      <c r="N548" s="52"/>
      <c r="O548" s="53"/>
      <c r="P548" s="52"/>
      <c r="Q548" s="54"/>
      <c r="R548" s="52"/>
      <c r="S548" s="52"/>
    </row>
    <row r="549" spans="14:19" x14ac:dyDescent="0.15">
      <c r="N549" s="52"/>
      <c r="O549" s="53"/>
      <c r="P549" s="52"/>
      <c r="Q549" s="54"/>
      <c r="R549" s="52"/>
      <c r="S549" s="52"/>
    </row>
    <row r="550" spans="14:19" x14ac:dyDescent="0.15">
      <c r="N550" s="52"/>
      <c r="O550" s="53"/>
      <c r="P550" s="52"/>
      <c r="Q550" s="54"/>
      <c r="R550" s="52"/>
      <c r="S550" s="52"/>
    </row>
    <row r="551" spans="14:19" x14ac:dyDescent="0.15">
      <c r="N551" s="52"/>
      <c r="O551" s="53"/>
      <c r="P551" s="52"/>
      <c r="Q551" s="54"/>
      <c r="R551" s="52"/>
      <c r="S551" s="52"/>
    </row>
    <row r="552" spans="14:19" x14ac:dyDescent="0.15">
      <c r="N552" s="52"/>
      <c r="O552" s="53"/>
      <c r="P552" s="52"/>
      <c r="Q552" s="54"/>
      <c r="R552" s="52"/>
      <c r="S552" s="52"/>
    </row>
    <row r="553" spans="14:19" x14ac:dyDescent="0.15">
      <c r="N553" s="52"/>
      <c r="O553" s="53"/>
      <c r="P553" s="52"/>
      <c r="Q553" s="54"/>
      <c r="R553" s="52"/>
      <c r="S553" s="52"/>
    </row>
    <row r="554" spans="14:19" x14ac:dyDescent="0.15">
      <c r="N554" s="52"/>
      <c r="O554" s="53"/>
      <c r="P554" s="52"/>
      <c r="Q554" s="54"/>
      <c r="R554" s="52"/>
      <c r="S554" s="52"/>
    </row>
    <row r="555" spans="14:19" x14ac:dyDescent="0.15">
      <c r="N555" s="52"/>
      <c r="O555" s="53"/>
      <c r="P555" s="52"/>
      <c r="Q555" s="54"/>
      <c r="R555" s="52"/>
      <c r="S555" s="52"/>
    </row>
    <row r="556" spans="14:19" x14ac:dyDescent="0.15">
      <c r="N556" s="52"/>
      <c r="O556" s="53"/>
      <c r="P556" s="52"/>
      <c r="Q556" s="54"/>
      <c r="R556" s="52"/>
      <c r="S556" s="52"/>
    </row>
    <row r="557" spans="14:19" x14ac:dyDescent="0.15">
      <c r="N557" s="52"/>
      <c r="O557" s="53"/>
      <c r="P557" s="52"/>
      <c r="Q557" s="54"/>
      <c r="R557" s="52"/>
      <c r="S557" s="52"/>
    </row>
    <row r="558" spans="14:19" x14ac:dyDescent="0.15">
      <c r="N558" s="52"/>
      <c r="O558" s="53"/>
      <c r="P558" s="52"/>
      <c r="Q558" s="54"/>
      <c r="R558" s="52"/>
      <c r="S558" s="52"/>
    </row>
    <row r="559" spans="14:19" x14ac:dyDescent="0.15">
      <c r="N559" s="52"/>
      <c r="O559" s="53"/>
      <c r="P559" s="52"/>
      <c r="Q559" s="54"/>
      <c r="R559" s="52"/>
      <c r="S559" s="52"/>
    </row>
    <row r="560" spans="14:19" x14ac:dyDescent="0.15">
      <c r="N560" s="52"/>
      <c r="O560" s="53"/>
      <c r="P560" s="52"/>
      <c r="Q560" s="54"/>
      <c r="R560" s="52"/>
      <c r="S560" s="52"/>
    </row>
    <row r="561" spans="14:19" x14ac:dyDescent="0.15">
      <c r="N561" s="52"/>
      <c r="O561" s="53"/>
      <c r="P561" s="52"/>
      <c r="Q561" s="54"/>
      <c r="R561" s="52"/>
      <c r="S561" s="52"/>
    </row>
    <row r="562" spans="14:19" x14ac:dyDescent="0.15">
      <c r="N562" s="52"/>
      <c r="O562" s="53"/>
      <c r="P562" s="52"/>
      <c r="Q562" s="54"/>
      <c r="R562" s="52"/>
      <c r="S562" s="52"/>
    </row>
    <row r="563" spans="14:19" x14ac:dyDescent="0.15">
      <c r="N563" s="52"/>
      <c r="O563" s="53"/>
      <c r="P563" s="52"/>
      <c r="Q563" s="54"/>
      <c r="R563" s="52"/>
      <c r="S563" s="52"/>
    </row>
    <row r="564" spans="14:19" x14ac:dyDescent="0.15">
      <c r="N564" s="52"/>
      <c r="O564" s="53"/>
      <c r="P564" s="52"/>
      <c r="Q564" s="54"/>
      <c r="R564" s="52"/>
      <c r="S564" s="52"/>
    </row>
    <row r="565" spans="14:19" x14ac:dyDescent="0.15">
      <c r="N565" s="52"/>
      <c r="O565" s="53"/>
      <c r="P565" s="52"/>
      <c r="Q565" s="54"/>
      <c r="R565" s="52"/>
      <c r="S565" s="52"/>
    </row>
    <row r="566" spans="14:19" x14ac:dyDescent="0.15">
      <c r="N566" s="52"/>
      <c r="O566" s="53"/>
      <c r="P566" s="52"/>
      <c r="Q566" s="54"/>
      <c r="R566" s="52"/>
      <c r="S566" s="52"/>
    </row>
    <row r="567" spans="14:19" x14ac:dyDescent="0.15">
      <c r="N567" s="52"/>
      <c r="O567" s="53"/>
      <c r="P567" s="52"/>
      <c r="Q567" s="54"/>
      <c r="R567" s="52"/>
      <c r="S567" s="52"/>
    </row>
    <row r="568" spans="14:19" x14ac:dyDescent="0.15">
      <c r="N568" s="52"/>
      <c r="O568" s="53"/>
      <c r="P568" s="52"/>
      <c r="Q568" s="54"/>
      <c r="R568" s="52"/>
      <c r="S568" s="52"/>
    </row>
    <row r="569" spans="14:19" x14ac:dyDescent="0.15">
      <c r="N569" s="52"/>
      <c r="O569" s="53"/>
      <c r="P569" s="52"/>
      <c r="Q569" s="54"/>
      <c r="R569" s="52"/>
      <c r="S569" s="52"/>
    </row>
    <row r="570" spans="14:19" x14ac:dyDescent="0.15">
      <c r="N570" s="52"/>
      <c r="O570" s="53"/>
      <c r="P570" s="52"/>
      <c r="Q570" s="54"/>
      <c r="R570" s="52"/>
      <c r="S570" s="52"/>
    </row>
    <row r="571" spans="14:19" x14ac:dyDescent="0.15">
      <c r="N571" s="52"/>
      <c r="O571" s="53"/>
      <c r="P571" s="52"/>
      <c r="Q571" s="54"/>
      <c r="R571" s="52"/>
      <c r="S571" s="52"/>
    </row>
    <row r="572" spans="14:19" x14ac:dyDescent="0.15">
      <c r="N572" s="52"/>
      <c r="O572" s="53"/>
      <c r="P572" s="52"/>
      <c r="Q572" s="54"/>
      <c r="R572" s="52"/>
      <c r="S572" s="52"/>
    </row>
    <row r="573" spans="14:19" x14ac:dyDescent="0.15">
      <c r="N573" s="52"/>
      <c r="O573" s="53"/>
      <c r="P573" s="52"/>
      <c r="Q573" s="54"/>
      <c r="R573" s="52"/>
      <c r="S573" s="52"/>
    </row>
    <row r="574" spans="14:19" x14ac:dyDescent="0.15">
      <c r="N574" s="52"/>
      <c r="O574" s="53"/>
      <c r="P574" s="52"/>
      <c r="Q574" s="54"/>
      <c r="R574" s="52"/>
      <c r="S574" s="52"/>
    </row>
    <row r="575" spans="14:19" x14ac:dyDescent="0.15">
      <c r="N575" s="52"/>
      <c r="O575" s="53"/>
      <c r="P575" s="52"/>
      <c r="Q575" s="54"/>
      <c r="R575" s="52"/>
      <c r="S575" s="52"/>
    </row>
    <row r="576" spans="14:19" x14ac:dyDescent="0.15">
      <c r="N576" s="52"/>
      <c r="O576" s="53"/>
      <c r="P576" s="52"/>
      <c r="Q576" s="54"/>
      <c r="R576" s="52"/>
      <c r="S576" s="52"/>
    </row>
    <row r="577" spans="14:19" x14ac:dyDescent="0.15">
      <c r="N577" s="52"/>
      <c r="O577" s="53"/>
      <c r="P577" s="52"/>
      <c r="Q577" s="54"/>
      <c r="R577" s="52"/>
      <c r="S577" s="52"/>
    </row>
    <row r="578" spans="14:19" x14ac:dyDescent="0.15">
      <c r="N578" s="52"/>
      <c r="O578" s="53"/>
      <c r="P578" s="52"/>
      <c r="Q578" s="54"/>
      <c r="R578" s="52"/>
      <c r="S578" s="52"/>
    </row>
    <row r="579" spans="14:19" x14ac:dyDescent="0.15">
      <c r="N579" s="52"/>
      <c r="O579" s="53"/>
      <c r="P579" s="52"/>
      <c r="Q579" s="54"/>
      <c r="R579" s="52"/>
      <c r="S579" s="52"/>
    </row>
    <row r="580" spans="14:19" x14ac:dyDescent="0.15">
      <c r="N580" s="52"/>
      <c r="O580" s="53"/>
      <c r="P580" s="52"/>
      <c r="Q580" s="54"/>
      <c r="R580" s="52"/>
      <c r="S580" s="52"/>
    </row>
    <row r="581" spans="14:19" x14ac:dyDescent="0.15">
      <c r="N581" s="52"/>
      <c r="O581" s="53"/>
      <c r="P581" s="52"/>
      <c r="Q581" s="54"/>
      <c r="R581" s="52"/>
      <c r="S581" s="52"/>
    </row>
    <row r="582" spans="14:19" x14ac:dyDescent="0.15">
      <c r="N582" s="52"/>
      <c r="O582" s="53"/>
      <c r="P582" s="52"/>
      <c r="Q582" s="54"/>
      <c r="R582" s="52"/>
      <c r="S582" s="52"/>
    </row>
    <row r="583" spans="14:19" x14ac:dyDescent="0.15">
      <c r="N583" s="52"/>
      <c r="O583" s="53"/>
      <c r="P583" s="52"/>
      <c r="Q583" s="54"/>
      <c r="R583" s="52"/>
      <c r="S583" s="52"/>
    </row>
    <row r="584" spans="14:19" x14ac:dyDescent="0.15">
      <c r="N584" s="52"/>
      <c r="O584" s="53"/>
      <c r="P584" s="52"/>
      <c r="Q584" s="54"/>
      <c r="R584" s="52"/>
      <c r="S584" s="52"/>
    </row>
    <row r="585" spans="14:19" x14ac:dyDescent="0.15">
      <c r="N585" s="52"/>
      <c r="O585" s="53"/>
      <c r="P585" s="52"/>
      <c r="Q585" s="54"/>
      <c r="R585" s="52"/>
      <c r="S585" s="52"/>
    </row>
    <row r="586" spans="14:19" x14ac:dyDescent="0.15">
      <c r="N586" s="52"/>
      <c r="O586" s="53"/>
      <c r="P586" s="52"/>
      <c r="Q586" s="54"/>
      <c r="R586" s="52"/>
      <c r="S586" s="52"/>
    </row>
    <row r="587" spans="14:19" x14ac:dyDescent="0.15">
      <c r="N587" s="52"/>
      <c r="O587" s="53"/>
      <c r="P587" s="52"/>
      <c r="Q587" s="54"/>
      <c r="R587" s="52"/>
      <c r="S587" s="52"/>
    </row>
    <row r="588" spans="14:19" x14ac:dyDescent="0.15">
      <c r="N588" s="52"/>
      <c r="O588" s="53"/>
      <c r="P588" s="52"/>
      <c r="Q588" s="54"/>
      <c r="R588" s="52"/>
      <c r="S588" s="52"/>
    </row>
    <row r="589" spans="14:19" x14ac:dyDescent="0.15">
      <c r="N589" s="52"/>
      <c r="O589" s="53"/>
      <c r="P589" s="52"/>
      <c r="Q589" s="54"/>
      <c r="R589" s="52"/>
      <c r="S589" s="52"/>
    </row>
    <row r="590" spans="14:19" x14ac:dyDescent="0.15">
      <c r="N590" s="52"/>
      <c r="O590" s="53"/>
      <c r="P590" s="52"/>
      <c r="Q590" s="54"/>
      <c r="R590" s="52"/>
      <c r="S590" s="52"/>
    </row>
    <row r="591" spans="14:19" x14ac:dyDescent="0.15">
      <c r="N591" s="52"/>
      <c r="O591" s="53"/>
      <c r="P591" s="52"/>
      <c r="Q591" s="54"/>
      <c r="R591" s="52"/>
      <c r="S591" s="52"/>
    </row>
    <row r="592" spans="14:19" x14ac:dyDescent="0.15">
      <c r="N592" s="52"/>
      <c r="O592" s="53"/>
      <c r="P592" s="52"/>
      <c r="Q592" s="54"/>
      <c r="R592" s="52"/>
      <c r="S592" s="52"/>
    </row>
    <row r="593" spans="14:19" x14ac:dyDescent="0.15">
      <c r="N593" s="52"/>
      <c r="O593" s="53"/>
      <c r="P593" s="52"/>
      <c r="Q593" s="54"/>
      <c r="R593" s="52"/>
      <c r="S593" s="52"/>
    </row>
    <row r="594" spans="14:19" x14ac:dyDescent="0.15">
      <c r="N594" s="52"/>
      <c r="O594" s="53"/>
      <c r="P594" s="52"/>
      <c r="Q594" s="54"/>
      <c r="R594" s="52"/>
      <c r="S594" s="52"/>
    </row>
    <row r="595" spans="14:19" x14ac:dyDescent="0.15">
      <c r="N595" s="52"/>
      <c r="O595" s="53"/>
      <c r="P595" s="52"/>
      <c r="Q595" s="54"/>
      <c r="R595" s="52"/>
      <c r="S595" s="52"/>
    </row>
    <row r="596" spans="14:19" x14ac:dyDescent="0.15">
      <c r="N596" s="52"/>
      <c r="O596" s="53"/>
      <c r="P596" s="52"/>
      <c r="Q596" s="54"/>
      <c r="R596" s="52"/>
      <c r="S596" s="52"/>
    </row>
    <row r="597" spans="14:19" x14ac:dyDescent="0.15">
      <c r="N597" s="52"/>
      <c r="O597" s="53"/>
      <c r="P597" s="52"/>
      <c r="Q597" s="54"/>
      <c r="R597" s="52"/>
      <c r="S597" s="52"/>
    </row>
    <row r="598" spans="14:19" x14ac:dyDescent="0.15">
      <c r="N598" s="52"/>
      <c r="O598" s="53"/>
      <c r="P598" s="52"/>
      <c r="Q598" s="54"/>
      <c r="R598" s="52"/>
      <c r="S598" s="52"/>
    </row>
    <row r="599" spans="14:19" x14ac:dyDescent="0.15">
      <c r="N599" s="52"/>
      <c r="O599" s="53"/>
      <c r="P599" s="52"/>
      <c r="Q599" s="54"/>
      <c r="R599" s="52"/>
      <c r="S599" s="52"/>
    </row>
    <row r="600" spans="14:19" x14ac:dyDescent="0.15">
      <c r="N600" s="52"/>
      <c r="O600" s="53"/>
      <c r="P600" s="52"/>
      <c r="Q600" s="54"/>
      <c r="R600" s="52"/>
      <c r="S600" s="52"/>
    </row>
    <row r="601" spans="14:19" x14ac:dyDescent="0.15">
      <c r="N601" s="52"/>
      <c r="O601" s="53"/>
      <c r="P601" s="52"/>
      <c r="Q601" s="54"/>
      <c r="R601" s="52"/>
      <c r="S601" s="52"/>
    </row>
    <row r="602" spans="14:19" x14ac:dyDescent="0.15">
      <c r="N602" s="52"/>
      <c r="O602" s="53"/>
      <c r="P602" s="52"/>
      <c r="Q602" s="54"/>
      <c r="R602" s="52"/>
      <c r="S602" s="52"/>
    </row>
    <row r="603" spans="14:19" x14ac:dyDescent="0.15">
      <c r="N603" s="52"/>
      <c r="O603" s="53"/>
      <c r="P603" s="52"/>
      <c r="Q603" s="54"/>
      <c r="R603" s="52"/>
      <c r="S603" s="52"/>
    </row>
    <row r="604" spans="14:19" x14ac:dyDescent="0.15">
      <c r="N604" s="52"/>
      <c r="O604" s="53"/>
      <c r="P604" s="52"/>
      <c r="Q604" s="54"/>
      <c r="R604" s="52"/>
      <c r="S604" s="52"/>
    </row>
    <row r="605" spans="14:19" x14ac:dyDescent="0.15">
      <c r="N605" s="52"/>
      <c r="O605" s="53"/>
      <c r="P605" s="52"/>
      <c r="Q605" s="54"/>
      <c r="R605" s="52"/>
      <c r="S605" s="52"/>
    </row>
    <row r="606" spans="14:19" x14ac:dyDescent="0.15">
      <c r="N606" s="52"/>
      <c r="O606" s="53"/>
      <c r="P606" s="52"/>
      <c r="Q606" s="54"/>
      <c r="R606" s="52"/>
      <c r="S606" s="52"/>
    </row>
    <row r="607" spans="14:19" x14ac:dyDescent="0.15">
      <c r="N607" s="52"/>
      <c r="O607" s="53"/>
      <c r="P607" s="52"/>
      <c r="Q607" s="54"/>
      <c r="R607" s="52"/>
      <c r="S607" s="52"/>
    </row>
    <row r="608" spans="14:19" x14ac:dyDescent="0.15">
      <c r="N608" s="52"/>
      <c r="O608" s="53"/>
      <c r="P608" s="52"/>
      <c r="Q608" s="54"/>
      <c r="R608" s="52"/>
      <c r="S608" s="52"/>
    </row>
    <row r="609" spans="14:19" x14ac:dyDescent="0.15">
      <c r="N609" s="52"/>
      <c r="O609" s="53"/>
      <c r="P609" s="52"/>
      <c r="Q609" s="54"/>
      <c r="R609" s="52"/>
      <c r="S609" s="52"/>
    </row>
    <row r="610" spans="14:19" x14ac:dyDescent="0.15">
      <c r="N610" s="52"/>
      <c r="O610" s="53"/>
      <c r="P610" s="52"/>
      <c r="Q610" s="54"/>
      <c r="R610" s="52"/>
      <c r="S610" s="52"/>
    </row>
    <row r="611" spans="14:19" x14ac:dyDescent="0.15">
      <c r="N611" s="52"/>
      <c r="O611" s="53"/>
      <c r="P611" s="52"/>
      <c r="Q611" s="54"/>
      <c r="R611" s="52"/>
      <c r="S611" s="52"/>
    </row>
    <row r="612" spans="14:19" x14ac:dyDescent="0.15">
      <c r="N612" s="52"/>
      <c r="O612" s="53"/>
      <c r="P612" s="52"/>
      <c r="Q612" s="54"/>
      <c r="R612" s="52"/>
      <c r="S612" s="52"/>
    </row>
    <row r="613" spans="14:19" x14ac:dyDescent="0.15">
      <c r="N613" s="52"/>
      <c r="O613" s="53"/>
      <c r="P613" s="52"/>
      <c r="Q613" s="54"/>
      <c r="R613" s="52"/>
      <c r="S613" s="52"/>
    </row>
    <row r="614" spans="14:19" x14ac:dyDescent="0.15">
      <c r="N614" s="52"/>
      <c r="O614" s="53"/>
      <c r="P614" s="52"/>
      <c r="Q614" s="54"/>
      <c r="R614" s="52"/>
      <c r="S614" s="52"/>
    </row>
    <row r="615" spans="14:19" x14ac:dyDescent="0.15">
      <c r="N615" s="52"/>
      <c r="O615" s="53"/>
      <c r="P615" s="52"/>
      <c r="Q615" s="54"/>
      <c r="R615" s="52"/>
      <c r="S615" s="52"/>
    </row>
    <row r="616" spans="14:19" x14ac:dyDescent="0.15">
      <c r="N616" s="52"/>
      <c r="O616" s="53"/>
      <c r="P616" s="52"/>
      <c r="Q616" s="54"/>
      <c r="R616" s="52"/>
      <c r="S616" s="52"/>
    </row>
    <row r="617" spans="14:19" x14ac:dyDescent="0.15">
      <c r="N617" s="52"/>
      <c r="O617" s="53"/>
      <c r="P617" s="52"/>
      <c r="Q617" s="54"/>
      <c r="R617" s="52"/>
      <c r="S617" s="52"/>
    </row>
    <row r="618" spans="14:19" x14ac:dyDescent="0.15">
      <c r="N618" s="52"/>
      <c r="O618" s="53"/>
      <c r="P618" s="52"/>
      <c r="Q618" s="54"/>
      <c r="R618" s="52"/>
      <c r="S618" s="52"/>
    </row>
    <row r="619" spans="14:19" x14ac:dyDescent="0.15">
      <c r="N619" s="52"/>
      <c r="O619" s="53"/>
      <c r="P619" s="52"/>
      <c r="Q619" s="54"/>
      <c r="R619" s="52"/>
      <c r="S619" s="52"/>
    </row>
    <row r="620" spans="14:19" x14ac:dyDescent="0.15">
      <c r="N620" s="52"/>
      <c r="O620" s="53"/>
      <c r="P620" s="52"/>
      <c r="Q620" s="54"/>
      <c r="R620" s="52"/>
      <c r="S620" s="52"/>
    </row>
    <row r="621" spans="14:19" x14ac:dyDescent="0.15">
      <c r="N621" s="52"/>
      <c r="O621" s="53"/>
      <c r="P621" s="52"/>
      <c r="Q621" s="54"/>
      <c r="R621" s="52"/>
      <c r="S621" s="52"/>
    </row>
    <row r="622" spans="14:19" x14ac:dyDescent="0.15">
      <c r="N622" s="52"/>
      <c r="O622" s="53"/>
      <c r="P622" s="52"/>
      <c r="Q622" s="54"/>
      <c r="R622" s="52"/>
      <c r="S622" s="52"/>
    </row>
    <row r="623" spans="14:19" x14ac:dyDescent="0.15">
      <c r="N623" s="52"/>
      <c r="O623" s="53"/>
      <c r="P623" s="52"/>
      <c r="Q623" s="54"/>
      <c r="R623" s="52"/>
      <c r="S623" s="52"/>
    </row>
    <row r="624" spans="14:19" x14ac:dyDescent="0.15">
      <c r="N624" s="52"/>
      <c r="O624" s="53"/>
      <c r="P624" s="52"/>
      <c r="Q624" s="54"/>
      <c r="R624" s="52"/>
      <c r="S624" s="52"/>
    </row>
    <row r="625" spans="14:19" x14ac:dyDescent="0.15">
      <c r="N625" s="52"/>
      <c r="O625" s="53"/>
      <c r="P625" s="52"/>
      <c r="Q625" s="54"/>
      <c r="R625" s="52"/>
      <c r="S625" s="52"/>
    </row>
    <row r="626" spans="14:19" x14ac:dyDescent="0.15">
      <c r="N626" s="52"/>
      <c r="O626" s="53"/>
      <c r="P626" s="52"/>
      <c r="Q626" s="54"/>
      <c r="R626" s="52"/>
      <c r="S626" s="52"/>
    </row>
    <row r="627" spans="14:19" x14ac:dyDescent="0.15">
      <c r="N627" s="52"/>
      <c r="O627" s="53"/>
      <c r="P627" s="52"/>
      <c r="Q627" s="54"/>
      <c r="R627" s="52"/>
      <c r="S627" s="52"/>
    </row>
    <row r="628" spans="14:19" x14ac:dyDescent="0.15">
      <c r="N628" s="52"/>
      <c r="O628" s="53"/>
      <c r="P628" s="52"/>
      <c r="Q628" s="54"/>
      <c r="R628" s="52"/>
      <c r="S628" s="52"/>
    </row>
    <row r="629" spans="14:19" x14ac:dyDescent="0.15">
      <c r="N629" s="52"/>
      <c r="O629" s="53"/>
      <c r="P629" s="52"/>
      <c r="Q629" s="54"/>
      <c r="R629" s="52"/>
      <c r="S629" s="52"/>
    </row>
    <row r="630" spans="14:19" x14ac:dyDescent="0.15">
      <c r="N630" s="52"/>
      <c r="O630" s="53"/>
      <c r="P630" s="52"/>
      <c r="Q630" s="54"/>
      <c r="R630" s="52"/>
      <c r="S630" s="52"/>
    </row>
    <row r="631" spans="14:19" x14ac:dyDescent="0.15">
      <c r="N631" s="52"/>
      <c r="O631" s="53"/>
      <c r="P631" s="52"/>
      <c r="Q631" s="54"/>
      <c r="R631" s="52"/>
      <c r="S631" s="52"/>
    </row>
    <row r="632" spans="14:19" x14ac:dyDescent="0.15">
      <c r="N632" s="52"/>
      <c r="O632" s="53"/>
      <c r="P632" s="52"/>
      <c r="Q632" s="54"/>
      <c r="R632" s="52"/>
      <c r="S632" s="52"/>
    </row>
    <row r="633" spans="14:19" x14ac:dyDescent="0.15">
      <c r="N633" s="52"/>
      <c r="O633" s="53"/>
      <c r="P633" s="52"/>
      <c r="Q633" s="54"/>
      <c r="R633" s="52"/>
      <c r="S633" s="52"/>
    </row>
    <row r="634" spans="14:19" x14ac:dyDescent="0.15">
      <c r="N634" s="52"/>
      <c r="O634" s="53"/>
      <c r="P634" s="52"/>
      <c r="Q634" s="54"/>
      <c r="R634" s="52"/>
      <c r="S634" s="52"/>
    </row>
    <row r="635" spans="14:19" x14ac:dyDescent="0.15">
      <c r="N635" s="52"/>
      <c r="O635" s="53"/>
      <c r="P635" s="52"/>
      <c r="Q635" s="54"/>
      <c r="R635" s="52"/>
      <c r="S635" s="52"/>
    </row>
    <row r="636" spans="14:19" x14ac:dyDescent="0.15">
      <c r="N636" s="52"/>
      <c r="O636" s="53"/>
      <c r="P636" s="52"/>
      <c r="Q636" s="54"/>
      <c r="R636" s="52"/>
      <c r="S636" s="52"/>
    </row>
    <row r="637" spans="14:19" x14ac:dyDescent="0.15">
      <c r="N637" s="52"/>
      <c r="O637" s="53"/>
      <c r="P637" s="52"/>
      <c r="Q637" s="54"/>
      <c r="R637" s="52"/>
      <c r="S637" s="52"/>
    </row>
    <row r="638" spans="14:19" x14ac:dyDescent="0.15">
      <c r="N638" s="52"/>
      <c r="O638" s="53"/>
      <c r="P638" s="52"/>
      <c r="Q638" s="54"/>
      <c r="R638" s="52"/>
      <c r="S638" s="52"/>
    </row>
    <row r="639" spans="14:19" x14ac:dyDescent="0.15">
      <c r="N639" s="52"/>
      <c r="O639" s="53"/>
      <c r="P639" s="52"/>
      <c r="Q639" s="54"/>
      <c r="R639" s="52"/>
      <c r="S639" s="52"/>
    </row>
    <row r="640" spans="14:19" x14ac:dyDescent="0.15">
      <c r="N640" s="52"/>
      <c r="O640" s="53"/>
      <c r="P640" s="52"/>
      <c r="Q640" s="54"/>
      <c r="R640" s="52"/>
      <c r="S640" s="52"/>
    </row>
    <row r="641" spans="14:19" x14ac:dyDescent="0.15">
      <c r="N641" s="52"/>
      <c r="O641" s="53"/>
      <c r="P641" s="52"/>
      <c r="Q641" s="54"/>
      <c r="R641" s="52"/>
      <c r="S641" s="52"/>
    </row>
    <row r="642" spans="14:19" x14ac:dyDescent="0.15">
      <c r="N642" s="52"/>
      <c r="O642" s="53"/>
      <c r="P642" s="52"/>
      <c r="Q642" s="54"/>
      <c r="R642" s="52"/>
      <c r="S642" s="52"/>
    </row>
    <row r="643" spans="14:19" x14ac:dyDescent="0.15">
      <c r="N643" s="52"/>
      <c r="O643" s="53"/>
      <c r="P643" s="52"/>
      <c r="Q643" s="54"/>
      <c r="R643" s="52"/>
      <c r="S643" s="52"/>
    </row>
    <row r="644" spans="14:19" x14ac:dyDescent="0.15">
      <c r="N644" s="52"/>
      <c r="O644" s="53"/>
      <c r="P644" s="52"/>
      <c r="Q644" s="54"/>
      <c r="R644" s="52"/>
      <c r="S644" s="52"/>
    </row>
    <row r="645" spans="14:19" x14ac:dyDescent="0.15">
      <c r="N645" s="52"/>
      <c r="O645" s="53"/>
      <c r="P645" s="52"/>
      <c r="Q645" s="54"/>
      <c r="R645" s="52"/>
      <c r="S645" s="52"/>
    </row>
    <row r="646" spans="14:19" x14ac:dyDescent="0.15">
      <c r="N646" s="52"/>
      <c r="O646" s="53"/>
      <c r="P646" s="52"/>
      <c r="Q646" s="54"/>
      <c r="R646" s="52"/>
      <c r="S646" s="52"/>
    </row>
    <row r="647" spans="14:19" x14ac:dyDescent="0.15">
      <c r="N647" s="52"/>
      <c r="O647" s="53"/>
      <c r="P647" s="52"/>
      <c r="Q647" s="54"/>
      <c r="R647" s="52"/>
      <c r="S647" s="52"/>
    </row>
    <row r="648" spans="14:19" x14ac:dyDescent="0.15">
      <c r="N648" s="52"/>
      <c r="O648" s="53"/>
      <c r="P648" s="52"/>
      <c r="Q648" s="54"/>
      <c r="R648" s="52"/>
      <c r="S648" s="52"/>
    </row>
    <row r="649" spans="14:19" x14ac:dyDescent="0.15">
      <c r="N649" s="52"/>
      <c r="O649" s="53"/>
      <c r="P649" s="52"/>
      <c r="Q649" s="54"/>
      <c r="R649" s="52"/>
      <c r="S649" s="52"/>
    </row>
    <row r="650" spans="14:19" x14ac:dyDescent="0.15">
      <c r="N650" s="52"/>
      <c r="O650" s="53"/>
      <c r="P650" s="52"/>
      <c r="Q650" s="54"/>
      <c r="R650" s="52"/>
      <c r="S650" s="52"/>
    </row>
    <row r="651" spans="14:19" x14ac:dyDescent="0.15">
      <c r="N651" s="52"/>
      <c r="O651" s="53"/>
      <c r="P651" s="52"/>
      <c r="Q651" s="54"/>
      <c r="R651" s="52"/>
      <c r="S651" s="52"/>
    </row>
    <row r="652" spans="14:19" x14ac:dyDescent="0.15">
      <c r="N652" s="52"/>
      <c r="O652" s="53"/>
      <c r="P652" s="52"/>
      <c r="Q652" s="54"/>
      <c r="R652" s="52"/>
      <c r="S652" s="52"/>
    </row>
    <row r="653" spans="14:19" x14ac:dyDescent="0.15">
      <c r="N653" s="52"/>
      <c r="O653" s="53"/>
      <c r="P653" s="52"/>
      <c r="Q653" s="54"/>
      <c r="R653" s="52"/>
      <c r="S653" s="52"/>
    </row>
    <row r="654" spans="14:19" x14ac:dyDescent="0.15">
      <c r="N654" s="52"/>
      <c r="O654" s="53"/>
      <c r="P654" s="52"/>
      <c r="Q654" s="54"/>
      <c r="R654" s="52"/>
      <c r="S654" s="52"/>
    </row>
    <row r="655" spans="14:19" x14ac:dyDescent="0.15">
      <c r="N655" s="52"/>
      <c r="O655" s="53"/>
      <c r="P655" s="52"/>
      <c r="Q655" s="54"/>
      <c r="R655" s="52"/>
      <c r="S655" s="52"/>
    </row>
    <row r="656" spans="14:19" x14ac:dyDescent="0.15">
      <c r="N656" s="52"/>
      <c r="O656" s="53"/>
      <c r="P656" s="52"/>
      <c r="Q656" s="54"/>
      <c r="R656" s="52"/>
      <c r="S656" s="52"/>
    </row>
    <row r="657" spans="14:19" x14ac:dyDescent="0.15">
      <c r="N657" s="52"/>
      <c r="O657" s="53"/>
      <c r="P657" s="52"/>
      <c r="Q657" s="54"/>
      <c r="R657" s="52"/>
      <c r="S657" s="52"/>
    </row>
    <row r="658" spans="14:19" x14ac:dyDescent="0.15">
      <c r="N658" s="52"/>
      <c r="O658" s="53"/>
      <c r="P658" s="52"/>
      <c r="Q658" s="54"/>
      <c r="R658" s="52"/>
      <c r="S658" s="52"/>
    </row>
    <row r="659" spans="14:19" x14ac:dyDescent="0.15">
      <c r="N659" s="52"/>
      <c r="O659" s="53"/>
      <c r="P659" s="52"/>
      <c r="Q659" s="54"/>
      <c r="R659" s="52"/>
      <c r="S659" s="52"/>
    </row>
    <row r="660" spans="14:19" x14ac:dyDescent="0.15">
      <c r="N660" s="52"/>
      <c r="O660" s="53"/>
      <c r="P660" s="52"/>
      <c r="Q660" s="54"/>
      <c r="R660" s="52"/>
      <c r="S660" s="52"/>
    </row>
    <row r="661" spans="14:19" x14ac:dyDescent="0.15">
      <c r="N661" s="52"/>
      <c r="O661" s="53"/>
      <c r="P661" s="52"/>
      <c r="Q661" s="54"/>
      <c r="R661" s="52"/>
      <c r="S661" s="52"/>
    </row>
    <row r="662" spans="14:19" x14ac:dyDescent="0.15">
      <c r="N662" s="52"/>
      <c r="O662" s="53"/>
      <c r="P662" s="52"/>
      <c r="Q662" s="54"/>
      <c r="R662" s="52"/>
      <c r="S662" s="52"/>
    </row>
    <row r="663" spans="14:19" x14ac:dyDescent="0.15">
      <c r="N663" s="52"/>
      <c r="O663" s="53"/>
      <c r="P663" s="52"/>
      <c r="Q663" s="54"/>
      <c r="R663" s="52"/>
      <c r="S663" s="52"/>
    </row>
    <row r="664" spans="14:19" x14ac:dyDescent="0.15">
      <c r="N664" s="52"/>
      <c r="O664" s="53"/>
      <c r="P664" s="52"/>
      <c r="Q664" s="54"/>
      <c r="R664" s="52"/>
      <c r="S664" s="52"/>
    </row>
    <row r="665" spans="14:19" x14ac:dyDescent="0.15">
      <c r="N665" s="52"/>
      <c r="O665" s="53"/>
      <c r="P665" s="52"/>
      <c r="Q665" s="54"/>
      <c r="R665" s="52"/>
      <c r="S665" s="52"/>
    </row>
    <row r="666" spans="14:19" x14ac:dyDescent="0.15">
      <c r="N666" s="52"/>
      <c r="O666" s="53"/>
      <c r="P666" s="52"/>
      <c r="Q666" s="54"/>
      <c r="R666" s="52"/>
      <c r="S666" s="52"/>
    </row>
    <row r="667" spans="14:19" x14ac:dyDescent="0.15">
      <c r="N667" s="52"/>
      <c r="O667" s="53"/>
      <c r="P667" s="52"/>
      <c r="Q667" s="54"/>
      <c r="R667" s="52"/>
      <c r="S667" s="52"/>
    </row>
    <row r="668" spans="14:19" x14ac:dyDescent="0.15">
      <c r="N668" s="52"/>
      <c r="O668" s="53"/>
      <c r="P668" s="52"/>
      <c r="Q668" s="54"/>
      <c r="R668" s="52"/>
      <c r="S668" s="52"/>
    </row>
    <row r="669" spans="14:19" x14ac:dyDescent="0.15">
      <c r="N669" s="52"/>
      <c r="O669" s="53"/>
      <c r="P669" s="52"/>
      <c r="Q669" s="54"/>
      <c r="R669" s="52"/>
      <c r="S669" s="52"/>
    </row>
    <row r="670" spans="14:19" x14ac:dyDescent="0.15">
      <c r="N670" s="52"/>
      <c r="O670" s="53"/>
      <c r="P670" s="52"/>
      <c r="Q670" s="54"/>
      <c r="R670" s="52"/>
      <c r="S670" s="52"/>
    </row>
    <row r="671" spans="14:19" x14ac:dyDescent="0.15">
      <c r="N671" s="52"/>
      <c r="O671" s="53"/>
      <c r="P671" s="52"/>
      <c r="Q671" s="54"/>
      <c r="R671" s="52"/>
      <c r="S671" s="52"/>
    </row>
    <row r="672" spans="14:19" x14ac:dyDescent="0.15">
      <c r="N672" s="52"/>
      <c r="O672" s="53"/>
      <c r="P672" s="52"/>
      <c r="Q672" s="54"/>
      <c r="R672" s="52"/>
      <c r="S672" s="52"/>
    </row>
    <row r="673" spans="14:19" x14ac:dyDescent="0.15">
      <c r="N673" s="52"/>
      <c r="O673" s="53"/>
      <c r="P673" s="52"/>
      <c r="Q673" s="54"/>
      <c r="R673" s="52"/>
      <c r="S673" s="52"/>
    </row>
    <row r="674" spans="14:19" x14ac:dyDescent="0.15">
      <c r="N674" s="52"/>
      <c r="O674" s="53"/>
      <c r="P674" s="52"/>
      <c r="Q674" s="54"/>
      <c r="R674" s="52"/>
      <c r="S674" s="52"/>
    </row>
    <row r="675" spans="14:19" x14ac:dyDescent="0.15">
      <c r="N675" s="52"/>
      <c r="O675" s="53"/>
      <c r="P675" s="52"/>
      <c r="Q675" s="54"/>
      <c r="R675" s="52"/>
      <c r="S675" s="52"/>
    </row>
    <row r="676" spans="14:19" x14ac:dyDescent="0.15">
      <c r="N676" s="52"/>
      <c r="O676" s="53"/>
      <c r="P676" s="52"/>
      <c r="Q676" s="54"/>
      <c r="R676" s="52"/>
      <c r="S676" s="52"/>
    </row>
    <row r="677" spans="14:19" x14ac:dyDescent="0.15">
      <c r="N677" s="52"/>
      <c r="O677" s="53"/>
      <c r="P677" s="52"/>
      <c r="Q677" s="54"/>
      <c r="R677" s="52"/>
      <c r="S677" s="52"/>
    </row>
    <row r="678" spans="14:19" x14ac:dyDescent="0.15">
      <c r="N678" s="52"/>
      <c r="O678" s="53"/>
      <c r="P678" s="52"/>
      <c r="Q678" s="54"/>
      <c r="R678" s="52"/>
      <c r="S678" s="52"/>
    </row>
    <row r="679" spans="14:19" x14ac:dyDescent="0.15">
      <c r="N679" s="52"/>
      <c r="O679" s="53"/>
      <c r="P679" s="52"/>
      <c r="Q679" s="54"/>
      <c r="R679" s="52"/>
      <c r="S679" s="52"/>
    </row>
    <row r="680" spans="14:19" x14ac:dyDescent="0.15">
      <c r="N680" s="52"/>
      <c r="O680" s="53"/>
      <c r="P680" s="52"/>
      <c r="Q680" s="54"/>
      <c r="R680" s="52"/>
      <c r="S680" s="52"/>
    </row>
    <row r="681" spans="14:19" x14ac:dyDescent="0.15">
      <c r="N681" s="52"/>
      <c r="O681" s="53"/>
      <c r="P681" s="52"/>
      <c r="Q681" s="54"/>
      <c r="R681" s="52"/>
      <c r="S681" s="52"/>
    </row>
    <row r="682" spans="14:19" x14ac:dyDescent="0.15">
      <c r="N682" s="52"/>
      <c r="O682" s="53"/>
      <c r="P682" s="52"/>
      <c r="Q682" s="54"/>
      <c r="R682" s="52"/>
      <c r="S682" s="52"/>
    </row>
    <row r="683" spans="14:19" x14ac:dyDescent="0.15">
      <c r="N683" s="52"/>
      <c r="O683" s="53"/>
      <c r="P683" s="52"/>
      <c r="Q683" s="54"/>
      <c r="R683" s="52"/>
      <c r="S683" s="52"/>
    </row>
    <row r="684" spans="14:19" x14ac:dyDescent="0.15">
      <c r="N684" s="52"/>
      <c r="O684" s="53"/>
      <c r="P684" s="52"/>
      <c r="Q684" s="54"/>
      <c r="R684" s="52"/>
      <c r="S684" s="52"/>
    </row>
    <row r="685" spans="14:19" x14ac:dyDescent="0.15">
      <c r="N685" s="52"/>
      <c r="O685" s="53"/>
      <c r="P685" s="52"/>
      <c r="Q685" s="54"/>
      <c r="R685" s="52"/>
      <c r="S685" s="52"/>
    </row>
    <row r="686" spans="14:19" x14ac:dyDescent="0.15">
      <c r="N686" s="52"/>
      <c r="O686" s="53"/>
      <c r="P686" s="52"/>
      <c r="Q686" s="54"/>
      <c r="R686" s="52"/>
      <c r="S686" s="52"/>
    </row>
    <row r="687" spans="14:19" x14ac:dyDescent="0.15">
      <c r="N687" s="52"/>
      <c r="O687" s="53"/>
      <c r="P687" s="52"/>
      <c r="Q687" s="54"/>
      <c r="R687" s="52"/>
      <c r="S687" s="52"/>
    </row>
    <row r="688" spans="14:19" x14ac:dyDescent="0.15">
      <c r="N688" s="52"/>
      <c r="O688" s="53"/>
      <c r="P688" s="52"/>
      <c r="Q688" s="54"/>
      <c r="R688" s="52"/>
      <c r="S688" s="52"/>
    </row>
    <row r="689" spans="14:19" x14ac:dyDescent="0.15">
      <c r="N689" s="52"/>
      <c r="O689" s="53"/>
      <c r="P689" s="52"/>
      <c r="Q689" s="54"/>
      <c r="R689" s="52"/>
      <c r="S689" s="52"/>
    </row>
    <row r="690" spans="14:19" x14ac:dyDescent="0.15">
      <c r="N690" s="52"/>
      <c r="O690" s="53"/>
      <c r="P690" s="52"/>
      <c r="Q690" s="54"/>
      <c r="R690" s="52"/>
      <c r="S690" s="52"/>
    </row>
    <row r="691" spans="14:19" x14ac:dyDescent="0.15">
      <c r="N691" s="52"/>
      <c r="O691" s="53"/>
      <c r="P691" s="52"/>
      <c r="Q691" s="54"/>
      <c r="R691" s="52"/>
      <c r="S691" s="52"/>
    </row>
    <row r="692" spans="14:19" x14ac:dyDescent="0.15">
      <c r="N692" s="52"/>
      <c r="O692" s="53"/>
      <c r="P692" s="52"/>
      <c r="Q692" s="54"/>
      <c r="R692" s="52"/>
      <c r="S692" s="52"/>
    </row>
    <row r="693" spans="14:19" x14ac:dyDescent="0.15">
      <c r="N693" s="52"/>
      <c r="O693" s="53"/>
      <c r="P693" s="52"/>
      <c r="Q693" s="54"/>
      <c r="R693" s="52"/>
      <c r="S693" s="52"/>
    </row>
    <row r="694" spans="14:19" x14ac:dyDescent="0.15">
      <c r="N694" s="52"/>
      <c r="O694" s="53"/>
      <c r="P694" s="52"/>
      <c r="Q694" s="54"/>
      <c r="R694" s="52"/>
      <c r="S694" s="52"/>
    </row>
    <row r="695" spans="14:19" x14ac:dyDescent="0.15">
      <c r="N695" s="52"/>
      <c r="O695" s="53"/>
      <c r="P695" s="52"/>
      <c r="Q695" s="54"/>
      <c r="R695" s="52"/>
      <c r="S695" s="52"/>
    </row>
    <row r="696" spans="14:19" x14ac:dyDescent="0.15">
      <c r="N696" s="52"/>
      <c r="O696" s="53"/>
      <c r="P696" s="52"/>
      <c r="Q696" s="54"/>
      <c r="R696" s="52"/>
      <c r="S696" s="52"/>
    </row>
    <row r="697" spans="14:19" x14ac:dyDescent="0.15">
      <c r="N697" s="52"/>
      <c r="O697" s="53"/>
      <c r="P697" s="52"/>
      <c r="Q697" s="54"/>
      <c r="R697" s="52"/>
      <c r="S697" s="52"/>
    </row>
    <row r="698" spans="14:19" x14ac:dyDescent="0.15">
      <c r="N698" s="52"/>
      <c r="O698" s="53"/>
      <c r="P698" s="52"/>
      <c r="Q698" s="54"/>
      <c r="R698" s="52"/>
      <c r="S698" s="52"/>
    </row>
    <row r="699" spans="14:19" x14ac:dyDescent="0.15">
      <c r="N699" s="52"/>
      <c r="O699" s="53"/>
      <c r="P699" s="52"/>
      <c r="Q699" s="54"/>
      <c r="R699" s="52"/>
      <c r="S699" s="52"/>
    </row>
    <row r="700" spans="14:19" x14ac:dyDescent="0.15">
      <c r="N700" s="52"/>
      <c r="O700" s="53"/>
      <c r="P700" s="52"/>
      <c r="Q700" s="54"/>
      <c r="R700" s="52"/>
      <c r="S700" s="52"/>
    </row>
    <row r="701" spans="14:19" x14ac:dyDescent="0.15">
      <c r="N701" s="52"/>
      <c r="O701" s="53"/>
      <c r="P701" s="52"/>
      <c r="Q701" s="54"/>
      <c r="R701" s="52"/>
      <c r="S701" s="52"/>
    </row>
    <row r="702" spans="14:19" x14ac:dyDescent="0.15">
      <c r="N702" s="52"/>
      <c r="O702" s="53"/>
      <c r="P702" s="52"/>
      <c r="Q702" s="54"/>
      <c r="R702" s="52"/>
      <c r="S702" s="52"/>
    </row>
    <row r="703" spans="14:19" x14ac:dyDescent="0.15">
      <c r="N703" s="52"/>
      <c r="O703" s="53"/>
      <c r="P703" s="52"/>
      <c r="Q703" s="54"/>
      <c r="R703" s="52"/>
      <c r="S703" s="52"/>
    </row>
    <row r="704" spans="14:19" x14ac:dyDescent="0.15">
      <c r="N704" s="52"/>
      <c r="O704" s="53"/>
      <c r="P704" s="52"/>
      <c r="Q704" s="54"/>
      <c r="R704" s="52"/>
      <c r="S704" s="52"/>
    </row>
    <row r="705" spans="14:19" x14ac:dyDescent="0.15">
      <c r="N705" s="52"/>
      <c r="O705" s="53"/>
      <c r="P705" s="52"/>
      <c r="Q705" s="54"/>
      <c r="R705" s="52"/>
      <c r="S705" s="52"/>
    </row>
    <row r="706" spans="14:19" x14ac:dyDescent="0.15">
      <c r="N706" s="52"/>
      <c r="O706" s="53"/>
      <c r="P706" s="52"/>
      <c r="Q706" s="54"/>
      <c r="R706" s="52"/>
      <c r="S706" s="52"/>
    </row>
    <row r="707" spans="14:19" x14ac:dyDescent="0.15">
      <c r="N707" s="52"/>
      <c r="O707" s="53"/>
      <c r="P707" s="52"/>
      <c r="Q707" s="54"/>
      <c r="R707" s="52"/>
      <c r="S707" s="52"/>
    </row>
    <row r="708" spans="14:19" x14ac:dyDescent="0.15">
      <c r="N708" s="52"/>
      <c r="O708" s="53"/>
      <c r="P708" s="52"/>
      <c r="Q708" s="54"/>
      <c r="R708" s="52"/>
      <c r="S708" s="52"/>
    </row>
    <row r="709" spans="14:19" x14ac:dyDescent="0.15">
      <c r="N709" s="52"/>
      <c r="O709" s="53"/>
      <c r="P709" s="52"/>
      <c r="Q709" s="54"/>
      <c r="R709" s="52"/>
      <c r="S709" s="52"/>
    </row>
    <row r="710" spans="14:19" x14ac:dyDescent="0.15">
      <c r="N710" s="52"/>
      <c r="O710" s="53"/>
      <c r="P710" s="52"/>
      <c r="Q710" s="54"/>
      <c r="R710" s="52"/>
      <c r="S710" s="52"/>
    </row>
    <row r="711" spans="14:19" x14ac:dyDescent="0.15">
      <c r="N711" s="52"/>
      <c r="O711" s="53"/>
      <c r="P711" s="52"/>
      <c r="Q711" s="54"/>
      <c r="R711" s="52"/>
      <c r="S711" s="52"/>
    </row>
    <row r="712" spans="14:19" x14ac:dyDescent="0.15">
      <c r="N712" s="52"/>
      <c r="O712" s="53"/>
      <c r="P712" s="52"/>
      <c r="Q712" s="54"/>
      <c r="R712" s="52"/>
      <c r="S712" s="52"/>
    </row>
    <row r="713" spans="14:19" x14ac:dyDescent="0.15">
      <c r="N713" s="52"/>
      <c r="O713" s="53"/>
      <c r="P713" s="52"/>
      <c r="Q713" s="54"/>
      <c r="R713" s="52"/>
      <c r="S713" s="52"/>
    </row>
    <row r="714" spans="14:19" x14ac:dyDescent="0.15">
      <c r="N714" s="52"/>
      <c r="O714" s="53"/>
      <c r="P714" s="52"/>
      <c r="Q714" s="54"/>
      <c r="R714" s="52"/>
      <c r="S714" s="52"/>
    </row>
    <row r="715" spans="14:19" x14ac:dyDescent="0.15">
      <c r="N715" s="52"/>
      <c r="O715" s="53"/>
      <c r="P715" s="52"/>
      <c r="Q715" s="54"/>
      <c r="R715" s="52"/>
      <c r="S715" s="52"/>
    </row>
    <row r="716" spans="14:19" x14ac:dyDescent="0.15">
      <c r="N716" s="52"/>
      <c r="O716" s="53"/>
      <c r="P716" s="52"/>
      <c r="Q716" s="54"/>
      <c r="R716" s="52"/>
      <c r="S716" s="52"/>
    </row>
    <row r="717" spans="14:19" x14ac:dyDescent="0.15">
      <c r="N717" s="52"/>
      <c r="O717" s="53"/>
      <c r="P717" s="52"/>
      <c r="Q717" s="54"/>
      <c r="R717" s="52"/>
      <c r="S717" s="52"/>
    </row>
    <row r="718" spans="14:19" x14ac:dyDescent="0.15">
      <c r="N718" s="52"/>
      <c r="O718" s="53"/>
      <c r="P718" s="52"/>
      <c r="Q718" s="54"/>
      <c r="R718" s="52"/>
      <c r="S718" s="52"/>
    </row>
    <row r="719" spans="14:19" x14ac:dyDescent="0.15">
      <c r="N719" s="52"/>
      <c r="O719" s="53"/>
      <c r="P719" s="52"/>
      <c r="Q719" s="54"/>
      <c r="R719" s="52"/>
      <c r="S719" s="52"/>
    </row>
    <row r="720" spans="14:19" x14ac:dyDescent="0.15">
      <c r="N720" s="52"/>
      <c r="O720" s="53"/>
      <c r="P720" s="52"/>
      <c r="Q720" s="54"/>
      <c r="R720" s="52"/>
      <c r="S720" s="52"/>
    </row>
    <row r="721" spans="14:19" x14ac:dyDescent="0.15">
      <c r="N721" s="52"/>
      <c r="O721" s="53"/>
      <c r="P721" s="52"/>
      <c r="Q721" s="54"/>
      <c r="R721" s="52"/>
      <c r="S721" s="52"/>
    </row>
    <row r="722" spans="14:19" x14ac:dyDescent="0.15">
      <c r="N722" s="52"/>
      <c r="O722" s="53"/>
      <c r="P722" s="52"/>
      <c r="Q722" s="54"/>
      <c r="R722" s="52"/>
      <c r="S722" s="52"/>
    </row>
    <row r="723" spans="14:19" x14ac:dyDescent="0.15">
      <c r="N723" s="52"/>
      <c r="O723" s="53"/>
      <c r="P723" s="52"/>
      <c r="Q723" s="54"/>
      <c r="R723" s="52"/>
      <c r="S723" s="52"/>
    </row>
    <row r="724" spans="14:19" x14ac:dyDescent="0.15">
      <c r="N724" s="52"/>
      <c r="O724" s="53"/>
      <c r="P724" s="52"/>
      <c r="Q724" s="54"/>
      <c r="R724" s="52"/>
      <c r="S724" s="52"/>
    </row>
    <row r="725" spans="14:19" x14ac:dyDescent="0.15">
      <c r="N725" s="52"/>
      <c r="O725" s="53"/>
      <c r="P725" s="52"/>
      <c r="Q725" s="54"/>
      <c r="R725" s="52"/>
      <c r="S725" s="52"/>
    </row>
    <row r="726" spans="14:19" x14ac:dyDescent="0.15">
      <c r="N726" s="52"/>
      <c r="O726" s="53"/>
      <c r="P726" s="52"/>
      <c r="Q726" s="54"/>
      <c r="R726" s="52"/>
      <c r="S726" s="52"/>
    </row>
    <row r="727" spans="14:19" x14ac:dyDescent="0.15">
      <c r="N727" s="52"/>
      <c r="O727" s="53"/>
      <c r="P727" s="52"/>
      <c r="Q727" s="54"/>
      <c r="R727" s="52"/>
      <c r="S727" s="52"/>
    </row>
    <row r="728" spans="14:19" x14ac:dyDescent="0.15">
      <c r="N728" s="52"/>
      <c r="O728" s="53"/>
      <c r="P728" s="52"/>
      <c r="Q728" s="54"/>
      <c r="R728" s="52"/>
      <c r="S728" s="52"/>
    </row>
    <row r="729" spans="14:19" x14ac:dyDescent="0.15">
      <c r="N729" s="52"/>
      <c r="O729" s="53"/>
      <c r="P729" s="52"/>
      <c r="Q729" s="54"/>
      <c r="R729" s="52"/>
      <c r="S729" s="52"/>
    </row>
    <row r="730" spans="14:19" x14ac:dyDescent="0.15">
      <c r="N730" s="52"/>
      <c r="O730" s="53"/>
      <c r="P730" s="52"/>
      <c r="Q730" s="54"/>
      <c r="R730" s="52"/>
      <c r="S730" s="52"/>
    </row>
    <row r="731" spans="14:19" x14ac:dyDescent="0.15">
      <c r="N731" s="52"/>
      <c r="O731" s="53"/>
      <c r="P731" s="52"/>
      <c r="Q731" s="54"/>
      <c r="R731" s="52"/>
      <c r="S731" s="52"/>
    </row>
    <row r="732" spans="14:19" x14ac:dyDescent="0.15">
      <c r="N732" s="52"/>
      <c r="O732" s="53"/>
      <c r="P732" s="52"/>
      <c r="Q732" s="54"/>
      <c r="R732" s="52"/>
      <c r="S732" s="52"/>
    </row>
    <row r="733" spans="14:19" x14ac:dyDescent="0.15">
      <c r="N733" s="52"/>
      <c r="O733" s="53"/>
      <c r="P733" s="52"/>
      <c r="Q733" s="54"/>
      <c r="R733" s="52"/>
      <c r="S733" s="52"/>
    </row>
    <row r="734" spans="14:19" x14ac:dyDescent="0.15">
      <c r="N734" s="52"/>
      <c r="O734" s="53"/>
      <c r="P734" s="52"/>
      <c r="Q734" s="54"/>
      <c r="R734" s="52"/>
      <c r="S734" s="52"/>
    </row>
    <row r="735" spans="14:19" x14ac:dyDescent="0.15">
      <c r="N735" s="52"/>
      <c r="O735" s="53"/>
      <c r="P735" s="52"/>
      <c r="Q735" s="54"/>
      <c r="R735" s="52"/>
      <c r="S735" s="52"/>
    </row>
    <row r="736" spans="14:19" x14ac:dyDescent="0.15">
      <c r="N736" s="52"/>
      <c r="O736" s="53"/>
      <c r="P736" s="52"/>
      <c r="Q736" s="54"/>
      <c r="R736" s="52"/>
      <c r="S736" s="52"/>
    </row>
    <row r="737" spans="14:19" x14ac:dyDescent="0.15">
      <c r="N737" s="52"/>
      <c r="O737" s="53"/>
      <c r="P737" s="52"/>
      <c r="Q737" s="54"/>
      <c r="R737" s="52"/>
      <c r="S737" s="52"/>
    </row>
    <row r="738" spans="14:19" x14ac:dyDescent="0.15">
      <c r="N738" s="52"/>
      <c r="O738" s="53"/>
      <c r="P738" s="52"/>
      <c r="Q738" s="54"/>
      <c r="R738" s="52"/>
      <c r="S738" s="52"/>
    </row>
    <row r="739" spans="14:19" x14ac:dyDescent="0.15">
      <c r="N739" s="52"/>
      <c r="O739" s="53"/>
      <c r="P739" s="52"/>
      <c r="Q739" s="54"/>
      <c r="R739" s="52"/>
      <c r="S739" s="52"/>
    </row>
    <row r="740" spans="14:19" x14ac:dyDescent="0.15">
      <c r="N740" s="52"/>
      <c r="O740" s="53"/>
      <c r="P740" s="52"/>
      <c r="Q740" s="54"/>
      <c r="R740" s="52"/>
      <c r="S740" s="52"/>
    </row>
    <row r="741" spans="14:19" x14ac:dyDescent="0.15">
      <c r="N741" s="52"/>
      <c r="O741" s="53"/>
      <c r="P741" s="52"/>
      <c r="Q741" s="54"/>
      <c r="R741" s="52"/>
      <c r="S741" s="52"/>
    </row>
    <row r="742" spans="14:19" x14ac:dyDescent="0.15">
      <c r="N742" s="52"/>
      <c r="O742" s="53"/>
      <c r="P742" s="52"/>
      <c r="Q742" s="54"/>
      <c r="R742" s="52"/>
      <c r="S742" s="52"/>
    </row>
    <row r="743" spans="14:19" x14ac:dyDescent="0.15">
      <c r="N743" s="52"/>
      <c r="O743" s="53"/>
      <c r="P743" s="52"/>
      <c r="Q743" s="54"/>
      <c r="R743" s="52"/>
      <c r="S743" s="52"/>
    </row>
    <row r="744" spans="14:19" x14ac:dyDescent="0.15">
      <c r="N744" s="52"/>
      <c r="O744" s="53"/>
      <c r="P744" s="52"/>
      <c r="Q744" s="54"/>
      <c r="R744" s="52"/>
      <c r="S744" s="52"/>
    </row>
    <row r="745" spans="14:19" x14ac:dyDescent="0.15">
      <c r="N745" s="52"/>
      <c r="O745" s="53"/>
      <c r="P745" s="52"/>
      <c r="Q745" s="54"/>
      <c r="R745" s="52"/>
      <c r="S745" s="52"/>
    </row>
    <row r="746" spans="14:19" x14ac:dyDescent="0.15">
      <c r="N746" s="52"/>
      <c r="O746" s="53"/>
      <c r="P746" s="52"/>
      <c r="Q746" s="54"/>
      <c r="R746" s="52"/>
      <c r="S746" s="52"/>
    </row>
    <row r="747" spans="14:19" x14ac:dyDescent="0.15">
      <c r="N747" s="52"/>
      <c r="O747" s="53"/>
      <c r="P747" s="52"/>
      <c r="Q747" s="54"/>
      <c r="R747" s="52"/>
      <c r="S747" s="52"/>
    </row>
    <row r="748" spans="14:19" x14ac:dyDescent="0.15">
      <c r="N748" s="52"/>
      <c r="O748" s="53"/>
      <c r="P748" s="52"/>
      <c r="Q748" s="54"/>
      <c r="R748" s="52"/>
      <c r="S748" s="52"/>
    </row>
    <row r="749" spans="14:19" x14ac:dyDescent="0.15">
      <c r="N749" s="52"/>
      <c r="O749" s="53"/>
      <c r="P749" s="52"/>
      <c r="Q749" s="54"/>
      <c r="R749" s="52"/>
      <c r="S749" s="52"/>
    </row>
    <row r="750" spans="14:19" x14ac:dyDescent="0.15">
      <c r="N750" s="52"/>
      <c r="O750" s="53"/>
      <c r="P750" s="52"/>
      <c r="Q750" s="54"/>
      <c r="R750" s="52"/>
      <c r="S750" s="52"/>
    </row>
    <row r="751" spans="14:19" x14ac:dyDescent="0.15">
      <c r="N751" s="52"/>
      <c r="O751" s="53"/>
      <c r="P751" s="52"/>
      <c r="Q751" s="54"/>
      <c r="R751" s="52"/>
      <c r="S751" s="52"/>
    </row>
    <row r="752" spans="14:19" x14ac:dyDescent="0.15">
      <c r="N752" s="52"/>
      <c r="O752" s="53"/>
      <c r="P752" s="52"/>
      <c r="Q752" s="54"/>
      <c r="R752" s="52"/>
      <c r="S752" s="52"/>
    </row>
    <row r="753" spans="14:19" x14ac:dyDescent="0.15">
      <c r="N753" s="52"/>
      <c r="O753" s="53"/>
      <c r="P753" s="52"/>
      <c r="Q753" s="54"/>
      <c r="R753" s="52"/>
      <c r="S753" s="52"/>
    </row>
    <row r="754" spans="14:19" x14ac:dyDescent="0.15">
      <c r="N754" s="52"/>
      <c r="O754" s="53"/>
      <c r="P754" s="52"/>
      <c r="Q754" s="54"/>
      <c r="R754" s="52"/>
      <c r="S754" s="52"/>
    </row>
    <row r="755" spans="14:19" x14ac:dyDescent="0.15">
      <c r="N755" s="52"/>
      <c r="O755" s="53"/>
      <c r="P755" s="52"/>
      <c r="Q755" s="54"/>
      <c r="R755" s="52"/>
      <c r="S755" s="52"/>
    </row>
    <row r="756" spans="14:19" x14ac:dyDescent="0.15">
      <c r="N756" s="52"/>
      <c r="O756" s="53"/>
      <c r="P756" s="52"/>
      <c r="Q756" s="54"/>
      <c r="R756" s="52"/>
      <c r="S756" s="52"/>
    </row>
    <row r="757" spans="14:19" x14ac:dyDescent="0.15">
      <c r="N757" s="52"/>
      <c r="O757" s="53"/>
      <c r="P757" s="52"/>
      <c r="Q757" s="54"/>
      <c r="R757" s="52"/>
      <c r="S757" s="52"/>
    </row>
    <row r="758" spans="14:19" x14ac:dyDescent="0.15">
      <c r="N758" s="52"/>
      <c r="O758" s="53"/>
      <c r="P758" s="52"/>
      <c r="Q758" s="54"/>
      <c r="R758" s="52"/>
      <c r="S758" s="52"/>
    </row>
    <row r="759" spans="14:19" x14ac:dyDescent="0.15">
      <c r="N759" s="52"/>
      <c r="O759" s="53"/>
      <c r="P759" s="52"/>
      <c r="Q759" s="54"/>
      <c r="R759" s="52"/>
      <c r="S759" s="52"/>
    </row>
    <row r="760" spans="14:19" x14ac:dyDescent="0.15">
      <c r="N760" s="52"/>
      <c r="O760" s="53"/>
      <c r="P760" s="52"/>
      <c r="Q760" s="54"/>
      <c r="R760" s="52"/>
      <c r="S760" s="52"/>
    </row>
    <row r="761" spans="14:19" x14ac:dyDescent="0.15">
      <c r="N761" s="52"/>
      <c r="O761" s="53"/>
      <c r="P761" s="52"/>
      <c r="Q761" s="54"/>
      <c r="R761" s="52"/>
      <c r="S761" s="52"/>
    </row>
    <row r="762" spans="14:19" x14ac:dyDescent="0.15">
      <c r="N762" s="52"/>
      <c r="O762" s="53"/>
      <c r="P762" s="52"/>
      <c r="Q762" s="54"/>
      <c r="R762" s="52"/>
      <c r="S762" s="52"/>
    </row>
    <row r="763" spans="14:19" x14ac:dyDescent="0.15">
      <c r="N763" s="52"/>
      <c r="O763" s="53"/>
      <c r="P763" s="52"/>
      <c r="Q763" s="54"/>
      <c r="R763" s="52"/>
      <c r="S763" s="52"/>
    </row>
    <row r="764" spans="14:19" x14ac:dyDescent="0.15">
      <c r="N764" s="52"/>
      <c r="O764" s="53"/>
      <c r="P764" s="52"/>
      <c r="Q764" s="54"/>
      <c r="R764" s="52"/>
      <c r="S764" s="52"/>
    </row>
    <row r="765" spans="14:19" x14ac:dyDescent="0.15">
      <c r="N765" s="52"/>
      <c r="O765" s="53"/>
      <c r="P765" s="52"/>
      <c r="Q765" s="54"/>
      <c r="R765" s="52"/>
      <c r="S765" s="52"/>
    </row>
    <row r="766" spans="14:19" x14ac:dyDescent="0.15">
      <c r="N766" s="52"/>
      <c r="O766" s="53"/>
      <c r="P766" s="52"/>
      <c r="Q766" s="54"/>
      <c r="R766" s="52"/>
      <c r="S766" s="52"/>
    </row>
    <row r="767" spans="14:19" x14ac:dyDescent="0.15">
      <c r="N767" s="52"/>
      <c r="O767" s="53"/>
      <c r="P767" s="52"/>
      <c r="Q767" s="54"/>
      <c r="R767" s="52"/>
      <c r="S767" s="52"/>
    </row>
    <row r="768" spans="14:19" x14ac:dyDescent="0.15">
      <c r="N768" s="52"/>
      <c r="O768" s="53"/>
      <c r="P768" s="52"/>
      <c r="Q768" s="54"/>
      <c r="R768" s="52"/>
      <c r="S768" s="52"/>
    </row>
    <row r="769" spans="14:19" x14ac:dyDescent="0.15">
      <c r="N769" s="52"/>
      <c r="O769" s="53"/>
      <c r="P769" s="52"/>
      <c r="Q769" s="54"/>
      <c r="R769" s="52"/>
      <c r="S769" s="52"/>
    </row>
    <row r="770" spans="14:19" x14ac:dyDescent="0.15">
      <c r="N770" s="52"/>
      <c r="O770" s="53"/>
      <c r="P770" s="52"/>
      <c r="Q770" s="54"/>
      <c r="R770" s="52"/>
      <c r="S770" s="52"/>
    </row>
    <row r="771" spans="14:19" x14ac:dyDescent="0.15">
      <c r="N771" s="52"/>
      <c r="O771" s="53"/>
      <c r="P771" s="52"/>
      <c r="Q771" s="54"/>
      <c r="R771" s="52"/>
      <c r="S771" s="52"/>
    </row>
    <row r="772" spans="14:19" x14ac:dyDescent="0.15">
      <c r="N772" s="52"/>
      <c r="O772" s="53"/>
      <c r="P772" s="52"/>
      <c r="Q772" s="54"/>
      <c r="R772" s="52"/>
      <c r="S772" s="52"/>
    </row>
    <row r="773" spans="14:19" x14ac:dyDescent="0.15">
      <c r="N773" s="52"/>
      <c r="O773" s="53"/>
      <c r="P773" s="52"/>
      <c r="Q773" s="54"/>
      <c r="R773" s="52"/>
      <c r="S773" s="52"/>
    </row>
    <row r="774" spans="14:19" x14ac:dyDescent="0.15">
      <c r="N774" s="52"/>
      <c r="O774" s="53"/>
      <c r="P774" s="52"/>
      <c r="Q774" s="54"/>
      <c r="R774" s="52"/>
      <c r="S774" s="52"/>
    </row>
    <row r="775" spans="14:19" x14ac:dyDescent="0.15">
      <c r="N775" s="52"/>
      <c r="O775" s="53"/>
      <c r="P775" s="52"/>
      <c r="Q775" s="54"/>
      <c r="R775" s="52"/>
      <c r="S775" s="52"/>
    </row>
    <row r="776" spans="14:19" x14ac:dyDescent="0.15">
      <c r="N776" s="52"/>
      <c r="O776" s="53"/>
      <c r="P776" s="52"/>
      <c r="Q776" s="54"/>
      <c r="R776" s="52"/>
      <c r="S776" s="52"/>
    </row>
    <row r="777" spans="14:19" x14ac:dyDescent="0.15">
      <c r="N777" s="52"/>
      <c r="O777" s="53"/>
      <c r="P777" s="52"/>
      <c r="Q777" s="54"/>
      <c r="R777" s="52"/>
      <c r="S777" s="52"/>
    </row>
    <row r="778" spans="14:19" x14ac:dyDescent="0.15">
      <c r="N778" s="52"/>
      <c r="O778" s="53"/>
      <c r="P778" s="52"/>
      <c r="Q778" s="54"/>
      <c r="R778" s="52"/>
      <c r="S778" s="52"/>
    </row>
    <row r="779" spans="14:19" x14ac:dyDescent="0.15">
      <c r="N779" s="52"/>
      <c r="O779" s="53"/>
      <c r="P779" s="52"/>
      <c r="Q779" s="54"/>
      <c r="R779" s="52"/>
      <c r="S779" s="52"/>
    </row>
    <row r="780" spans="14:19" x14ac:dyDescent="0.15">
      <c r="N780" s="52"/>
      <c r="O780" s="53"/>
      <c r="P780" s="52"/>
      <c r="Q780" s="54"/>
      <c r="R780" s="52"/>
      <c r="S780" s="52"/>
    </row>
    <row r="781" spans="14:19" x14ac:dyDescent="0.15">
      <c r="N781" s="52"/>
      <c r="O781" s="53"/>
      <c r="P781" s="52"/>
      <c r="Q781" s="54"/>
      <c r="R781" s="52"/>
      <c r="S781" s="52"/>
    </row>
    <row r="782" spans="14:19" x14ac:dyDescent="0.15">
      <c r="N782" s="52"/>
      <c r="O782" s="53"/>
      <c r="P782" s="52"/>
      <c r="Q782" s="54"/>
      <c r="R782" s="52"/>
      <c r="S782" s="52"/>
    </row>
    <row r="783" spans="14:19" x14ac:dyDescent="0.15">
      <c r="N783" s="52"/>
      <c r="O783" s="53"/>
      <c r="P783" s="52"/>
      <c r="Q783" s="54"/>
      <c r="R783" s="52"/>
      <c r="S783" s="52"/>
    </row>
    <row r="784" spans="14:19" x14ac:dyDescent="0.15">
      <c r="N784" s="52"/>
      <c r="O784" s="53"/>
      <c r="P784" s="52"/>
      <c r="Q784" s="54"/>
      <c r="R784" s="52"/>
      <c r="S784" s="52"/>
    </row>
    <row r="785" spans="14:19" x14ac:dyDescent="0.15">
      <c r="N785" s="52"/>
      <c r="O785" s="53"/>
      <c r="P785" s="52"/>
      <c r="Q785" s="54"/>
      <c r="R785" s="52"/>
      <c r="S785" s="52"/>
    </row>
    <row r="786" spans="14:19" x14ac:dyDescent="0.15">
      <c r="N786" s="52"/>
      <c r="O786" s="53"/>
      <c r="P786" s="52"/>
      <c r="Q786" s="54"/>
      <c r="R786" s="52"/>
      <c r="S786" s="52"/>
    </row>
    <row r="787" spans="14:19" x14ac:dyDescent="0.15">
      <c r="N787" s="52"/>
      <c r="O787" s="53"/>
      <c r="P787" s="52"/>
      <c r="Q787" s="54"/>
      <c r="R787" s="52"/>
      <c r="S787" s="52"/>
    </row>
    <row r="788" spans="14:19" x14ac:dyDescent="0.15">
      <c r="N788" s="52"/>
      <c r="O788" s="53"/>
      <c r="P788" s="52"/>
      <c r="Q788" s="54"/>
      <c r="R788" s="52"/>
      <c r="S788" s="52"/>
    </row>
    <row r="789" spans="14:19" x14ac:dyDescent="0.15">
      <c r="N789" s="52"/>
      <c r="O789" s="53"/>
      <c r="P789" s="52"/>
      <c r="Q789" s="54"/>
      <c r="R789" s="52"/>
      <c r="S789" s="52"/>
    </row>
    <row r="790" spans="14:19" x14ac:dyDescent="0.15">
      <c r="N790" s="52"/>
      <c r="O790" s="53"/>
      <c r="P790" s="52"/>
      <c r="Q790" s="54"/>
      <c r="R790" s="52"/>
      <c r="S790" s="52"/>
    </row>
    <row r="791" spans="14:19" x14ac:dyDescent="0.15">
      <c r="N791" s="52"/>
      <c r="O791" s="53"/>
      <c r="P791" s="52"/>
      <c r="Q791" s="54"/>
      <c r="R791" s="52"/>
      <c r="S791" s="52"/>
    </row>
    <row r="792" spans="14:19" x14ac:dyDescent="0.15">
      <c r="N792" s="52"/>
      <c r="O792" s="53"/>
      <c r="P792" s="52"/>
      <c r="Q792" s="54"/>
      <c r="R792" s="52"/>
      <c r="S792" s="52"/>
    </row>
    <row r="793" spans="14:19" x14ac:dyDescent="0.15">
      <c r="N793" s="52"/>
      <c r="O793" s="53"/>
      <c r="P793" s="52"/>
      <c r="Q793" s="54"/>
      <c r="R793" s="52"/>
      <c r="S793" s="52"/>
    </row>
    <row r="794" spans="14:19" x14ac:dyDescent="0.15">
      <c r="N794" s="52"/>
      <c r="O794" s="53"/>
      <c r="P794" s="52"/>
      <c r="Q794" s="54"/>
      <c r="R794" s="52"/>
      <c r="S794" s="52"/>
    </row>
    <row r="795" spans="14:19" x14ac:dyDescent="0.15">
      <c r="N795" s="52"/>
      <c r="O795" s="53"/>
      <c r="P795" s="52"/>
      <c r="Q795" s="54"/>
      <c r="R795" s="52"/>
      <c r="S795" s="52"/>
    </row>
    <row r="796" spans="14:19" x14ac:dyDescent="0.15">
      <c r="N796" s="52"/>
      <c r="O796" s="53"/>
      <c r="P796" s="52"/>
      <c r="Q796" s="54"/>
      <c r="R796" s="52"/>
      <c r="S796" s="52"/>
    </row>
    <row r="797" spans="14:19" x14ac:dyDescent="0.15">
      <c r="N797" s="52"/>
      <c r="O797" s="53"/>
      <c r="P797" s="52"/>
      <c r="Q797" s="54"/>
      <c r="R797" s="52"/>
      <c r="S797" s="52"/>
    </row>
    <row r="798" spans="14:19" x14ac:dyDescent="0.15">
      <c r="N798" s="52"/>
      <c r="O798" s="53"/>
      <c r="P798" s="52"/>
      <c r="Q798" s="54"/>
      <c r="R798" s="52"/>
      <c r="S798" s="52"/>
    </row>
    <row r="799" spans="14:19" x14ac:dyDescent="0.15">
      <c r="N799" s="52"/>
      <c r="O799" s="53"/>
      <c r="P799" s="52"/>
      <c r="Q799" s="54"/>
      <c r="R799" s="52"/>
      <c r="S799" s="52"/>
    </row>
    <row r="800" spans="14:19" x14ac:dyDescent="0.15">
      <c r="N800" s="52"/>
      <c r="O800" s="53"/>
      <c r="P800" s="52"/>
      <c r="Q800" s="54"/>
      <c r="R800" s="52"/>
      <c r="S800" s="52"/>
    </row>
    <row r="801" spans="14:19" x14ac:dyDescent="0.15">
      <c r="N801" s="52"/>
      <c r="O801" s="53"/>
      <c r="P801" s="52"/>
      <c r="Q801" s="54"/>
      <c r="R801" s="52"/>
      <c r="S801" s="52"/>
    </row>
  </sheetData>
  <sheetProtection sheet="1" objects="1" scenarios="1" selectLockedCells="1"/>
  <phoneticPr fontId="2"/>
  <conditionalFormatting sqref="A1">
    <cfRule type="cellIs" dxfId="0" priority="1" stopIfTrue="1" operator="notEqual">
      <formula>""</formula>
    </cfRule>
  </conditionalFormatting>
  <dataValidations count="1">
    <dataValidation type="date" imeMode="off" operator="lessThanOrEqual" allowBlank="1" showInputMessage="1" showErrorMessage="1" sqref="D1" xr:uid="{00000000-0002-0000-0100-000000000000}">
      <formula1>TODAY()</formula1>
    </dataValidation>
  </dataValidations>
  <printOptions horizontalCentered="1"/>
  <pageMargins left="0.57999999999999996" right="0.25" top="0.59055118110236227" bottom="0.51181102362204722" header="0.23622047244094491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終了">
                <anchor moveWithCells="1" sizeWithCells="1">
                  <from>
                    <xdr:col>8</xdr:col>
                    <xdr:colOff>1276350</xdr:colOff>
                    <xdr:row>0</xdr:row>
                    <xdr:rowOff>85725</xdr:rowOff>
                  </from>
                  <to>
                    <xdr:col>9</xdr:col>
                    <xdr:colOff>66675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2E6ED-0A40-4625-8FEF-2ED81D299B8F}">
  <sheetPr codeName="Sheet3"/>
  <dimension ref="B2:O77"/>
  <sheetViews>
    <sheetView showGridLines="0" topLeftCell="B1" workbookViewId="0">
      <pane xSplit="6" ySplit="20" topLeftCell="H21" activePane="bottomRight" state="frozen"/>
      <selection activeCell="B1" sqref="B1"/>
      <selection pane="topRight" activeCell="H1" sqref="H1"/>
      <selection pane="bottomLeft" activeCell="B21" sqref="B21"/>
      <selection pane="bottomRight" activeCell="C7" sqref="C7"/>
    </sheetView>
  </sheetViews>
  <sheetFormatPr defaultRowHeight="13.5" x14ac:dyDescent="0.15"/>
  <cols>
    <col min="3" max="6" width="16.625" customWidth="1"/>
    <col min="7" max="8" width="4.875" customWidth="1"/>
    <col min="9" max="15" width="6.625" customWidth="1"/>
  </cols>
  <sheetData>
    <row r="2" spans="3:15" x14ac:dyDescent="0.15">
      <c r="C2" s="62"/>
    </row>
    <row r="3" spans="3:15" ht="24.75" customHeight="1" x14ac:dyDescent="0.15">
      <c r="C3" s="74" t="s">
        <v>59</v>
      </c>
      <c r="D3" s="74"/>
      <c r="E3" s="74"/>
      <c r="F3" s="74"/>
    </row>
    <row r="4" spans="3:15" ht="12" customHeight="1" x14ac:dyDescent="0.15"/>
    <row r="5" spans="3:15" ht="24.75" customHeight="1" x14ac:dyDescent="0.15">
      <c r="C5" s="75" t="s">
        <v>55</v>
      </c>
      <c r="D5" s="76"/>
      <c r="E5" s="76"/>
    </row>
    <row r="6" spans="3:15" ht="24.75" customHeight="1" x14ac:dyDescent="0.15">
      <c r="C6" s="59" t="s">
        <v>53</v>
      </c>
      <c r="D6" s="59" t="s">
        <v>54</v>
      </c>
      <c r="E6" s="59" t="s">
        <v>50</v>
      </c>
    </row>
    <row r="7" spans="3:15" ht="34.5" customHeight="1" x14ac:dyDescent="0.15">
      <c r="C7" s="63"/>
      <c r="D7" s="63"/>
      <c r="E7" s="61"/>
    </row>
    <row r="8" spans="3:15" ht="45.75" customHeight="1" x14ac:dyDescent="0.15">
      <c r="C8" s="59" t="s">
        <v>52</v>
      </c>
      <c r="D8" s="60" t="s">
        <v>56</v>
      </c>
      <c r="E8" s="60" t="s">
        <v>58</v>
      </c>
      <c r="F8" s="60" t="s">
        <v>57</v>
      </c>
    </row>
    <row r="9" spans="3:15" ht="44.25" customHeight="1" x14ac:dyDescent="0.15">
      <c r="C9" s="59" t="s">
        <v>49</v>
      </c>
      <c r="D9" s="61"/>
      <c r="E9" s="61"/>
      <c r="F9" s="61"/>
    </row>
    <row r="10" spans="3:15" ht="44.25" customHeight="1" x14ac:dyDescent="0.15">
      <c r="C10" s="59" t="s">
        <v>51</v>
      </c>
      <c r="D10" s="61"/>
      <c r="E10" s="61"/>
      <c r="F10" s="61"/>
    </row>
    <row r="11" spans="3:15" hidden="1" x14ac:dyDescent="0.15">
      <c r="O11">
        <v>10</v>
      </c>
    </row>
    <row r="12" spans="3:15" hidden="1" x14ac:dyDescent="0.15">
      <c r="O12">
        <v>79.400000000000006</v>
      </c>
    </row>
    <row r="13" spans="3:15" hidden="1" x14ac:dyDescent="0.15">
      <c r="O13">
        <v>72.400000000000006</v>
      </c>
    </row>
    <row r="14" spans="3:15" hidden="1" x14ac:dyDescent="0.15">
      <c r="O14">
        <f t="shared" ref="O14" si="0">O13-24</f>
        <v>48.400000000000006</v>
      </c>
    </row>
    <row r="15" spans="3:15" hidden="1" x14ac:dyDescent="0.15">
      <c r="O15">
        <v>24.4</v>
      </c>
    </row>
    <row r="16" spans="3:15" hidden="1" x14ac:dyDescent="0.15">
      <c r="O16">
        <v>5.5</v>
      </c>
    </row>
    <row r="17" spans="3:14" hidden="1" x14ac:dyDescent="0.15"/>
    <row r="18" spans="3:14" hidden="1" x14ac:dyDescent="0.15"/>
    <row r="19" spans="3:14" ht="48.75" customHeight="1" x14ac:dyDescent="0.15">
      <c r="C19" s="59" t="s">
        <v>60</v>
      </c>
      <c r="D19" s="61" t="str">
        <f>IFERROR(D9/TotalTime*100,"")</f>
        <v/>
      </c>
      <c r="E19" s="61" t="str">
        <f>IFERROR(E9/TotalTime*100,"")</f>
        <v/>
      </c>
      <c r="F19" s="61" t="str">
        <f>IFERROR(F9/TotalTime*100,"")</f>
        <v/>
      </c>
    </row>
    <row r="21" spans="3:14" x14ac:dyDescent="0.15">
      <c r="C21" s="66"/>
    </row>
    <row r="22" spans="3:14" x14ac:dyDescent="0.15">
      <c r="H22" s="64"/>
      <c r="J22" s="65"/>
      <c r="L22" s="65"/>
      <c r="N22" s="65"/>
    </row>
    <row r="23" spans="3:14" x14ac:dyDescent="0.15">
      <c r="H23" s="64"/>
      <c r="J23" s="65"/>
      <c r="L23" s="65"/>
      <c r="N23" s="65"/>
    </row>
    <row r="24" spans="3:14" x14ac:dyDescent="0.15">
      <c r="H24" s="64"/>
      <c r="J24" s="65"/>
      <c r="L24" s="65"/>
      <c r="N24" s="65"/>
    </row>
    <row r="25" spans="3:14" x14ac:dyDescent="0.15">
      <c r="H25" s="64"/>
      <c r="J25" s="65"/>
      <c r="L25" s="65"/>
      <c r="N25" s="65"/>
    </row>
    <row r="26" spans="3:14" x14ac:dyDescent="0.15">
      <c r="H26" s="64"/>
      <c r="J26" s="65"/>
      <c r="L26" s="65"/>
      <c r="N26" s="65"/>
    </row>
    <row r="27" spans="3:14" x14ac:dyDescent="0.15">
      <c r="C27" s="66"/>
      <c r="H27" s="64"/>
      <c r="J27" s="65"/>
      <c r="L27" s="65"/>
      <c r="N27" s="65"/>
    </row>
    <row r="28" spans="3:14" x14ac:dyDescent="0.15">
      <c r="H28" s="64"/>
      <c r="J28" s="65"/>
      <c r="L28" s="65"/>
      <c r="N28" s="65"/>
    </row>
    <row r="29" spans="3:14" x14ac:dyDescent="0.15">
      <c r="H29" s="64"/>
      <c r="J29" s="65"/>
      <c r="L29" s="65"/>
      <c r="N29" s="65"/>
    </row>
    <row r="30" spans="3:14" x14ac:dyDescent="0.15">
      <c r="H30" s="64"/>
      <c r="J30" s="65"/>
      <c r="L30" s="65"/>
      <c r="N30" s="65"/>
    </row>
    <row r="31" spans="3:14" x14ac:dyDescent="0.15">
      <c r="H31" s="64"/>
      <c r="J31" s="65"/>
      <c r="L31" s="65"/>
      <c r="N31" s="65"/>
    </row>
    <row r="49" spans="2:2" x14ac:dyDescent="0.15">
      <c r="B49">
        <v>1</v>
      </c>
    </row>
    <row r="50" spans="2:2" x14ac:dyDescent="0.15">
      <c r="B50">
        <v>2</v>
      </c>
    </row>
    <row r="51" spans="2:2" x14ac:dyDescent="0.15">
      <c r="B51">
        <v>3</v>
      </c>
    </row>
    <row r="52" spans="2:2" x14ac:dyDescent="0.15">
      <c r="B52">
        <v>4</v>
      </c>
    </row>
    <row r="53" spans="2:2" x14ac:dyDescent="0.15">
      <c r="B53">
        <v>5</v>
      </c>
    </row>
    <row r="54" spans="2:2" x14ac:dyDescent="0.15">
      <c r="B54">
        <v>6</v>
      </c>
    </row>
    <row r="55" spans="2:2" x14ac:dyDescent="0.15">
      <c r="B55">
        <v>7</v>
      </c>
    </row>
    <row r="56" spans="2:2" x14ac:dyDescent="0.15">
      <c r="B56">
        <v>8</v>
      </c>
    </row>
    <row r="57" spans="2:2" x14ac:dyDescent="0.15">
      <c r="B57">
        <v>9</v>
      </c>
    </row>
    <row r="58" spans="2:2" x14ac:dyDescent="0.15">
      <c r="B58">
        <v>10</v>
      </c>
    </row>
    <row r="59" spans="2:2" x14ac:dyDescent="0.15">
      <c r="B59">
        <v>11</v>
      </c>
    </row>
    <row r="60" spans="2:2" x14ac:dyDescent="0.15">
      <c r="B60">
        <v>12</v>
      </c>
    </row>
    <row r="61" spans="2:2" x14ac:dyDescent="0.15">
      <c r="B61">
        <v>13</v>
      </c>
    </row>
    <row r="62" spans="2:2" x14ac:dyDescent="0.15">
      <c r="B62">
        <v>14</v>
      </c>
    </row>
    <row r="63" spans="2:2" x14ac:dyDescent="0.15">
      <c r="B63">
        <v>15</v>
      </c>
    </row>
    <row r="64" spans="2:2" x14ac:dyDescent="0.15">
      <c r="B64">
        <v>16</v>
      </c>
    </row>
    <row r="65" spans="2:2" x14ac:dyDescent="0.15">
      <c r="B65">
        <v>17</v>
      </c>
    </row>
    <row r="66" spans="2:2" x14ac:dyDescent="0.15">
      <c r="B66">
        <v>18</v>
      </c>
    </row>
    <row r="67" spans="2:2" x14ac:dyDescent="0.15">
      <c r="B67">
        <v>19</v>
      </c>
    </row>
    <row r="68" spans="2:2" x14ac:dyDescent="0.15">
      <c r="B68">
        <v>20</v>
      </c>
    </row>
    <row r="69" spans="2:2" x14ac:dyDescent="0.15">
      <c r="B69">
        <v>21</v>
      </c>
    </row>
    <row r="70" spans="2:2" x14ac:dyDescent="0.15">
      <c r="B70">
        <v>22</v>
      </c>
    </row>
    <row r="71" spans="2:2" x14ac:dyDescent="0.15">
      <c r="B71">
        <v>23</v>
      </c>
    </row>
    <row r="72" spans="2:2" x14ac:dyDescent="0.15">
      <c r="B72">
        <v>24</v>
      </c>
    </row>
    <row r="73" spans="2:2" x14ac:dyDescent="0.15">
      <c r="B73">
        <v>25</v>
      </c>
    </row>
    <row r="74" spans="2:2" x14ac:dyDescent="0.15">
      <c r="B74">
        <v>26</v>
      </c>
    </row>
    <row r="75" spans="2:2" x14ac:dyDescent="0.15">
      <c r="B75">
        <v>27</v>
      </c>
    </row>
    <row r="76" spans="2:2" x14ac:dyDescent="0.15">
      <c r="B76">
        <v>28</v>
      </c>
    </row>
    <row r="77" spans="2:2" x14ac:dyDescent="0.15">
      <c r="B77">
        <v>29</v>
      </c>
    </row>
  </sheetData>
  <sheetProtection sheet="1" objects="1" scenarios="1"/>
  <mergeCells count="2">
    <mergeCell ref="C3:F3"/>
    <mergeCell ref="C5:E5"/>
  </mergeCells>
  <phoneticPr fontId="2"/>
  <dataValidations count="1">
    <dataValidation type="date" operator="greaterThanOrEqual" allowBlank="1" showInputMessage="1" showErrorMessage="1" sqref="C7" xr:uid="{63288657-0A51-4DBA-B70D-BC798CCFDAA4}">
      <formula1>36526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線源登録表示">
                <anchor moveWithCells="1" sizeWithCells="1">
                  <from>
                    <xdr:col>5</xdr:col>
                    <xdr:colOff>104775</xdr:colOff>
                    <xdr:row>5</xdr:row>
                    <xdr:rowOff>47625</xdr:rowOff>
                  </from>
                  <to>
                    <xdr:col>5</xdr:col>
                    <xdr:colOff>1019175</xdr:colOff>
                    <xdr:row>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31</vt:i4>
      </vt:variant>
    </vt:vector>
  </HeadingPairs>
  <TitlesOfParts>
    <vt:vector size="34" baseType="lpstr">
      <vt:lpstr>入荷状況</vt:lpstr>
      <vt:lpstr>出荷実績</vt:lpstr>
      <vt:lpstr>稼働時間</vt:lpstr>
      <vt:lpstr>DataN</vt:lpstr>
      <vt:lpstr>DataTB</vt:lpstr>
      <vt:lpstr>Debug</vt:lpstr>
      <vt:lpstr>Hyou1</vt:lpstr>
      <vt:lpstr>Hyou2</vt:lpstr>
      <vt:lpstr>KaisiDay</vt:lpstr>
      <vt:lpstr>Kekka</vt:lpstr>
      <vt:lpstr>N_Hyouji</vt:lpstr>
      <vt:lpstr>Nengappi</vt:lpstr>
      <vt:lpstr>Nyukabi</vt:lpstr>
      <vt:lpstr>Nyuuakbi</vt:lpstr>
      <vt:lpstr>出荷実績!Print_Area</vt:lpstr>
      <vt:lpstr>入荷状況!Print_Area</vt:lpstr>
      <vt:lpstr>Ric2HP</vt:lpstr>
      <vt:lpstr>Ric2T</vt:lpstr>
      <vt:lpstr>Ric2V</vt:lpstr>
      <vt:lpstr>Ric3M</vt:lpstr>
      <vt:lpstr>Ric3PP</vt:lpstr>
      <vt:lpstr>Ric3T</vt:lpstr>
      <vt:lpstr>Siki</vt:lpstr>
      <vt:lpstr>SyousyaTime</vt:lpstr>
      <vt:lpstr>Syukkabi</vt:lpstr>
      <vt:lpstr>SyukkaSuu</vt:lpstr>
      <vt:lpstr>SyukkaTB</vt:lpstr>
      <vt:lpstr>SyuuryouDay</vt:lpstr>
      <vt:lpstr>Today2V</vt:lpstr>
      <vt:lpstr>Today3M</vt:lpstr>
      <vt:lpstr>TodayHP</vt:lpstr>
      <vt:lpstr>TodayPP</vt:lpstr>
      <vt:lpstr>TotalTime</vt:lpstr>
      <vt:lpstr>Zaiko</vt:lpstr>
    </vt:vector>
  </TitlesOfParts>
  <Company>γ照射課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ラジエ工業株式会社</dc:creator>
  <cp:lastModifiedBy>RIC-215</cp:lastModifiedBy>
  <cp:lastPrinted>2013-09-27T03:00:29Z</cp:lastPrinted>
  <dcterms:created xsi:type="dcterms:W3CDTF">2010-07-21T08:17:18Z</dcterms:created>
  <dcterms:modified xsi:type="dcterms:W3CDTF">2020-08-07T04:38:45Z</dcterms:modified>
</cp:coreProperties>
</file>