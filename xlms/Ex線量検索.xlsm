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5" windowWidth="14340" windowHeight="8205" tabRatio="885"/>
  </bookViews>
  <sheets>
    <sheet name="条件" sheetId="1" r:id="rId1"/>
  </sheets>
  <functionGroups builtInGroupCount="17"/>
  <definedNames>
    <definedName name="DataN">条件!$D$24</definedName>
    <definedName name="H_ATUSA">条件!$D$13</definedName>
    <definedName name="H_JITUNO">条件!$D$16</definedName>
    <definedName name="H_JYOUGSN">条件!$D$19</definedName>
    <definedName name="H_KAGENSN">条件!$D$18</definedName>
    <definedName name="H_KAISYACD">条件!$D$8</definedName>
    <definedName name="H_KEISASK">条件!$D$14</definedName>
    <definedName name="H_ONDOK">条件!$D$22</definedName>
    <definedName name="H_PASS">条件!$D$15</definedName>
    <definedName name="H_SEHNCD">条件!$D$9</definedName>
    <definedName name="H_SENKNO">条件!$D$12</definedName>
    <definedName name="H_SITEISN">条件!$D$17</definedName>
    <definedName name="H_SOKUTSN">条件!$D$21</definedName>
    <definedName name="H_SOKUTTI">条件!$D$20</definedName>
    <definedName name="H_SYOUSO">条件!$D$10</definedName>
    <definedName name="H_SYOUSYABI">条件!$D$23</definedName>
    <definedName name="H_TUIKAFLG">条件!$D$11</definedName>
    <definedName name="J_SYOUSO">条件!$E$10</definedName>
    <definedName name="K_Kaisyacd">条件!$B$8</definedName>
    <definedName name="K_KEISASK">条件!$B$14</definedName>
    <definedName name="K_PASS">条件!$B$15</definedName>
    <definedName name="K_Rireki">条件!$B$4</definedName>
    <definedName name="K_SEHNCD">条件!$B$9</definedName>
    <definedName name="K_SITEISN">条件!$B$17</definedName>
    <definedName name="K_SYOUSO">条件!$B$10</definedName>
    <definedName name="K_TUIKAFLG">条件!$B$11</definedName>
    <definedName name="K_Uno">条件!$B$7</definedName>
    <definedName name="KAISYACD">条件!$E$8</definedName>
    <definedName name="KEISASK">条件!$E$14</definedName>
    <definedName name="PASS">条件!$E$15</definedName>
    <definedName name="Rireki">条件!$E$4</definedName>
    <definedName name="s.ATUSA">条件!$C$13</definedName>
    <definedName name="s.JITUNO">条件!$C$16</definedName>
    <definedName name="s.JYOUGSN">条件!$C$19</definedName>
    <definedName name="s.KAGENSN">条件!$C$18</definedName>
    <definedName name="s.KAISYACD">条件!$C$8</definedName>
    <definedName name="s.KEISASK">条件!$C$14</definedName>
    <definedName name="s.ONDOK">条件!$C$22</definedName>
    <definedName name="s.PASS">条件!$C$15</definedName>
    <definedName name="s.SENKNO">条件!$C$12</definedName>
    <definedName name="s.SITEISN">条件!$C$17</definedName>
    <definedName name="s.SOKUTSN">条件!$C$21</definedName>
    <definedName name="s.SOKUTTI">条件!$C$20</definedName>
    <definedName name="s.SYOUSO">条件!$C$10</definedName>
    <definedName name="s.TUIKAFLG">条件!$C$11</definedName>
    <definedName name="s.UNO">条件!$C$7</definedName>
    <definedName name="s_SYOUSYABI">条件!$C$23</definedName>
    <definedName name="SEHNCD">条件!$E$9</definedName>
    <definedName name="ShName">条件!#REF!</definedName>
    <definedName name="SITEISN">条件!$E$17</definedName>
    <definedName name="SortH">条件!$L$11</definedName>
    <definedName name="SYOUSO">条件!$L$8</definedName>
    <definedName name="ThisB_Name">条件!$M$13</definedName>
    <definedName name="TUIKAFLG">条件!$E$11</definedName>
    <definedName name="Uno">条件!$E$7</definedName>
    <definedName name="z.SEHNCD">条件!$C$9</definedName>
  </definedNames>
  <calcPr calcId="145621"/>
</workbook>
</file>

<file path=xl/calcChain.xml><?xml version="1.0" encoding="utf-8"?>
<calcChain xmlns="http://schemas.openxmlformats.org/spreadsheetml/2006/main">
  <c r="L11" i="1" l="1"/>
  <c r="L8" i="1"/>
</calcChain>
</file>

<file path=xl/comments1.xml><?xml version="1.0" encoding="utf-8"?>
<comments xmlns="http://schemas.openxmlformats.org/spreadsheetml/2006/main">
  <authors>
    <author xml:space="preserve"> γ</author>
  </authors>
  <commentList>
    <comment ref="D24" authorId="0">
      <text>
        <r>
          <rPr>
            <sz val="10"/>
            <color indexed="81"/>
            <rFont val="ＭＳ Ｐゴシック"/>
            <family val="3"/>
            <charset val="128"/>
          </rPr>
          <t xml:space="preserve">検出件数の上限を設定
</t>
        </r>
      </text>
    </comment>
  </commentList>
</comments>
</file>

<file path=xl/sharedStrings.xml><?xml version="1.0" encoding="utf-8"?>
<sst xmlns="http://schemas.openxmlformats.org/spreadsheetml/2006/main" count="86" uniqueCount="71">
  <si>
    <t>装置</t>
    <phoneticPr fontId="1"/>
  </si>
  <si>
    <t>製品ｺｰﾄﾞ</t>
    <rPh sb="0" eb="2">
      <t>セイヒン</t>
    </rPh>
    <phoneticPr fontId="1"/>
  </si>
  <si>
    <t>会社ｺｰﾄﾞ</t>
    <rPh sb="0" eb="2">
      <t>カイシャ</t>
    </rPh>
    <phoneticPr fontId="1"/>
  </si>
  <si>
    <t>ABS</t>
    <phoneticPr fontId="1"/>
  </si>
  <si>
    <t>線量計番号</t>
    <phoneticPr fontId="1"/>
  </si>
  <si>
    <t>厚さ</t>
    <phoneticPr fontId="1"/>
  </si>
  <si>
    <t>指定線量</t>
    <phoneticPr fontId="1"/>
  </si>
  <si>
    <t>下限線量</t>
    <phoneticPr fontId="1"/>
  </si>
  <si>
    <t>上限線量</t>
    <phoneticPr fontId="1"/>
  </si>
  <si>
    <t>DOSE</t>
    <phoneticPr fontId="1"/>
  </si>
  <si>
    <t>温度</t>
    <phoneticPr fontId="1"/>
  </si>
  <si>
    <t>指定ﾊﾟｽ</t>
    <phoneticPr fontId="1"/>
  </si>
  <si>
    <t>実ﾊﾟｽ</t>
    <phoneticPr fontId="1"/>
  </si>
  <si>
    <t>項目</t>
    <rPh sb="0" eb="2">
      <t>コウモク</t>
    </rPh>
    <phoneticPr fontId="1"/>
  </si>
  <si>
    <t>含む</t>
    <rPh sb="0" eb="1">
      <t>フク</t>
    </rPh>
    <phoneticPr fontId="1"/>
  </si>
  <si>
    <t>含まない</t>
    <rPh sb="0" eb="1">
      <t>フク</t>
    </rPh>
    <phoneticPr fontId="1"/>
  </si>
  <si>
    <t>計算式</t>
    <rPh sb="2" eb="3">
      <t>シキ</t>
    </rPh>
    <phoneticPr fontId="1"/>
  </si>
  <si>
    <t>在庫</t>
    <rPh sb="0" eb="2">
      <t>ザイコ</t>
    </rPh>
    <phoneticPr fontId="1"/>
  </si>
  <si>
    <t>履歴</t>
    <rPh sb="0" eb="2">
      <t>リレキ</t>
    </rPh>
    <phoneticPr fontId="1"/>
  </si>
  <si>
    <t>追加照射</t>
    <rPh sb="2" eb="4">
      <t>ショウシャ</t>
    </rPh>
    <phoneticPr fontId="1"/>
  </si>
  <si>
    <t>のみ</t>
    <phoneticPr fontId="1"/>
  </si>
  <si>
    <t>s.UNO</t>
    <phoneticPr fontId="1"/>
  </si>
  <si>
    <t>z.SEHNCD</t>
    <phoneticPr fontId="1"/>
  </si>
  <si>
    <t>s.TUIKAFLG</t>
    <phoneticPr fontId="1"/>
  </si>
  <si>
    <t>s.PASS</t>
    <phoneticPr fontId="1"/>
  </si>
  <si>
    <t>s.KAGENSN</t>
    <phoneticPr fontId="1"/>
  </si>
  <si>
    <t>s.SOKUTTI</t>
    <phoneticPr fontId="1"/>
  </si>
  <si>
    <t>s.SOKUTSN</t>
    <phoneticPr fontId="1"/>
  </si>
  <si>
    <t>s.ONDOK</t>
    <phoneticPr fontId="1"/>
  </si>
  <si>
    <t>必須</t>
    <rPh sb="0" eb="2">
      <t>ヒッス</t>
    </rPh>
    <phoneticPr fontId="1"/>
  </si>
  <si>
    <t>s.SYOUSO</t>
    <phoneticPr fontId="1"/>
  </si>
  <si>
    <t>s.KEISASK</t>
    <phoneticPr fontId="1"/>
  </si>
  <si>
    <t>s.SENKNO</t>
    <phoneticPr fontId="1"/>
  </si>
  <si>
    <t>s.ATUSA</t>
    <phoneticPr fontId="1"/>
  </si>
  <si>
    <t>s.JITUNO</t>
    <phoneticPr fontId="1"/>
  </si>
  <si>
    <t>s.JYOUGSN</t>
    <phoneticPr fontId="1"/>
  </si>
  <si>
    <t>s.KAISYACD</t>
    <phoneticPr fontId="1"/>
  </si>
  <si>
    <t>s.SITEISN</t>
    <phoneticPr fontId="1"/>
  </si>
  <si>
    <t>Ric3</t>
    <phoneticPr fontId="1"/>
  </si>
  <si>
    <t>Ric2</t>
    <phoneticPr fontId="1"/>
  </si>
  <si>
    <t>Ric2,3</t>
    <phoneticPr fontId="1"/>
  </si>
  <si>
    <t>装置</t>
    <rPh sb="0" eb="2">
      <t>ソウチ</t>
    </rPh>
    <phoneticPr fontId="1"/>
  </si>
  <si>
    <t>ソート</t>
    <phoneticPr fontId="1"/>
  </si>
  <si>
    <t>追加照射</t>
    <rPh sb="0" eb="2">
      <t>ツイカ</t>
    </rPh>
    <rPh sb="2" eb="4">
      <t>ショウシャ</t>
    </rPh>
    <phoneticPr fontId="1"/>
  </si>
  <si>
    <t>ソート方法</t>
    <rPh sb="3" eb="5">
      <t>ホウホウ</t>
    </rPh>
    <phoneticPr fontId="1"/>
  </si>
  <si>
    <t>昇順</t>
    <rPh sb="0" eb="2">
      <t>ショウジュン</t>
    </rPh>
    <phoneticPr fontId="1"/>
  </si>
  <si>
    <t>降順</t>
    <rPh sb="0" eb="2">
      <t>コウジュン</t>
    </rPh>
    <phoneticPr fontId="1"/>
  </si>
  <si>
    <t>ﾃｰﾌﾞﾙ先</t>
    <rPh sb="5" eb="6">
      <t>サキ</t>
    </rPh>
    <phoneticPr fontId="1"/>
  </si>
  <si>
    <t>複数指定は｢,｣で区切る
例　123,456</t>
    <rPh sb="0" eb="2">
      <t>フクスウ</t>
    </rPh>
    <rPh sb="2" eb="4">
      <t>シテイ</t>
    </rPh>
    <rPh sb="9" eb="11">
      <t>クギ</t>
    </rPh>
    <rPh sb="13" eb="14">
      <t>レイ</t>
    </rPh>
    <phoneticPr fontId="1"/>
  </si>
  <si>
    <t>未入力は全会社</t>
    <rPh sb="0" eb="3">
      <t>ミニュウリョク</t>
    </rPh>
    <rPh sb="4" eb="5">
      <t>ゼン</t>
    </rPh>
    <rPh sb="5" eb="7">
      <t>カイシャ</t>
    </rPh>
    <phoneticPr fontId="1"/>
  </si>
  <si>
    <t>DESC</t>
    <phoneticPr fontId="1"/>
  </si>
  <si>
    <t>ASC</t>
    <phoneticPr fontId="1"/>
  </si>
  <si>
    <t>照射実績ﾃﾞｰﾀ抽出</t>
    <rPh sb="0" eb="2">
      <t>ショウシャ</t>
    </rPh>
    <rPh sb="2" eb="4">
      <t>ジッセキ</t>
    </rPh>
    <rPh sb="8" eb="10">
      <t>チュウシュツ</t>
    </rPh>
    <phoneticPr fontId="1"/>
  </si>
  <si>
    <t>表示</t>
    <rPh sb="0" eb="2">
      <t>ヒョウジ</t>
    </rPh>
    <phoneticPr fontId="1"/>
  </si>
  <si>
    <t>する</t>
  </si>
  <si>
    <t>する</t>
    <phoneticPr fontId="1"/>
  </si>
  <si>
    <t>しない</t>
    <phoneticPr fontId="1"/>
  </si>
  <si>
    <t>昇順</t>
    <phoneticPr fontId="1"/>
  </si>
  <si>
    <t>myBookName</t>
    <phoneticPr fontId="1"/>
  </si>
  <si>
    <t xml:space="preserve">使い方
①抽出ﾃﾞｰﾀ（在庫／履歴）を指定する。
②表示列を選択する
③抽出する受付番号を指定する。
範囲で指定する場合は検索開始受付番号と検索終了の受付番号の間に｢-｣(ﾏｲﾅｽ）を入れる
④検索条件（黄色セル）を入力する
④「実行」クリックする。
⑤「新しいBOOKの作成しますか」で・・・
「はい」を選択すると抽出されたデータの新しいBOOKが作成されます。
⑥抽出件数上限 6000 が
ﾃﾞﾌｫﾙﾄです。変更可能です（ただし50,000以下）
</t>
    <rPh sb="0" eb="1">
      <t>ツカ</t>
    </rPh>
    <rPh sb="2" eb="3">
      <t>カタ</t>
    </rPh>
    <rPh sb="5" eb="7">
      <t>チュウシュツ</t>
    </rPh>
    <rPh sb="12" eb="14">
      <t>ザイコ</t>
    </rPh>
    <rPh sb="15" eb="17">
      <t>リレキ</t>
    </rPh>
    <rPh sb="19" eb="21">
      <t>シテイ</t>
    </rPh>
    <rPh sb="26" eb="28">
      <t>ヒョウジ</t>
    </rPh>
    <rPh sb="28" eb="29">
      <t>レツ</t>
    </rPh>
    <rPh sb="30" eb="32">
      <t>センタク</t>
    </rPh>
    <rPh sb="36" eb="38">
      <t>チュウシュツ</t>
    </rPh>
    <rPh sb="40" eb="42">
      <t>ウケツケ</t>
    </rPh>
    <rPh sb="42" eb="44">
      <t>バンゴウ</t>
    </rPh>
    <rPh sb="45" eb="47">
      <t>シテイ</t>
    </rPh>
    <rPh sb="51" eb="53">
      <t>ハンイ</t>
    </rPh>
    <rPh sb="54" eb="56">
      <t>シテイ</t>
    </rPh>
    <rPh sb="58" eb="60">
      <t>バアイ</t>
    </rPh>
    <rPh sb="61" eb="63">
      <t>ケンサク</t>
    </rPh>
    <rPh sb="63" eb="65">
      <t>カイシ</t>
    </rPh>
    <rPh sb="65" eb="67">
      <t>ウケツケ</t>
    </rPh>
    <rPh sb="67" eb="69">
      <t>バンゴウ</t>
    </rPh>
    <rPh sb="70" eb="72">
      <t>ケンサク</t>
    </rPh>
    <rPh sb="72" eb="74">
      <t>シュウリョウ</t>
    </rPh>
    <rPh sb="75" eb="77">
      <t>ウケツケ</t>
    </rPh>
    <rPh sb="77" eb="79">
      <t>バンゴウ</t>
    </rPh>
    <rPh sb="80" eb="81">
      <t>アイダ</t>
    </rPh>
    <rPh sb="92" eb="93">
      <t>イ</t>
    </rPh>
    <rPh sb="97" eb="99">
      <t>ケンサク</t>
    </rPh>
    <rPh sb="99" eb="101">
      <t>ジョウケン</t>
    </rPh>
    <rPh sb="102" eb="104">
      <t>キイロ</t>
    </rPh>
    <rPh sb="108" eb="110">
      <t>ニュウリョク</t>
    </rPh>
    <rPh sb="115" eb="117">
      <t>ジッコウ</t>
    </rPh>
    <rPh sb="128" eb="129">
      <t>アタラ</t>
    </rPh>
    <rPh sb="136" eb="138">
      <t>サクセイ</t>
    </rPh>
    <rPh sb="153" eb="155">
      <t>センタク</t>
    </rPh>
    <rPh sb="158" eb="160">
      <t>チュウシュツ</t>
    </rPh>
    <rPh sb="167" eb="168">
      <t>アタラ</t>
    </rPh>
    <rPh sb="175" eb="177">
      <t>サクセイ</t>
    </rPh>
    <rPh sb="184" eb="186">
      <t>チュウシュツ</t>
    </rPh>
    <rPh sb="186" eb="188">
      <t>ケンスウ</t>
    </rPh>
    <rPh sb="188" eb="190">
      <t>ジョウゲン</t>
    </rPh>
    <rPh sb="207" eb="209">
      <t>ヘンコウ</t>
    </rPh>
    <rPh sb="209" eb="211">
      <t>カノウ</t>
    </rPh>
    <rPh sb="223" eb="225">
      <t>イカ</t>
    </rPh>
    <phoneticPr fontId="1"/>
  </si>
  <si>
    <t>①抽出ﾃﾞｰﾀ</t>
    <rPh sb="1" eb="3">
      <t>チュウシュツ</t>
    </rPh>
    <phoneticPr fontId="1"/>
  </si>
  <si>
    <t>②表示</t>
    <rPh sb="1" eb="3">
      <t>ヒョウジ</t>
    </rPh>
    <phoneticPr fontId="1"/>
  </si>
  <si>
    <t>③受付番号</t>
    <rPh sb="1" eb="3">
      <t>ウケツケ</t>
    </rPh>
    <rPh sb="3" eb="5">
      <t>バンゴウ</t>
    </rPh>
    <phoneticPr fontId="1"/>
  </si>
  <si>
    <t>④検索条件</t>
    <rPh sb="1" eb="3">
      <t>ケンサク</t>
    </rPh>
    <rPh sb="3" eb="5">
      <t>ジョウケン</t>
    </rPh>
    <phoneticPr fontId="1"/>
  </si>
  <si>
    <t>⑥抽出件数上限　</t>
    <rPh sb="1" eb="3">
      <t>チュウシュツ</t>
    </rPh>
    <rPh sb="3" eb="5">
      <t>ケンスウ</t>
    </rPh>
    <rPh sb="5" eb="7">
      <t>ジョウゲン</t>
    </rPh>
    <phoneticPr fontId="1"/>
  </si>
  <si>
    <t>s.TONYUTIME</t>
    <phoneticPr fontId="1"/>
  </si>
  <si>
    <t>ddhhmm：日時分</t>
    <rPh sb="7" eb="8">
      <t>ニチ</t>
    </rPh>
    <rPh sb="8" eb="9">
      <t>ジ</t>
    </rPh>
    <rPh sb="9" eb="10">
      <t>フン</t>
    </rPh>
    <phoneticPr fontId="1"/>
  </si>
  <si>
    <t>装置投入日時</t>
    <rPh sb="0" eb="2">
      <t>ソウチ</t>
    </rPh>
    <rPh sb="2" eb="4">
      <t>トウニュウ</t>
    </rPh>
    <rPh sb="4" eb="5">
      <t>ビ</t>
    </rPh>
    <rPh sb="5" eb="6">
      <t>ジ</t>
    </rPh>
    <phoneticPr fontId="1"/>
  </si>
  <si>
    <t>しない</t>
  </si>
  <si>
    <t>Ex4</t>
    <phoneticPr fontId="1"/>
  </si>
  <si>
    <t>Ex線量検索.xlsm</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</si>
</sst>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0"/>
      <name val="ＭＳ Ｐ明朝"/>
      <family val="1"/>
      <charset val="128"/>
    </font>
    <font>
      <sz val="6"/>
      <name val="ＭＳ Ｐ明朝"/>
      <family val="1"/>
      <charset val="128"/>
    </font>
    <font>
      <b/>
      <sz val="12"/>
      <color indexed="12"/>
      <name val="ＭＳ Ｐ明朝"/>
      <family val="1"/>
      <charset val="128"/>
    </font>
    <font>
      <sz val="10"/>
      <color indexed="81"/>
      <name val="ＭＳ Ｐゴシック"/>
      <family val="3"/>
      <charset val="128"/>
    </font>
    <font>
      <sz val="9"/>
      <name val="ＭＳ Ｐ明朝"/>
      <family val="1"/>
      <charset val="128"/>
    </font>
    <font>
      <sz val="10"/>
      <color rgb="FF000000"/>
      <name val="ＭＳ Ｐ明朝"/>
      <family val="1"/>
      <charset val="128"/>
    </font>
  </fonts>
  <fills count="7">
    <fill>
      <patternFill patternType="none"/>
    </fill>
    <fill>
      <patternFill patternType="gray125"/>
    </fill>
    <fill>
      <patternFill patternType="solid">
        <fgColor indexed="43"/>
        <bgColor indexed="64"/>
      </patternFill>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27"/>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thin">
        <color indexed="64"/>
      </left>
      <right style="thin">
        <color indexed="64"/>
      </right>
      <top style="thin">
        <color indexed="64"/>
      </top>
      <bottom/>
      <diagonal style="thin">
        <color indexed="64"/>
      </diagonal>
    </border>
    <border diagonalDown="1">
      <left style="thin">
        <color indexed="64"/>
      </left>
      <right style="thin">
        <color indexed="64"/>
      </right>
      <top/>
      <bottom style="thin">
        <color indexed="64"/>
      </bottom>
      <diagonal style="thin">
        <color indexed="64"/>
      </diagonal>
    </border>
    <border diagonalDown="1">
      <left style="thin">
        <color indexed="64"/>
      </left>
      <right style="thin">
        <color indexed="64"/>
      </right>
      <top/>
      <bottom/>
      <diagonal style="thin">
        <color indexed="64"/>
      </diagonal>
    </border>
  </borders>
  <cellStyleXfs count="1">
    <xf numFmtId="0" fontId="0" fillId="0" borderId="0">
      <alignment vertical="center"/>
    </xf>
  </cellStyleXfs>
  <cellXfs count="31">
    <xf numFmtId="0" fontId="0" fillId="0" borderId="0" xfId="0">
      <alignment vertical="center"/>
    </xf>
    <xf numFmtId="0" fontId="0" fillId="0" borderId="0" xfId="0" applyFill="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pplyProtection="1">
      <alignment horizontal="center" vertical="center"/>
      <protection locked="0"/>
    </xf>
    <xf numFmtId="49" fontId="0" fillId="0" borderId="1" xfId="0" applyNumberFormat="1" applyBorder="1">
      <alignment vertical="center"/>
    </xf>
    <xf numFmtId="0" fontId="0" fillId="0" borderId="1" xfId="0" applyFill="1" applyBorder="1" applyAlignment="1">
      <alignment horizontal="center" vertical="center"/>
    </xf>
    <xf numFmtId="0" fontId="0" fillId="0" borderId="2" xfId="0" applyBorder="1">
      <alignment vertical="center"/>
    </xf>
    <xf numFmtId="49" fontId="0" fillId="0" borderId="2" xfId="0" applyNumberFormat="1" applyBorder="1">
      <alignment vertical="center"/>
    </xf>
    <xf numFmtId="0" fontId="0" fillId="0" borderId="1" xfId="0" applyFill="1" applyBorder="1">
      <alignment vertical="center"/>
    </xf>
    <xf numFmtId="0" fontId="0" fillId="3" borderId="1" xfId="0" applyFill="1" applyBorder="1" applyAlignment="1">
      <alignment horizontal="center" vertical="center"/>
    </xf>
    <xf numFmtId="0" fontId="0" fillId="3" borderId="1" xfId="0" applyFill="1" applyBorder="1">
      <alignment vertical="center"/>
    </xf>
    <xf numFmtId="0" fontId="0" fillId="3" borderId="1" xfId="0" applyFill="1" applyBorder="1" applyAlignment="1">
      <alignment horizontal="center" vertical="center" wrapText="1"/>
    </xf>
    <xf numFmtId="0" fontId="0" fillId="4" borderId="1" xfId="0" applyFill="1" applyBorder="1" applyAlignment="1" applyProtection="1">
      <alignment horizontal="center" vertical="center"/>
      <protection locked="0"/>
    </xf>
    <xf numFmtId="0" fontId="0" fillId="5" borderId="1" xfId="0" applyFill="1" applyBorder="1">
      <alignment vertical="center"/>
    </xf>
    <xf numFmtId="49" fontId="0" fillId="2" borderId="1" xfId="0" applyNumberFormat="1" applyFill="1" applyBorder="1" applyAlignment="1" applyProtection="1">
      <alignment horizontal="center" vertical="center" wrapText="1"/>
      <protection locked="0"/>
    </xf>
    <xf numFmtId="0" fontId="0" fillId="0" borderId="3" xfId="0" applyBorder="1">
      <alignment vertical="center"/>
    </xf>
    <xf numFmtId="0" fontId="0" fillId="5" borderId="1" xfId="0" applyFill="1" applyBorder="1" applyAlignment="1" applyProtection="1">
      <alignment horizontal="center" vertical="center"/>
      <protection locked="0"/>
    </xf>
    <xf numFmtId="0" fontId="0" fillId="5" borderId="4" xfId="0" applyFill="1" applyBorder="1" applyAlignment="1">
      <alignment vertical="center" wrapText="1"/>
    </xf>
    <xf numFmtId="0" fontId="0" fillId="0" borderId="5" xfId="0" applyBorder="1" applyAlignment="1">
      <alignment horizontal="center" vertical="center"/>
    </xf>
    <xf numFmtId="0" fontId="0" fillId="6" borderId="1" xfId="0" applyFill="1" applyBorder="1" applyAlignment="1" applyProtection="1">
      <alignment horizontal="center" vertical="center"/>
      <protection locked="0"/>
    </xf>
    <xf numFmtId="0" fontId="4" fillId="0" borderId="0" xfId="0" applyFont="1">
      <alignment vertical="center"/>
    </xf>
    <xf numFmtId="0" fontId="4" fillId="0" borderId="6" xfId="0" applyFont="1" applyFill="1" applyBorder="1" applyAlignment="1">
      <alignment vertical="top" wrapText="1"/>
    </xf>
    <xf numFmtId="0" fontId="4" fillId="0" borderId="6" xfId="0" applyFont="1" applyBorder="1" applyAlignment="1">
      <alignment vertical="center" wrapText="1"/>
    </xf>
    <xf numFmtId="0" fontId="4" fillId="0" borderId="7" xfId="0" applyFont="1" applyBorder="1" applyAlignment="1">
      <alignment vertical="center" wrapText="1"/>
    </xf>
    <xf numFmtId="0" fontId="2" fillId="0" borderId="0" xfId="0" applyFont="1" applyAlignment="1">
      <alignment horizontal="center" vertical="center"/>
    </xf>
    <xf numFmtId="0" fontId="0" fillId="3" borderId="1" xfId="0"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cellXfs>
  <cellStyles count="1">
    <cellStyle name="標準"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171450</xdr:colOff>
          <xdr:row>3</xdr:row>
          <xdr:rowOff>57150</xdr:rowOff>
        </xdr:from>
        <xdr:to>
          <xdr:col>5</xdr:col>
          <xdr:colOff>1190625</xdr:colOff>
          <xdr:row>3</xdr:row>
          <xdr:rowOff>342900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明朝"/>
                  <a:ea typeface="ＭＳ Ｐ明朝"/>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1</xdr:row>
          <xdr:rowOff>19050</xdr:rowOff>
        </xdr:from>
        <xdr:to>
          <xdr:col>5</xdr:col>
          <xdr:colOff>1190625</xdr:colOff>
          <xdr:row>2</xdr:row>
          <xdr:rowOff>28575</xdr:rowOff>
        </xdr:to>
        <xdr:sp macro="" textlink="">
          <xdr:nvSpPr>
            <xdr:cNvPr id="1049" name="Button 2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明朝"/>
                  <a:ea typeface="ＭＳ Ｐ明朝"/>
                </a:rPr>
                <a:t>終了</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Q25"/>
  <sheetViews>
    <sheetView showGridLines="0" showRowColHeaders="0" tabSelected="1" workbookViewId="0">
      <pane xSplit="8" ySplit="5" topLeftCell="I6" activePane="bottomRight" state="frozen"/>
      <selection pane="topRight" activeCell="I1" sqref="I1"/>
      <selection pane="bottomLeft" activeCell="A6" sqref="A6"/>
      <selection pane="bottomRight" activeCell="E7" sqref="E7"/>
    </sheetView>
  </sheetViews>
  <sheetFormatPr defaultRowHeight="12" x14ac:dyDescent="0.15"/>
  <cols>
    <col min="1" max="1" width="27.28515625" customWidth="1"/>
    <col min="2" max="2" width="16.140625" customWidth="1"/>
    <col min="3" max="3" width="11.28515625" hidden="1" customWidth="1"/>
    <col min="4" max="4" width="11.28515625" customWidth="1"/>
    <col min="5" max="5" width="26.85546875" customWidth="1"/>
    <col min="6" max="6" width="19.5703125" customWidth="1"/>
    <col min="7" max="7" width="4" customWidth="1"/>
    <col min="8" max="8" width="20" customWidth="1"/>
    <col min="9" max="9" width="32.42578125" customWidth="1"/>
    <col min="10" max="10" width="4" customWidth="1"/>
    <col min="12" max="12" width="12.7109375" customWidth="1"/>
    <col min="14" max="14" width="11" customWidth="1"/>
    <col min="15" max="15" width="6.5703125" customWidth="1"/>
    <col min="16" max="16" width="9.42578125" bestFit="1" customWidth="1"/>
  </cols>
  <sheetData>
    <row r="1" spans="2:17" ht="6.75" customHeight="1" x14ac:dyDescent="0.15">
      <c r="I1" s="22" t="s">
        <v>69</v>
      </c>
    </row>
    <row r="2" spans="2:17" ht="21.75" customHeight="1" x14ac:dyDescent="0.15">
      <c r="B2" s="26" t="s">
        <v>52</v>
      </c>
      <c r="C2" s="26"/>
      <c r="D2" s="26"/>
    </row>
    <row r="3" spans="2:17" s="1" customFormat="1" ht="7.5" customHeight="1" x14ac:dyDescent="0.15">
      <c r="B3" s="2"/>
      <c r="C3" s="2"/>
      <c r="D3" s="2"/>
      <c r="E3" s="2"/>
      <c r="F3" s="2"/>
      <c r="G3" s="2"/>
      <c r="H3" s="2"/>
      <c r="I3" s="2"/>
      <c r="J3" s="2"/>
      <c r="K3" s="2"/>
      <c r="L3" s="2"/>
      <c r="M3" s="2"/>
      <c r="N3" s="2"/>
      <c r="O3" s="2"/>
      <c r="P3" s="2"/>
    </row>
    <row r="4" spans="2:17" s="1" customFormat="1" ht="30.75" customHeight="1" x14ac:dyDescent="0.15">
      <c r="B4" s="27" t="s">
        <v>60</v>
      </c>
      <c r="C4" s="27"/>
      <c r="D4" s="27"/>
      <c r="E4" s="21"/>
      <c r="F4" s="4"/>
      <c r="G4" s="2"/>
      <c r="H4" s="2"/>
      <c r="I4" s="2"/>
      <c r="J4" s="2"/>
      <c r="M4" s="2"/>
      <c r="N4" s="2"/>
      <c r="O4" s="2"/>
      <c r="P4" s="2"/>
    </row>
    <row r="5" spans="2:17" s="1" customFormat="1" ht="6" hidden="1" customHeight="1" x14ac:dyDescent="0.15">
      <c r="B5" s="10"/>
      <c r="C5" s="10"/>
      <c r="D5" s="10"/>
      <c r="E5" s="10"/>
      <c r="F5" s="10"/>
    </row>
    <row r="6" spans="2:17" ht="18" customHeight="1" x14ac:dyDescent="0.15">
      <c r="B6" s="11" t="s">
        <v>13</v>
      </c>
      <c r="C6" s="12"/>
      <c r="D6" s="13" t="s">
        <v>61</v>
      </c>
      <c r="E6" s="11" t="s">
        <v>63</v>
      </c>
      <c r="F6" s="11" t="s">
        <v>42</v>
      </c>
      <c r="L6" s="10" t="s">
        <v>47</v>
      </c>
      <c r="M6" s="4" t="s">
        <v>17</v>
      </c>
      <c r="N6" s="4" t="s">
        <v>18</v>
      </c>
      <c r="O6" s="1"/>
      <c r="P6" s="1"/>
      <c r="Q6" s="1"/>
    </row>
    <row r="7" spans="2:17" ht="18.75" customHeight="1" x14ac:dyDescent="0.15">
      <c r="B7" s="11" t="s">
        <v>62</v>
      </c>
      <c r="C7" s="3" t="s">
        <v>21</v>
      </c>
      <c r="D7" s="4" t="s">
        <v>29</v>
      </c>
      <c r="E7" s="21"/>
      <c r="F7" s="5" t="s">
        <v>57</v>
      </c>
      <c r="L7" s="4" t="s">
        <v>41</v>
      </c>
      <c r="M7" s="3" t="s">
        <v>39</v>
      </c>
      <c r="N7" s="3" t="s">
        <v>38</v>
      </c>
      <c r="O7" s="8" t="s">
        <v>40</v>
      </c>
      <c r="P7" s="17"/>
    </row>
    <row r="8" spans="2:17" ht="17.25" customHeight="1" x14ac:dyDescent="0.15">
      <c r="B8" s="11" t="s">
        <v>2</v>
      </c>
      <c r="C8" s="3" t="s">
        <v>36</v>
      </c>
      <c r="D8" s="14" t="s">
        <v>54</v>
      </c>
      <c r="E8" s="5"/>
      <c r="F8" s="15" t="s">
        <v>49</v>
      </c>
      <c r="L8" s="4" t="str">
        <f>IF(ISERROR(HLOOKUP(E10,M7:O8,2,FALSE)),"",HLOOKUP(E10,M7:O8,2,FALSE))</f>
        <v/>
      </c>
      <c r="M8" s="6">
        <v>2</v>
      </c>
      <c r="N8" s="6">
        <v>3</v>
      </c>
      <c r="O8" s="9"/>
      <c r="P8" s="17"/>
    </row>
    <row r="9" spans="2:17" ht="33.75" customHeight="1" x14ac:dyDescent="0.15">
      <c r="B9" s="11" t="s">
        <v>1</v>
      </c>
      <c r="C9" s="3" t="s">
        <v>22</v>
      </c>
      <c r="D9" s="14" t="s">
        <v>54</v>
      </c>
      <c r="E9" s="16"/>
      <c r="F9" s="19" t="s">
        <v>48</v>
      </c>
      <c r="L9" s="3" t="s">
        <v>43</v>
      </c>
      <c r="M9" s="3" t="s">
        <v>14</v>
      </c>
      <c r="N9" s="3" t="s">
        <v>15</v>
      </c>
      <c r="O9" s="8" t="s">
        <v>20</v>
      </c>
      <c r="P9" s="17"/>
    </row>
    <row r="10" spans="2:17" ht="17.25" customHeight="1" x14ac:dyDescent="0.15">
      <c r="B10" s="11" t="s">
        <v>0</v>
      </c>
      <c r="C10" s="3" t="s">
        <v>30</v>
      </c>
      <c r="D10" s="14" t="s">
        <v>54</v>
      </c>
      <c r="E10" s="5"/>
      <c r="F10" s="23" t="s">
        <v>59</v>
      </c>
      <c r="L10" s="4" t="s">
        <v>44</v>
      </c>
      <c r="M10" s="4" t="s">
        <v>45</v>
      </c>
      <c r="N10" s="4" t="s">
        <v>46</v>
      </c>
      <c r="O10" s="3"/>
    </row>
    <row r="11" spans="2:17" ht="17.25" customHeight="1" x14ac:dyDescent="0.15">
      <c r="B11" s="11" t="s">
        <v>19</v>
      </c>
      <c r="C11" s="3" t="s">
        <v>23</v>
      </c>
      <c r="D11" s="14" t="s">
        <v>68</v>
      </c>
      <c r="E11" s="5"/>
      <c r="F11" s="23"/>
      <c r="L11" s="4" t="str">
        <f>IF(F7="","ASC",HLOOKUP(F7,M10:O11,2,FALSE))</f>
        <v>ASC</v>
      </c>
      <c r="M11" s="4" t="s">
        <v>51</v>
      </c>
      <c r="N11" s="4" t="s">
        <v>50</v>
      </c>
      <c r="O11" s="4" t="s">
        <v>51</v>
      </c>
    </row>
    <row r="12" spans="2:17" ht="17.25" customHeight="1" x14ac:dyDescent="0.15">
      <c r="B12" s="11" t="s">
        <v>4</v>
      </c>
      <c r="C12" s="3" t="s">
        <v>32</v>
      </c>
      <c r="D12" s="14" t="s">
        <v>54</v>
      </c>
      <c r="E12" s="28"/>
      <c r="F12" s="23"/>
      <c r="L12" s="7" t="s">
        <v>53</v>
      </c>
      <c r="M12" s="4" t="s">
        <v>55</v>
      </c>
      <c r="N12" s="4" t="s">
        <v>56</v>
      </c>
    </row>
    <row r="13" spans="2:17" ht="17.25" customHeight="1" x14ac:dyDescent="0.15">
      <c r="B13" s="11" t="s">
        <v>5</v>
      </c>
      <c r="C13" s="3" t="s">
        <v>33</v>
      </c>
      <c r="D13" s="14" t="s">
        <v>54</v>
      </c>
      <c r="E13" s="29"/>
      <c r="F13" s="23"/>
      <c r="L13" s="7" t="s">
        <v>58</v>
      </c>
      <c r="M13" s="3" t="s">
        <v>70</v>
      </c>
      <c r="N13" s="3"/>
    </row>
    <row r="14" spans="2:17" ht="34.5" customHeight="1" x14ac:dyDescent="0.15">
      <c r="B14" s="11" t="s">
        <v>16</v>
      </c>
      <c r="C14" s="3" t="s">
        <v>31</v>
      </c>
      <c r="D14" s="14" t="s">
        <v>54</v>
      </c>
      <c r="E14" s="5"/>
      <c r="F14" s="23"/>
    </row>
    <row r="15" spans="2:17" ht="17.25" customHeight="1" x14ac:dyDescent="0.15">
      <c r="B15" s="11" t="s">
        <v>11</v>
      </c>
      <c r="C15" s="3" t="s">
        <v>24</v>
      </c>
      <c r="D15" s="14" t="s">
        <v>54</v>
      </c>
      <c r="E15" s="5"/>
      <c r="F15" s="23"/>
    </row>
    <row r="16" spans="2:17" ht="17.25" customHeight="1" x14ac:dyDescent="0.15">
      <c r="B16" s="11" t="s">
        <v>12</v>
      </c>
      <c r="C16" s="3" t="s">
        <v>34</v>
      </c>
      <c r="D16" s="14" t="s">
        <v>54</v>
      </c>
      <c r="E16" s="20"/>
      <c r="F16" s="24"/>
    </row>
    <row r="17" spans="2:6" ht="17.25" customHeight="1" x14ac:dyDescent="0.15">
      <c r="B17" s="11" t="s">
        <v>6</v>
      </c>
      <c r="C17" s="3" t="s">
        <v>37</v>
      </c>
      <c r="D17" s="14" t="s">
        <v>54</v>
      </c>
      <c r="E17" s="5"/>
      <c r="F17" s="24"/>
    </row>
    <row r="18" spans="2:6" ht="17.25" customHeight="1" x14ac:dyDescent="0.15">
      <c r="B18" s="11" t="s">
        <v>7</v>
      </c>
      <c r="C18" s="3" t="s">
        <v>25</v>
      </c>
      <c r="D18" s="14" t="s">
        <v>54</v>
      </c>
      <c r="E18" s="28"/>
      <c r="F18" s="24"/>
    </row>
    <row r="19" spans="2:6" ht="17.25" customHeight="1" x14ac:dyDescent="0.15">
      <c r="B19" s="11" t="s">
        <v>8</v>
      </c>
      <c r="C19" s="3" t="s">
        <v>35</v>
      </c>
      <c r="D19" s="14" t="s">
        <v>54</v>
      </c>
      <c r="E19" s="30"/>
      <c r="F19" s="24"/>
    </row>
    <row r="20" spans="2:6" ht="17.25" customHeight="1" x14ac:dyDescent="0.15">
      <c r="B20" s="11" t="s">
        <v>3</v>
      </c>
      <c r="C20" s="3" t="s">
        <v>26</v>
      </c>
      <c r="D20" s="14" t="s">
        <v>54</v>
      </c>
      <c r="E20" s="30"/>
      <c r="F20" s="24"/>
    </row>
    <row r="21" spans="2:6" ht="17.25" customHeight="1" x14ac:dyDescent="0.15">
      <c r="B21" s="11" t="s">
        <v>9</v>
      </c>
      <c r="C21" s="3" t="s">
        <v>27</v>
      </c>
      <c r="D21" s="14" t="s">
        <v>54</v>
      </c>
      <c r="E21" s="30"/>
      <c r="F21" s="24"/>
    </row>
    <row r="22" spans="2:6" ht="17.25" customHeight="1" x14ac:dyDescent="0.15">
      <c r="B22" s="11" t="s">
        <v>10</v>
      </c>
      <c r="C22" s="3" t="s">
        <v>28</v>
      </c>
      <c r="D22" s="14" t="s">
        <v>54</v>
      </c>
      <c r="E22" s="29"/>
      <c r="F22" s="24"/>
    </row>
    <row r="23" spans="2:6" ht="17.25" customHeight="1" x14ac:dyDescent="0.15">
      <c r="B23" s="11" t="s">
        <v>67</v>
      </c>
      <c r="C23" s="3" t="s">
        <v>65</v>
      </c>
      <c r="D23" s="14" t="s">
        <v>54</v>
      </c>
      <c r="E23" s="4" t="s">
        <v>66</v>
      </c>
      <c r="F23" s="24"/>
    </row>
    <row r="24" spans="2:6" ht="17.25" customHeight="1" x14ac:dyDescent="0.15">
      <c r="B24" s="11" t="s">
        <v>64</v>
      </c>
      <c r="C24" s="3"/>
      <c r="D24" s="18">
        <v>8000</v>
      </c>
      <c r="E24" s="20"/>
      <c r="F24" s="25"/>
    </row>
    <row r="25" spans="2:6" ht="17.25" customHeight="1" x14ac:dyDescent="0.15"/>
  </sheetData>
  <sheetProtection sheet="1" scenarios="1" selectLockedCells="1"/>
  <mergeCells count="5">
    <mergeCell ref="F10:F24"/>
    <mergeCell ref="B2:D2"/>
    <mergeCell ref="B4:D4"/>
    <mergeCell ref="E12:E13"/>
    <mergeCell ref="E18:E22"/>
  </mergeCells>
  <phoneticPr fontId="1"/>
  <dataValidations count="6">
    <dataValidation type="list" allowBlank="1" showInputMessage="1" showErrorMessage="1" sqref="E10">
      <formula1>$M$7:$P$7</formula1>
    </dataValidation>
    <dataValidation type="list" allowBlank="1" showInputMessage="1" showErrorMessage="1" sqref="E11">
      <formula1>$M$9:$O$9</formula1>
    </dataValidation>
    <dataValidation type="list" allowBlank="1" showInputMessage="1" showErrorMessage="1" sqref="E4">
      <formula1>$M$6:$N$6</formula1>
    </dataValidation>
    <dataValidation type="list" allowBlank="1" showInputMessage="1" showErrorMessage="1" sqref="F7">
      <formula1>$M$10:$O$10</formula1>
    </dataValidation>
    <dataValidation type="list" allowBlank="1" showInputMessage="1" showErrorMessage="1" sqref="D8:D23">
      <formula1>$M$12:$N$12</formula1>
    </dataValidation>
    <dataValidation type="whole" allowBlank="1" showInputMessage="1" showErrorMessage="1" errorTitle="数値範囲" error="1～50000の値を入れてください" sqref="D24">
      <formula1>1</formula1>
      <formula2>50000</formula2>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検索実行">
                <anchor moveWithCells="1" sizeWithCells="1">
                  <from>
                    <xdr:col>5</xdr:col>
                    <xdr:colOff>171450</xdr:colOff>
                    <xdr:row>3</xdr:row>
                    <xdr:rowOff>57150</xdr:rowOff>
                  </from>
                  <to>
                    <xdr:col>5</xdr:col>
                    <xdr:colOff>1190625</xdr:colOff>
                    <xdr:row>3</xdr:row>
                    <xdr:rowOff>342900</xdr:rowOff>
                  </to>
                </anchor>
              </controlPr>
            </control>
          </mc:Choice>
        </mc:AlternateContent>
        <mc:AlternateContent xmlns:mc="http://schemas.openxmlformats.org/markup-compatibility/2006">
          <mc:Choice Requires="x14">
            <control shapeId="1049" r:id="rId5" name="Button 25">
              <controlPr defaultSize="0" print="0" autoFill="0" autoPict="0" macro="[0]!終了処理Sub">
                <anchor moveWithCells="1" sizeWithCells="1">
                  <from>
                    <xdr:col>5</xdr:col>
                    <xdr:colOff>171450</xdr:colOff>
                    <xdr:row>1</xdr:row>
                    <xdr:rowOff>19050</xdr:rowOff>
                  </from>
                  <to>
                    <xdr:col>5</xdr:col>
                    <xdr:colOff>1190625</xdr:colOff>
                    <xdr:row>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55</vt:i4>
      </vt:variant>
    </vt:vector>
  </HeadingPairs>
  <TitlesOfParts>
    <vt:vector size="56" baseType="lpstr">
      <vt:lpstr>条件</vt:lpstr>
      <vt:lpstr>DataN</vt:lpstr>
      <vt:lpstr>H_ATUSA</vt:lpstr>
      <vt:lpstr>H_JITUNO</vt:lpstr>
      <vt:lpstr>H_JYOUGSN</vt:lpstr>
      <vt:lpstr>H_KAGENSN</vt:lpstr>
      <vt:lpstr>H_KAISYACD</vt:lpstr>
      <vt:lpstr>H_KEISASK</vt:lpstr>
      <vt:lpstr>H_ONDOK</vt:lpstr>
      <vt:lpstr>H_PASS</vt:lpstr>
      <vt:lpstr>H_SEHNCD</vt:lpstr>
      <vt:lpstr>H_SENKNO</vt:lpstr>
      <vt:lpstr>H_SITEISN</vt:lpstr>
      <vt:lpstr>H_SOKUTSN</vt:lpstr>
      <vt:lpstr>H_SOKUTTI</vt:lpstr>
      <vt:lpstr>H_SYOUSO</vt:lpstr>
      <vt:lpstr>H_SYOUSYABI</vt:lpstr>
      <vt:lpstr>H_TUIKAFLG</vt:lpstr>
      <vt:lpstr>J_SYOUSO</vt:lpstr>
      <vt:lpstr>K_Kaisyacd</vt:lpstr>
      <vt:lpstr>K_KEISASK</vt:lpstr>
      <vt:lpstr>K_PASS</vt:lpstr>
      <vt:lpstr>K_Rireki</vt:lpstr>
      <vt:lpstr>K_SEHNCD</vt:lpstr>
      <vt:lpstr>K_SITEISN</vt:lpstr>
      <vt:lpstr>K_SYOUSO</vt:lpstr>
      <vt:lpstr>K_TUIKAFLG</vt:lpstr>
      <vt:lpstr>K_Uno</vt:lpstr>
      <vt:lpstr>KAISYACD</vt:lpstr>
      <vt:lpstr>KEISASK</vt:lpstr>
      <vt:lpstr>PASS</vt:lpstr>
      <vt:lpstr>Rireki</vt:lpstr>
      <vt:lpstr>s.ATUSA</vt:lpstr>
      <vt:lpstr>s.JITUNO</vt:lpstr>
      <vt:lpstr>s.JYOUGSN</vt:lpstr>
      <vt:lpstr>s.KAGENSN</vt:lpstr>
      <vt:lpstr>s.KAISYACD</vt:lpstr>
      <vt:lpstr>s.KEISASK</vt:lpstr>
      <vt:lpstr>s.ONDOK</vt:lpstr>
      <vt:lpstr>s.PASS</vt:lpstr>
      <vt:lpstr>s.SENKNO</vt:lpstr>
      <vt:lpstr>s.SITEISN</vt:lpstr>
      <vt:lpstr>s.SOKUTSN</vt:lpstr>
      <vt:lpstr>s.SOKUTTI</vt:lpstr>
      <vt:lpstr>s.SYOUSO</vt:lpstr>
      <vt:lpstr>s.TUIKAFLG</vt:lpstr>
      <vt:lpstr>s.UNO</vt:lpstr>
      <vt:lpstr>s_SYOUSYABI</vt:lpstr>
      <vt:lpstr>SEHNCD</vt:lpstr>
      <vt:lpstr>SITEISN</vt:lpstr>
      <vt:lpstr>SortH</vt:lpstr>
      <vt:lpstr>SYOUSO</vt:lpstr>
      <vt:lpstr>ThisB_Name</vt:lpstr>
      <vt:lpstr>TUIKAFLG</vt:lpstr>
      <vt:lpstr>Uno</vt:lpstr>
      <vt:lpstr>z.SEHNCD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G-Koike</dc:creator>
  <cp:lastModifiedBy> </cp:lastModifiedBy>
  <dcterms:created xsi:type="dcterms:W3CDTF">2012-05-02T01:25:26Z</dcterms:created>
  <dcterms:modified xsi:type="dcterms:W3CDTF">2015-03-16T00:13:24Z</dcterms:modified>
</cp:coreProperties>
</file>