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20" yWindow="-120" windowWidth="15600" windowHeight="11760"/>
  </bookViews>
  <sheets>
    <sheet name="指図書" sheetId="1" r:id="rId1"/>
    <sheet name="線量率登録" sheetId="4" r:id="rId2"/>
    <sheet name="改訂履歴" sheetId="6" r:id="rId3"/>
    <sheet name="設定値" sheetId="2" r:id="rId4"/>
    <sheet name="ソフト変更履歴" sheetId="3" r:id="rId5"/>
  </sheets>
  <functionGroups/>
  <definedNames>
    <definedName name="AE132A">指図書!$S$50</definedName>
    <definedName name="AE132AA">指図書!$T$42</definedName>
    <definedName name="Bikou">指図書!$B$59</definedName>
    <definedName name="Bikou2">指図書!$C$59</definedName>
    <definedName name="Ceff">指図書!$S$39</definedName>
    <definedName name="CiAri">指図書!$P$53</definedName>
    <definedName name="CiNasi">指図書!$R$53</definedName>
    <definedName name="CIumu">設定値!$Q$3</definedName>
    <definedName name="Coeff">指図書!$S$39</definedName>
    <definedName name="ColN">設定値!$C$15</definedName>
    <definedName name="DaiTakasa">指図書!$N$34</definedName>
    <definedName name="DBTourokuUMU">設定値!$H$11</definedName>
    <definedName name="Debug">指図書!$A$1</definedName>
    <definedName name="DoseR0">設定値!$G$8</definedName>
    <definedName name="DoseR20">設定値!$G$7</definedName>
    <definedName name="DoseR30">設定値!$G$6</definedName>
    <definedName name="DoseR40">設定値!$G$5</definedName>
    <definedName name="DoseR50">設定値!$G$4</definedName>
    <definedName name="Eday">指図書!$AA$4</definedName>
    <definedName name="Haba">指図書!$L$30</definedName>
    <definedName name="HakoHaba">指図書!$J$10</definedName>
    <definedName name="HakoMax">設定値!#REF!</definedName>
    <definedName name="HakoMin">設定値!$C$11</definedName>
    <definedName name="HakoNagasa">指図書!$N$10</definedName>
    <definedName name="HakoTakasa">指図書!$R$10</definedName>
    <definedName name="HanJyouGe">指図書!$K$45</definedName>
    <definedName name="HanSayuu">指図書!$O$45</definedName>
    <definedName name="HanSonota">指図書!$S$45</definedName>
    <definedName name="Hanten">設定値!$L$3</definedName>
    <definedName name="HantenSu">指図書!$J$44</definedName>
    <definedName name="Hennkou">設定値!$J$19</definedName>
    <definedName name="Hogobann">指図書!$J$21</definedName>
    <definedName name="HogobannR">設定値!$B$11</definedName>
    <definedName name="Horei">指図書!$I$55</definedName>
    <definedName name="HoreiHou">指図書!$K$55</definedName>
    <definedName name="HoreiMu">指図書!$Q$55</definedName>
    <definedName name="JyougSn">指図書!$N$49</definedName>
    <definedName name="KagenSn">指図書!$S$49</definedName>
    <definedName name="Kainame">指図書!$E$5</definedName>
    <definedName name="KaisiBi">指図書!$N$8</definedName>
    <definedName name="KaisiCell">指図書!$B$3</definedName>
    <definedName name="KikanE">指図書!$S$8</definedName>
    <definedName name="KikanS">設定値!$B$4</definedName>
    <definedName name="KokyakuSiji">設定値!$R$3</definedName>
    <definedName name="LabAri">指図書!$I$53</definedName>
    <definedName name="Label">設定値!$P$3</definedName>
    <definedName name="LabNasi">指図書!$U$53</definedName>
    <definedName name="LabTenIti">指図書!$M$53</definedName>
    <definedName name="List">設定値!$C$4:$C$5</definedName>
    <definedName name="Nagasa">指図書!$P$28</definedName>
    <definedName name="NyukaBi">指図書!$AA$5</definedName>
    <definedName name="NyukaSuu">指図書!$U$19</definedName>
    <definedName name="Omosa">指図書!$J$11</definedName>
    <definedName name="OmosaMax">設定値!#REF!</definedName>
    <definedName name="OmosaMin">設定値!$E$11</definedName>
    <definedName name="_xlnm.Print_Area" localSheetId="0">指図書!$B$1:$X$58</definedName>
    <definedName name="_xlnm.Print_Area" localSheetId="3">設定値!$A$1:$J$8</definedName>
    <definedName name="RaDataUp">線量率登録!$E$10:$E$16</definedName>
    <definedName name="RaDateE">線量率登録!$D$5</definedName>
    <definedName name="RaDateS">線量率登録!$C$5</definedName>
    <definedName name="RaDbData">線量率登録!$J$9:$O$18</definedName>
    <definedName name="RadiW">指図書!$O$50</definedName>
    <definedName name="RadixWW">指図書!$P$42</definedName>
    <definedName name="RateData">設定値!$G$4:$G$9</definedName>
    <definedName name="RateTBL">設定値!$C$20:$I$50</definedName>
    <definedName name="Rireki">改訂履歴!$A$6:$D$105</definedName>
    <definedName name="RituSenKei">設定値!$K$9</definedName>
    <definedName name="RowN">設定値!$B$15</definedName>
    <definedName name="SakuseiBi">指図書!$E$3</definedName>
    <definedName name="SeiH0I">設定値!$E$8</definedName>
    <definedName name="SeiH20I">設定値!$E$7</definedName>
    <definedName name="SeiH20M">設定値!$F$8</definedName>
    <definedName name="SeiH30I">設定値!$E$6</definedName>
    <definedName name="SeiH30M">設定値!$F$7</definedName>
    <definedName name="SeiH40I">設定値!$E$5</definedName>
    <definedName name="SeiH40M">設定値!$F$6</definedName>
    <definedName name="SeiH50I">設定値!$E$4</definedName>
    <definedName name="SeiH50M">設定値!$F$5</definedName>
    <definedName name="SeiH60M">設定値!$F$4</definedName>
    <definedName name="SenAri">指図書!$I$47</definedName>
    <definedName name="SenIti">設定値!$N$3</definedName>
    <definedName name="SenItiHoka">指図書!$S$47</definedName>
    <definedName name="SenItiNaka">指図書!$O$47</definedName>
    <definedName name="SenKei">設定値!$M$3</definedName>
    <definedName name="SenNasi">指図書!$I$51</definedName>
    <definedName name="SenRitu">指図書!$R$41</definedName>
    <definedName name="SenRituS">指図書!$R$38</definedName>
    <definedName name="SenSyu">設定値!$O$3</definedName>
    <definedName name="SetHouhou">指図書!$I$38</definedName>
    <definedName name="SetJikan">指図書!$U$41</definedName>
    <definedName name="SetJikanS">指図書!$U$38</definedName>
    <definedName name="SetRitu">指図書!$I$41</definedName>
    <definedName name="SetSentaku">設定値!$K$3</definedName>
    <definedName name="SetSonota">指図書!$I$40</definedName>
    <definedName name="SetSuu">指図書!$P$19</definedName>
    <definedName name="SheetCal">指図書!$I$39</definedName>
    <definedName name="SheetHr">設定値!$G$9</definedName>
    <definedName name="SiteiSn">指図書!$N$48</definedName>
    <definedName name="SpkFolder">設定値!$F$11</definedName>
    <definedName name="Takasa">指図書!$S$26</definedName>
    <definedName name="TokSijNasi">指図書!$L$57</definedName>
    <definedName name="TokSujiAri">指図書!$I$57</definedName>
    <definedName name="Uno">指図書!$E$4</definedName>
    <definedName name="YousikiName">改訂履歴!$A$4</definedName>
    <definedName name="YousikiNo">改訂履歴!$D$4</definedName>
    <definedName name="作成者">指図書!$V$4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6"/>
  <c r="B2" i="1"/>
  <c r="H11" i="2" l="1"/>
  <c r="B4" l="1"/>
  <c r="U39" i="1" l="1"/>
  <c r="N8" i="4" l="1"/>
  <c r="L8"/>
  <c r="J8"/>
  <c r="J20" i="2" l="1"/>
  <c r="J50" l="1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AA3" i="1"/>
  <c r="J19" i="2" l="1"/>
  <c r="K7"/>
  <c r="R10" i="1" l="1"/>
  <c r="N10"/>
  <c r="J10"/>
  <c r="AA4" l="1"/>
  <c r="T31" l="1"/>
  <c r="R5" i="2" l="1"/>
  <c r="R4"/>
  <c r="Q5"/>
  <c r="Q4"/>
  <c r="P5"/>
  <c r="P4"/>
  <c r="O5"/>
  <c r="O4"/>
  <c r="N5"/>
  <c r="N4"/>
  <c r="M5"/>
  <c r="M4"/>
  <c r="L6"/>
  <c r="L5"/>
  <c r="L4"/>
  <c r="K6"/>
  <c r="K5"/>
  <c r="K4"/>
  <c r="K3" l="1"/>
  <c r="M3"/>
  <c r="R3"/>
  <c r="P3"/>
  <c r="Q3"/>
  <c r="O3"/>
  <c r="N3"/>
  <c r="L3"/>
  <c r="K11"/>
  <c r="K10"/>
  <c r="U32" i="1"/>
  <c r="K9" i="2" l="1"/>
</calcChain>
</file>

<file path=xl/comments1.xml><?xml version="1.0" encoding="utf-8"?>
<comments xmlns="http://schemas.openxmlformats.org/spreadsheetml/2006/main">
  <authors>
    <author xml:space="preserve"> </author>
  </authors>
  <commentList>
    <comment ref="AA5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入荷日は箱寸法測定日で検索時ファイル名指定に使用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</authors>
  <commentList>
    <comment ref="C5" authorId="0">
      <text>
        <r>
          <rPr>
            <b/>
            <sz val="9"/>
            <color indexed="81"/>
            <rFont val="ＭＳ Ｐゴシック"/>
            <family val="3"/>
            <charset val="128"/>
          </rPr>
          <t>登録又は表示する始の年月日を入力</t>
        </r>
      </text>
    </comment>
    <comment ref="D5" authorId="0">
      <text>
        <r>
          <rPr>
            <b/>
            <sz val="9"/>
            <color indexed="81"/>
            <rFont val="ＭＳ Ｐゴシック"/>
            <family val="3"/>
            <charset val="128"/>
          </rPr>
          <t>登録又は表示する終の年月日を入力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 xml:space="preserve"> </author>
  </authors>
  <commentList>
    <comment ref="H11" authorId="0">
      <text>
        <r>
          <rPr>
            <b/>
            <sz val="9"/>
            <color indexed="81"/>
            <rFont val="ＭＳ Ｐゴシック"/>
            <family val="3"/>
            <charset val="128"/>
          </rPr>
          <t>0の場合DB
（RATETBL)未登録</t>
        </r>
      </text>
    </comment>
    <comment ref="J19" authorId="0">
      <text>
        <r>
          <rPr>
            <sz val="9"/>
            <color indexed="81"/>
            <rFont val="ＭＳ Ｐゴシック"/>
            <family val="3"/>
            <charset val="128"/>
          </rPr>
          <t>99は日付期間中に変更無
99以下は変更があったNo</t>
        </r>
      </text>
    </comment>
  </commentList>
</comments>
</file>

<file path=xl/sharedStrings.xml><?xml version="1.0" encoding="utf-8"?>
<sst xmlns="http://schemas.openxmlformats.org/spreadsheetml/2006/main" count="249" uniqueCount="189">
  <si>
    <t>受付番号</t>
    <rPh sb="0" eb="2">
      <t>ウケツケ</t>
    </rPh>
    <rPh sb="2" eb="4">
      <t>バンゴウ</t>
    </rPh>
    <phoneticPr fontId="1"/>
  </si>
  <si>
    <t>顧客名</t>
    <rPh sb="0" eb="2">
      <t>コキャク</t>
    </rPh>
    <rPh sb="2" eb="3">
      <t>メイ</t>
    </rPh>
    <phoneticPr fontId="1"/>
  </si>
  <si>
    <t>確認者</t>
    <rPh sb="0" eb="2">
      <t>カクニン</t>
    </rPh>
    <rPh sb="2" eb="3">
      <t>シャ</t>
    </rPh>
    <phoneticPr fontId="1"/>
  </si>
  <si>
    <t>作成者</t>
    <rPh sb="0" eb="3">
      <t>サクセイシャ</t>
    </rPh>
    <phoneticPr fontId="1"/>
  </si>
  <si>
    <t>No.</t>
    <phoneticPr fontId="1"/>
  </si>
  <si>
    <t>製品寸法</t>
    <rPh sb="0" eb="2">
      <t>セイヒン</t>
    </rPh>
    <rPh sb="2" eb="4">
      <t>スンポウ</t>
    </rPh>
    <phoneticPr fontId="1"/>
  </si>
  <si>
    <t>重量</t>
    <rPh sb="0" eb="2">
      <t>ジュウリョウ</t>
    </rPh>
    <phoneticPr fontId="1"/>
  </si>
  <si>
    <t>セット方法</t>
    <rPh sb="3" eb="5">
      <t>ホウホウ</t>
    </rPh>
    <phoneticPr fontId="1"/>
  </si>
  <si>
    <t>　位置</t>
    <rPh sb="1" eb="3">
      <t>イチ</t>
    </rPh>
    <phoneticPr fontId="1"/>
  </si>
  <si>
    <t>北西</t>
    <rPh sb="0" eb="1">
      <t>キタ</t>
    </rPh>
    <rPh sb="1" eb="2">
      <t>ニシ</t>
    </rPh>
    <phoneticPr fontId="1"/>
  </si>
  <si>
    <t>北中</t>
    <rPh sb="0" eb="1">
      <t>キタ</t>
    </rPh>
    <rPh sb="1" eb="2">
      <t>チュウ</t>
    </rPh>
    <phoneticPr fontId="1"/>
  </si>
  <si>
    <t>北東</t>
    <rPh sb="0" eb="1">
      <t>キタ</t>
    </rPh>
    <rPh sb="1" eb="2">
      <t>ヒガシ</t>
    </rPh>
    <phoneticPr fontId="1"/>
  </si>
  <si>
    <t>南西</t>
    <rPh sb="0" eb="1">
      <t>ミナミ</t>
    </rPh>
    <rPh sb="1" eb="2">
      <t>ニシ</t>
    </rPh>
    <phoneticPr fontId="1"/>
  </si>
  <si>
    <t>南中</t>
    <rPh sb="0" eb="1">
      <t>ミナミ</t>
    </rPh>
    <rPh sb="1" eb="2">
      <t>ナカ</t>
    </rPh>
    <phoneticPr fontId="1"/>
  </si>
  <si>
    <t>kg</t>
    <phoneticPr fontId="1"/>
  </si>
  <si>
    <t>cm</t>
    <phoneticPr fontId="1"/>
  </si>
  <si>
    <t>セット図</t>
    <rPh sb="3" eb="4">
      <t>ズ</t>
    </rPh>
    <phoneticPr fontId="1"/>
  </si>
  <si>
    <t>照射時間または</t>
    <rPh sb="0" eb="2">
      <t>ショウシャ</t>
    </rPh>
    <rPh sb="2" eb="4">
      <t>ジカン</t>
    </rPh>
    <phoneticPr fontId="1"/>
  </si>
  <si>
    <t>線量率（どちらも小数点</t>
    <rPh sb="0" eb="3">
      <t>センリョウリツ</t>
    </rPh>
    <rPh sb="8" eb="11">
      <t>ショウスウテン</t>
    </rPh>
    <phoneticPr fontId="1"/>
  </si>
  <si>
    <t>以下第４位切り上げ）</t>
    <rPh sb="0" eb="2">
      <t>イカ</t>
    </rPh>
    <rPh sb="2" eb="3">
      <t>ダイ</t>
    </rPh>
    <rPh sb="4" eb="5">
      <t>イ</t>
    </rPh>
    <rPh sb="5" eb="6">
      <t>キ</t>
    </rPh>
    <rPh sb="7" eb="8">
      <t>ア</t>
    </rPh>
    <phoneticPr fontId="1"/>
  </si>
  <si>
    <t>時間</t>
    <rPh sb="0" eb="2">
      <t>ジカン</t>
    </rPh>
    <phoneticPr fontId="1"/>
  </si>
  <si>
    <t>反転</t>
    <rPh sb="0" eb="2">
      <t>ハンテン</t>
    </rPh>
    <phoneticPr fontId="1"/>
  </si>
  <si>
    <t>回転</t>
    <rPh sb="0" eb="2">
      <t>カイテン</t>
    </rPh>
    <phoneticPr fontId="1"/>
  </si>
  <si>
    <t>回転：</t>
    <rPh sb="0" eb="2">
      <t>カイテン</t>
    </rPh>
    <phoneticPr fontId="1"/>
  </si>
  <si>
    <t>回反転（無は０）</t>
    <rPh sb="0" eb="1">
      <t>カイ</t>
    </rPh>
    <rPh sb="1" eb="3">
      <t>ハンテン</t>
    </rPh>
    <rPh sb="4" eb="5">
      <t>ナシ</t>
    </rPh>
    <phoneticPr fontId="1"/>
  </si>
  <si>
    <t>上下反転</t>
    <rPh sb="0" eb="2">
      <t>ジョウゲ</t>
    </rPh>
    <rPh sb="2" eb="4">
      <t>ハンテン</t>
    </rPh>
    <phoneticPr fontId="1"/>
  </si>
  <si>
    <t>左右反転</t>
    <rPh sb="0" eb="2">
      <t>サユウ</t>
    </rPh>
    <rPh sb="2" eb="4">
      <t>ハンテン</t>
    </rPh>
    <phoneticPr fontId="1"/>
  </si>
  <si>
    <t>有</t>
    <rPh sb="0" eb="1">
      <t>ユウ</t>
    </rPh>
    <phoneticPr fontId="1"/>
  </si>
  <si>
    <t>照射管理ラベル</t>
    <rPh sb="0" eb="2">
      <t>ショウシャ</t>
    </rPh>
    <rPh sb="2" eb="4">
      <t>カンリ</t>
    </rPh>
    <phoneticPr fontId="1"/>
  </si>
  <si>
    <t>有（貼付位置：</t>
    <rPh sb="0" eb="1">
      <t>ユウ</t>
    </rPh>
    <rPh sb="2" eb="4">
      <t>テンプ</t>
    </rPh>
    <rPh sb="4" eb="6">
      <t>イチ</t>
    </rPh>
    <phoneticPr fontId="1"/>
  </si>
  <si>
    <t>ＣＩ：</t>
    <phoneticPr fontId="1"/>
  </si>
  <si>
    <t>無）</t>
    <rPh sb="0" eb="1">
      <t>ム</t>
    </rPh>
    <phoneticPr fontId="1"/>
  </si>
  <si>
    <t>無</t>
    <rPh sb="0" eb="1">
      <t>ム</t>
    </rPh>
    <phoneticPr fontId="1"/>
  </si>
  <si>
    <t>その他（温度管理等）</t>
    <rPh sb="2" eb="3">
      <t>タ</t>
    </rPh>
    <rPh sb="4" eb="6">
      <t>オンド</t>
    </rPh>
    <rPh sb="6" eb="8">
      <t>カンリ</t>
    </rPh>
    <rPh sb="8" eb="9">
      <t>トウ</t>
    </rPh>
    <phoneticPr fontId="1"/>
  </si>
  <si>
    <t>寸法：</t>
    <rPh sb="0" eb="2">
      <t>スンポウ</t>
    </rPh>
    <phoneticPr fontId="1"/>
  </si>
  <si>
    <t>重量：</t>
    <rPh sb="0" eb="2">
      <t>ジュウリョウ</t>
    </rPh>
    <phoneticPr fontId="1"/>
  </si>
  <si>
    <t>方法：</t>
    <rPh sb="0" eb="2">
      <t>ホウホウ</t>
    </rPh>
    <phoneticPr fontId="1"/>
  </si>
  <si>
    <t>貼付位置：</t>
    <rPh sb="0" eb="2">
      <t>テンプ</t>
    </rPh>
    <rPh sb="2" eb="4">
      <t>イチ</t>
    </rPh>
    <phoneticPr fontId="1"/>
  </si>
  <si>
    <t>最下部中央</t>
  </si>
  <si>
    <t>指定線量：</t>
    <rPh sb="0" eb="2">
      <t>シテイ</t>
    </rPh>
    <rPh sb="2" eb="4">
      <t>センリョウ</t>
    </rPh>
    <phoneticPr fontId="1"/>
  </si>
  <si>
    <t>ｋGy</t>
    <phoneticPr fontId="1"/>
  </si>
  <si>
    <t>合格範囲：上限</t>
    <rPh sb="0" eb="2">
      <t>ゴウカク</t>
    </rPh>
    <rPh sb="2" eb="4">
      <t>ハンイ</t>
    </rPh>
    <rPh sb="5" eb="7">
      <t>ジョウゲン</t>
    </rPh>
    <phoneticPr fontId="1"/>
  </si>
  <si>
    <t>下限</t>
    <rPh sb="0" eb="2">
      <t>カゲン</t>
    </rPh>
    <phoneticPr fontId="1"/>
  </si>
  <si>
    <t>RadixW</t>
    <phoneticPr fontId="1"/>
  </si>
  <si>
    <t>AE-132a</t>
    <phoneticPr fontId="1"/>
  </si>
  <si>
    <t>確認者
ﾁｪｯｸ</t>
    <rPh sb="0" eb="2">
      <t>カクニン</t>
    </rPh>
    <rPh sb="2" eb="3">
      <t>シャ</t>
    </rPh>
    <phoneticPr fontId="1"/>
  </si>
  <si>
    <t>□</t>
    <phoneticPr fontId="1"/>
  </si>
  <si>
    <t>顧客先の指示書等</t>
    <rPh sb="0" eb="2">
      <t>コキャク</t>
    </rPh>
    <rPh sb="2" eb="3">
      <t>サキ</t>
    </rPh>
    <rPh sb="4" eb="7">
      <t>シジショ</t>
    </rPh>
    <rPh sb="7" eb="8">
      <t>トウ</t>
    </rPh>
    <phoneticPr fontId="1"/>
  </si>
  <si>
    <t>有</t>
    <rPh sb="0" eb="1">
      <t>ユウ</t>
    </rPh>
    <phoneticPr fontId="1"/>
  </si>
  <si>
    <t>無</t>
    <rPh sb="0" eb="1">
      <t>ム</t>
    </rPh>
    <phoneticPr fontId="1"/>
  </si>
  <si>
    <t>開始日</t>
    <rPh sb="0" eb="3">
      <t>カイシビ</t>
    </rPh>
    <phoneticPr fontId="1"/>
  </si>
  <si>
    <t>台高さ
(cm)</t>
    <rPh sb="0" eb="1">
      <t>ダイ</t>
    </rPh>
    <rPh sb="1" eb="2">
      <t>タカ</t>
    </rPh>
    <phoneticPr fontId="1"/>
  </si>
  <si>
    <t>製品高さ範囲(cm)</t>
    <rPh sb="0" eb="2">
      <t>セイヒン</t>
    </rPh>
    <rPh sb="2" eb="3">
      <t>タカ</t>
    </rPh>
    <rPh sb="4" eb="6">
      <t>ハンイ</t>
    </rPh>
    <phoneticPr fontId="1"/>
  </si>
  <si>
    <t>③の選択</t>
    <rPh sb="2" eb="4">
      <t>センタク</t>
    </rPh>
    <phoneticPr fontId="1"/>
  </si>
  <si>
    <t>④反転方法</t>
    <rPh sb="1" eb="3">
      <t>ハンテン</t>
    </rPh>
    <rPh sb="3" eb="5">
      <t>ホウホウ</t>
    </rPh>
    <phoneticPr fontId="1"/>
  </si>
  <si>
    <t>選択リスト</t>
    <rPh sb="0" eb="2">
      <t>センタク</t>
    </rPh>
    <phoneticPr fontId="1"/>
  </si>
  <si>
    <t>■</t>
    <phoneticPr fontId="1"/>
  </si>
  <si>
    <t>□</t>
    <phoneticPr fontId="1"/>
  </si>
  <si>
    <t>⑤線量計</t>
    <rPh sb="1" eb="3">
      <t>センリョウ</t>
    </rPh>
    <rPh sb="3" eb="4">
      <t>ケイ</t>
    </rPh>
    <phoneticPr fontId="1"/>
  </si>
  <si>
    <t>線量計添付位置</t>
    <rPh sb="0" eb="2">
      <t>センリョウ</t>
    </rPh>
    <rPh sb="2" eb="3">
      <t>ケイ</t>
    </rPh>
    <rPh sb="3" eb="5">
      <t>テンプ</t>
    </rPh>
    <rPh sb="5" eb="7">
      <t>イチ</t>
    </rPh>
    <phoneticPr fontId="1"/>
  </si>
  <si>
    <t>⑥管理ラベル</t>
    <rPh sb="1" eb="3">
      <t>カンリ</t>
    </rPh>
    <phoneticPr fontId="1"/>
  </si>
  <si>
    <t>⑥CI貼付</t>
    <rPh sb="3" eb="5">
      <t>テンプ</t>
    </rPh>
    <phoneticPr fontId="1"/>
  </si>
  <si>
    <t>⑧顧客指示</t>
    <rPh sb="1" eb="3">
      <t>コキャク</t>
    </rPh>
    <rPh sb="3" eb="5">
      <t>シジ</t>
    </rPh>
    <phoneticPr fontId="1"/>
  </si>
  <si>
    <t>線量率</t>
    <rPh sb="0" eb="2">
      <t>センリョウ</t>
    </rPh>
    <rPh sb="2" eb="3">
      <t>リツ</t>
    </rPh>
    <phoneticPr fontId="1"/>
  </si>
  <si>
    <t>ｋGy/h</t>
    <phoneticPr fontId="1"/>
  </si>
  <si>
    <t>線量率</t>
    <rPh sb="0" eb="3">
      <t>センリョウリツ</t>
    </rPh>
    <phoneticPr fontId="1"/>
  </si>
  <si>
    <t>「１号機ｾｯﾄ方法」から算出</t>
    <rPh sb="2" eb="4">
      <t>ゴウキ</t>
    </rPh>
    <rPh sb="7" eb="9">
      <t>ホウホウ</t>
    </rPh>
    <rPh sb="12" eb="14">
      <t>サンシュツ</t>
    </rPh>
    <phoneticPr fontId="1"/>
  </si>
  <si>
    <t>保護板からの距離(cm)</t>
    <rPh sb="0" eb="2">
      <t>ホゴ</t>
    </rPh>
    <rPh sb="2" eb="3">
      <t>バン</t>
    </rPh>
    <rPh sb="6" eb="8">
      <t>キョリ</t>
    </rPh>
    <phoneticPr fontId="1"/>
  </si>
  <si>
    <t>線量率測定結果から算出</t>
    <rPh sb="0" eb="3">
      <t>センリョウリツ</t>
    </rPh>
    <rPh sb="3" eb="5">
      <t>ソクテイ</t>
    </rPh>
    <rPh sb="5" eb="7">
      <t>ケッカ</t>
    </rPh>
    <rPh sb="9" eb="11">
      <t>サンシュツ</t>
    </rPh>
    <phoneticPr fontId="1"/>
  </si>
  <si>
    <t>　セット図　セット数</t>
    <rPh sb="4" eb="5">
      <t>ズ</t>
    </rPh>
    <rPh sb="9" eb="10">
      <t>スウ</t>
    </rPh>
    <phoneticPr fontId="1"/>
  </si>
  <si>
    <t>セット数</t>
    <rPh sb="3" eb="4">
      <t>スウ</t>
    </rPh>
    <phoneticPr fontId="1"/>
  </si>
  <si>
    <t>箱</t>
    <rPh sb="0" eb="1">
      <t>ハコ</t>
    </rPh>
    <phoneticPr fontId="1"/>
  </si>
  <si>
    <t>セット位置（ｾｯﾄ者は下図該当箇所に○印）</t>
    <rPh sb="3" eb="5">
      <t>イチ</t>
    </rPh>
    <rPh sb="9" eb="10">
      <t>シャ</t>
    </rPh>
    <rPh sb="11" eb="12">
      <t>カ</t>
    </rPh>
    <rPh sb="13" eb="15">
      <t>ガイトウ</t>
    </rPh>
    <rPh sb="15" eb="17">
      <t>カショ</t>
    </rPh>
    <rPh sb="19" eb="20">
      <t>シルシ</t>
    </rPh>
    <phoneticPr fontId="1"/>
  </si>
  <si>
    <t>箱</t>
    <rPh sb="0" eb="1">
      <t>ハコ</t>
    </rPh>
    <phoneticPr fontId="1"/>
  </si>
  <si>
    <t>受付数</t>
    <rPh sb="0" eb="2">
      <t>ウケツケ</t>
    </rPh>
    <rPh sb="2" eb="3">
      <t>スウ</t>
    </rPh>
    <phoneticPr fontId="1"/>
  </si>
  <si>
    <t>開始列</t>
    <rPh sb="0" eb="2">
      <t>カイシ</t>
    </rPh>
    <rPh sb="2" eb="3">
      <t>レツ</t>
    </rPh>
    <phoneticPr fontId="1"/>
  </si>
  <si>
    <t>開始行</t>
    <rPh sb="0" eb="2">
      <t>カイシ</t>
    </rPh>
    <rPh sb="2" eb="3">
      <t>ギョウ</t>
    </rPh>
    <phoneticPr fontId="1"/>
  </si>
  <si>
    <t>指示書印刷先頭セル位置(この機能無）</t>
    <rPh sb="0" eb="3">
      <t>シジショ</t>
    </rPh>
    <rPh sb="3" eb="5">
      <t>インサツ</t>
    </rPh>
    <rPh sb="5" eb="7">
      <t>セントウ</t>
    </rPh>
    <rPh sb="9" eb="11">
      <t>イチ</t>
    </rPh>
    <rPh sb="14" eb="16">
      <t>キノウ</t>
    </rPh>
    <rPh sb="16" eb="17">
      <t>ナシ</t>
    </rPh>
    <phoneticPr fontId="1"/>
  </si>
  <si>
    <t>貼付する線量計種類</t>
    <rPh sb="0" eb="2">
      <t>テンプ</t>
    </rPh>
    <rPh sb="4" eb="6">
      <t>センリョウ</t>
    </rPh>
    <rPh sb="6" eb="7">
      <t>ケイ</t>
    </rPh>
    <rPh sb="7" eb="9">
      <t>シュルイ</t>
    </rPh>
    <phoneticPr fontId="1"/>
  </si>
  <si>
    <t>使用する線量計の種類</t>
    <rPh sb="0" eb="2">
      <t>シヨウ</t>
    </rPh>
    <rPh sb="4" eb="6">
      <t>センリョウ</t>
    </rPh>
    <rPh sb="6" eb="7">
      <t>ケイ</t>
    </rPh>
    <rPh sb="8" eb="10">
      <t>シュルイ</t>
    </rPh>
    <phoneticPr fontId="1"/>
  </si>
  <si>
    <t>RadixW</t>
    <phoneticPr fontId="1"/>
  </si>
  <si>
    <t/>
  </si>
  <si>
    <t>照射時線量計貼付</t>
    <rPh sb="0" eb="2">
      <t>ショウシャ</t>
    </rPh>
    <rPh sb="2" eb="3">
      <t>ジ</t>
    </rPh>
    <rPh sb="3" eb="5">
      <t>センリョウ</t>
    </rPh>
    <rPh sb="5" eb="6">
      <t>ケイ</t>
    </rPh>
    <rPh sb="6" eb="8">
      <t>テンプ</t>
    </rPh>
    <phoneticPr fontId="1"/>
  </si>
  <si>
    <t>⑤の貼付
線量計</t>
    <rPh sb="2" eb="4">
      <t>テンプ</t>
    </rPh>
    <rPh sb="5" eb="7">
      <t>センリョウ</t>
    </rPh>
    <rPh sb="7" eb="8">
      <t>ケイ</t>
    </rPh>
    <phoneticPr fontId="1"/>
  </si>
  <si>
    <t>③の使用する線量計</t>
    <rPh sb="2" eb="4">
      <t>シヨウ</t>
    </rPh>
    <rPh sb="6" eb="8">
      <t>センリョウ</t>
    </rPh>
    <rPh sb="8" eb="9">
      <t>ケイ</t>
    </rPh>
    <phoneticPr fontId="1"/>
  </si>
  <si>
    <t>注）製品重量5kg未満で製品高さが50cm未満の場合の計算用線量率は0.9で除した値とする。</t>
    <rPh sb="0" eb="1">
      <t>チュウ</t>
    </rPh>
    <rPh sb="2" eb="4">
      <t>セイヒン</t>
    </rPh>
    <rPh sb="4" eb="6">
      <t>ジュウリョウ</t>
    </rPh>
    <rPh sb="9" eb="11">
      <t>ミマン</t>
    </rPh>
    <rPh sb="12" eb="14">
      <t>セイヒン</t>
    </rPh>
    <rPh sb="14" eb="15">
      <t>タカ</t>
    </rPh>
    <rPh sb="21" eb="23">
      <t>ミマン</t>
    </rPh>
    <rPh sb="24" eb="26">
      <t>バアイ</t>
    </rPh>
    <rPh sb="27" eb="30">
      <t>ケイサンヨウ</t>
    </rPh>
    <rPh sb="30" eb="33">
      <t>センリョウリツ</t>
    </rPh>
    <rPh sb="38" eb="39">
      <t>ジョ</t>
    </rPh>
    <rPh sb="41" eb="42">
      <t>アタイ</t>
    </rPh>
    <phoneticPr fontId="1"/>
  </si>
  <si>
    <t>南東</t>
    <rPh sb="0" eb="1">
      <t>ミナミ</t>
    </rPh>
    <rPh sb="1" eb="2">
      <t>トウ</t>
    </rPh>
    <phoneticPr fontId="1"/>
  </si>
  <si>
    <t>cm×</t>
    <phoneticPr fontId="1"/>
  </si>
  <si>
    <t>作成月日</t>
    <rPh sb="0" eb="2">
      <t>サクセイ</t>
    </rPh>
    <rPh sb="2" eb="4">
      <t>ツキヒ</t>
    </rPh>
    <rPh sb="3" eb="4">
      <t>ニチ</t>
    </rPh>
    <phoneticPr fontId="1"/>
  </si>
  <si>
    <t>厚さ２ｃｍ以下のｼｰﾄ算出</t>
    <rPh sb="0" eb="1">
      <t>アツ</t>
    </rPh>
    <rPh sb="5" eb="7">
      <t>イカ</t>
    </rPh>
    <rPh sb="11" eb="13">
      <t>サンシュツ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</si>
  <si>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</si>
  <si>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</si>
  <si>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</si>
  <si>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</si>
  <si>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</si>
  <si>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</si>
  <si>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</si>
  <si>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⑧</t>
    <phoneticPr fontId="1"/>
  </si>
  <si>
    <t>⑨</t>
    <phoneticPr fontId="1"/>
  </si>
  <si>
    <t>開始日確認</t>
    <rPh sb="0" eb="3">
      <t>カイシビ</t>
    </rPh>
    <rPh sb="3" eb="5">
      <t>カクニン</t>
    </rPh>
    <phoneticPr fontId="1"/>
  </si>
  <si>
    <t>１ 号 機 作 業 指 図 書
（製 品 仕 様 書 な し）
自動印字用BCR読み出し</t>
    <rPh sb="2" eb="3">
      <t>ゴウ</t>
    </rPh>
    <rPh sb="4" eb="5">
      <t>キ</t>
    </rPh>
    <rPh sb="6" eb="7">
      <t>サク</t>
    </rPh>
    <rPh sb="8" eb="9">
      <t>ギョウ</t>
    </rPh>
    <rPh sb="10" eb="11">
      <t>ユビ</t>
    </rPh>
    <rPh sb="12" eb="13">
      <t>ズ</t>
    </rPh>
    <rPh sb="14" eb="15">
      <t>ショ</t>
    </rPh>
    <rPh sb="17" eb="18">
      <t>セイ</t>
    </rPh>
    <rPh sb="19" eb="20">
      <t>ヒン</t>
    </rPh>
    <rPh sb="21" eb="22">
      <t>シ</t>
    </rPh>
    <rPh sb="23" eb="24">
      <t>サマ</t>
    </rPh>
    <rPh sb="25" eb="26">
      <t>ショ</t>
    </rPh>
    <rPh sb="32" eb="34">
      <t>ジドウ</t>
    </rPh>
    <rPh sb="34" eb="36">
      <t>インジ</t>
    </rPh>
    <rPh sb="36" eb="37">
      <t>ヨウ</t>
    </rPh>
    <rPh sb="40" eb="41">
      <t>ヨ</t>
    </rPh>
    <rPh sb="42" eb="43">
      <t>ダ</t>
    </rPh>
    <phoneticPr fontId="1"/>
  </si>
  <si>
    <t>照射開始期間</t>
    <rPh sb="0" eb="2">
      <t>ショウシャ</t>
    </rPh>
    <rPh sb="2" eb="4">
      <t>カイシ</t>
    </rPh>
    <rPh sb="4" eb="6">
      <t>キカン</t>
    </rPh>
    <phoneticPr fontId="1"/>
  </si>
  <si>
    <t>から</t>
    <phoneticPr fontId="1"/>
  </si>
  <si>
    <t>日付</t>
    <rPh sb="0" eb="2">
      <t>ヒヅケ</t>
    </rPh>
    <phoneticPr fontId="1"/>
  </si>
  <si>
    <t>箱高さ20cm</t>
    <rPh sb="0" eb="1">
      <t>ハコ</t>
    </rPh>
    <rPh sb="1" eb="2">
      <t>タカ</t>
    </rPh>
    <phoneticPr fontId="1"/>
  </si>
  <si>
    <t>箱高さ30cm</t>
    <rPh sb="0" eb="1">
      <t>ハコ</t>
    </rPh>
    <rPh sb="1" eb="2">
      <t>タカ</t>
    </rPh>
    <phoneticPr fontId="1"/>
  </si>
  <si>
    <t>箱高さ40cm</t>
    <rPh sb="0" eb="1">
      <t>ハコ</t>
    </rPh>
    <rPh sb="1" eb="2">
      <t>タカ</t>
    </rPh>
    <phoneticPr fontId="1"/>
  </si>
  <si>
    <t>厚さ2cm以下
ｼｰﾄ(*)</t>
    <rPh sb="0" eb="1">
      <t>アツ</t>
    </rPh>
    <rPh sb="5" eb="7">
      <t>イカ</t>
    </rPh>
    <phoneticPr fontId="1"/>
  </si>
  <si>
    <t>(*)時間（１０ｋGy)保護版より25ｃｍ、20cm台使用</t>
    <rPh sb="3" eb="5">
      <t>ジカン</t>
    </rPh>
    <rPh sb="12" eb="14">
      <t>ホゴ</t>
    </rPh>
    <rPh sb="14" eb="15">
      <t>バン</t>
    </rPh>
    <rPh sb="26" eb="27">
      <t>ダイ</t>
    </rPh>
    <rPh sb="27" eb="29">
      <t>シヨウ</t>
    </rPh>
    <phoneticPr fontId="1"/>
  </si>
  <si>
    <t>No</t>
    <phoneticPr fontId="1"/>
  </si>
  <si>
    <t>RATETBLのDB登録データ</t>
    <rPh sb="10" eb="12">
      <t>トウロク</t>
    </rPh>
    <phoneticPr fontId="1"/>
  </si>
  <si>
    <t>登録データ有無</t>
    <rPh sb="0" eb="2">
      <t>トウロク</t>
    </rPh>
    <rPh sb="5" eb="7">
      <t>ウム</t>
    </rPh>
    <phoneticPr fontId="1"/>
  </si>
  <si>
    <t>ｼｰﾄ照射時間(h)／10kGy →</t>
    <rPh sb="3" eb="5">
      <t>ショウシャ</t>
    </rPh>
    <rPh sb="5" eb="7">
      <t>ジカン</t>
    </rPh>
    <phoneticPr fontId="1"/>
  </si>
  <si>
    <t>kGy</t>
    <phoneticPr fontId="1"/>
  </si>
  <si>
    <t>指　　図　　内　　容　　(■の項目の条件で照射）</t>
    <rPh sb="0" eb="1">
      <t>ユビ</t>
    </rPh>
    <rPh sb="3" eb="4">
      <t>ズ</t>
    </rPh>
    <rPh sb="6" eb="7">
      <t>ナイ</t>
    </rPh>
    <rPh sb="9" eb="10">
      <t>カタチ</t>
    </rPh>
    <rPh sb="15" eb="17">
      <t>コウモク</t>
    </rPh>
    <rPh sb="18" eb="20">
      <t>ジョウケン</t>
    </rPh>
    <rPh sb="21" eb="23">
      <t>ショウシャ</t>
    </rPh>
    <phoneticPr fontId="1"/>
  </si>
  <si>
    <t>注：セル色が青は式が入っている</t>
    <rPh sb="0" eb="1">
      <t>チュウ</t>
    </rPh>
    <rPh sb="4" eb="5">
      <t>ショク</t>
    </rPh>
    <rPh sb="6" eb="7">
      <t>アオ</t>
    </rPh>
    <rPh sb="8" eb="9">
      <t>シキ</t>
    </rPh>
    <rPh sb="10" eb="11">
      <t>ハイ</t>
    </rPh>
    <phoneticPr fontId="1"/>
  </si>
  <si>
    <t>内容</t>
    <rPh sb="0" eb="2">
      <t>ナイヨウ</t>
    </rPh>
    <phoneticPr fontId="1"/>
  </si>
  <si>
    <t>作成／変更</t>
    <rPh sb="0" eb="2">
      <t>サクセイ</t>
    </rPh>
    <rPh sb="3" eb="5">
      <t>ヘンコウ</t>
    </rPh>
    <phoneticPr fontId="1"/>
  </si>
  <si>
    <t>作成</t>
    <rPh sb="0" eb="2">
      <t>サクセイ</t>
    </rPh>
    <phoneticPr fontId="1"/>
  </si>
  <si>
    <t>変更者</t>
    <rPh sb="0" eb="2">
      <t>ヘンコウ</t>
    </rPh>
    <rPh sb="2" eb="3">
      <t>シャ</t>
    </rPh>
    <phoneticPr fontId="1"/>
  </si>
  <si>
    <t>手書きによる作業指図書をDBに登録されているデータを必要か所に反映するようにした</t>
    <rPh sb="6" eb="8">
      <t>サギョウ</t>
    </rPh>
    <rPh sb="8" eb="11">
      <t>サシズショ</t>
    </rPh>
    <rPh sb="15" eb="17">
      <t>トウロク</t>
    </rPh>
    <rPh sb="26" eb="28">
      <t>ヒツヨウ</t>
    </rPh>
    <rPh sb="29" eb="30">
      <t>ショ</t>
    </rPh>
    <rPh sb="31" eb="33">
      <t>ハンエイ</t>
    </rPh>
    <phoneticPr fontId="1"/>
  </si>
  <si>
    <t>変更</t>
    <rPh sb="0" eb="2">
      <t>ヘンコウ</t>
    </rPh>
    <phoneticPr fontId="1"/>
  </si>
  <si>
    <t>小池剛太郎</t>
    <rPh sb="0" eb="2">
      <t>コイケ</t>
    </rPh>
    <rPh sb="2" eb="5">
      <t>ゴウタロウ</t>
    </rPh>
    <phoneticPr fontId="1"/>
  </si>
  <si>
    <t>現品票に記載されているバーコードを読込むことによって、自動測定機による製品の箱寸法と重量の測定データを取り込むようにした。</t>
    <rPh sb="27" eb="29">
      <t>ジドウ</t>
    </rPh>
    <rPh sb="29" eb="31">
      <t>ソクテイ</t>
    </rPh>
    <rPh sb="31" eb="32">
      <t>キ</t>
    </rPh>
    <rPh sb="45" eb="47">
      <t>ソクテイ</t>
    </rPh>
    <rPh sb="51" eb="52">
      <t>ト</t>
    </rPh>
    <rPh sb="53" eb="54">
      <t>コ</t>
    </rPh>
    <phoneticPr fontId="1"/>
  </si>
  <si>
    <t>斎藤敏夫</t>
    <rPh sb="0" eb="2">
      <t>サイトウ</t>
    </rPh>
    <rPh sb="2" eb="4">
      <t>トシオ</t>
    </rPh>
    <phoneticPr fontId="1"/>
  </si>
  <si>
    <t>使用開始日</t>
    <rPh sb="0" eb="2">
      <t>シヨウ</t>
    </rPh>
    <rPh sb="2" eb="5">
      <t>カイシビ</t>
    </rPh>
    <phoneticPr fontId="1"/>
  </si>
  <si>
    <t>箱寸法測定値読込先ﾌｫﾙﾀﾞｰ</t>
    <rPh sb="0" eb="1">
      <t>ハコ</t>
    </rPh>
    <rPh sb="1" eb="3">
      <t>スンポウ</t>
    </rPh>
    <rPh sb="3" eb="5">
      <t>ソクテイ</t>
    </rPh>
    <rPh sb="5" eb="6">
      <t>チ</t>
    </rPh>
    <rPh sb="6" eb="8">
      <t>ヨミコミ</t>
    </rPh>
    <rPh sb="8" eb="9">
      <t>サキ</t>
    </rPh>
    <phoneticPr fontId="1"/>
  </si>
  <si>
    <t>試験品照射場線量率登録・変更</t>
    <rPh sb="0" eb="2">
      <t>シケン</t>
    </rPh>
    <rPh sb="2" eb="3">
      <t>ヒン</t>
    </rPh>
    <rPh sb="3" eb="5">
      <t>ショウシャ</t>
    </rPh>
    <rPh sb="5" eb="6">
      <t>バ</t>
    </rPh>
    <rPh sb="6" eb="9">
      <t>センリョウリツ</t>
    </rPh>
    <rPh sb="9" eb="11">
      <t>トウロク</t>
    </rPh>
    <rPh sb="12" eb="14">
      <t>ヘンコウ</t>
    </rPh>
    <phoneticPr fontId="1"/>
  </si>
  <si>
    <t>箱高さ範囲（ｃｍ）</t>
    <rPh sb="0" eb="1">
      <t>ハコ</t>
    </rPh>
    <rPh sb="1" eb="2">
      <t>タカ</t>
    </rPh>
    <rPh sb="3" eb="5">
      <t>ハンイ</t>
    </rPh>
    <phoneticPr fontId="1"/>
  </si>
  <si>
    <t>Rate20</t>
    <phoneticPr fontId="1"/>
  </si>
  <si>
    <t>Rate30</t>
    <phoneticPr fontId="1"/>
  </si>
  <si>
    <t>Rate40</t>
    <phoneticPr fontId="1"/>
  </si>
  <si>
    <t>呼称</t>
    <rPh sb="0" eb="2">
      <t>コショウ</t>
    </rPh>
    <phoneticPr fontId="1"/>
  </si>
  <si>
    <t>線量１０ｋGy時の
厚さ２ｃｍ以下のシート照射時間</t>
    <rPh sb="0" eb="2">
      <t>センリョウ</t>
    </rPh>
    <rPh sb="7" eb="8">
      <t>ジ</t>
    </rPh>
    <rPh sb="10" eb="11">
      <t>アツ</t>
    </rPh>
    <rPh sb="15" eb="17">
      <t>イカ</t>
    </rPh>
    <rPh sb="21" eb="23">
      <t>ショウシャ</t>
    </rPh>
    <rPh sb="23" eb="25">
      <t>ジカン</t>
    </rPh>
    <phoneticPr fontId="1"/>
  </si>
  <si>
    <t>登録済ﾃﾞｰﾀ</t>
    <rPh sb="0" eb="2">
      <t>トウロク</t>
    </rPh>
    <rPh sb="2" eb="3">
      <t>スミ</t>
    </rPh>
    <phoneticPr fontId="1"/>
  </si>
  <si>
    <t>登録用ﾃﾞｰﾀ</t>
    <rPh sb="0" eb="2">
      <t>トウロク</t>
    </rPh>
    <rPh sb="2" eb="3">
      <t>ヨウ</t>
    </rPh>
    <phoneticPr fontId="1"/>
  </si>
  <si>
    <t>ｋGy/h</t>
    <phoneticPr fontId="1"/>
  </si>
  <si>
    <t>より大きく</t>
    <rPh sb="2" eb="3">
      <t>オオ</t>
    </rPh>
    <phoneticPr fontId="1"/>
  </si>
  <si>
    <t>以下</t>
    <rPh sb="0" eb="2">
      <t>イカ</t>
    </rPh>
    <phoneticPr fontId="1"/>
  </si>
  <si>
    <t>データ有効期間（年月日）</t>
    <rPh sb="3" eb="5">
      <t>ユウコウ</t>
    </rPh>
    <rPh sb="5" eb="7">
      <t>キカン</t>
    </rPh>
    <rPh sb="8" eb="11">
      <t>ネンガッピ</t>
    </rPh>
    <phoneticPr fontId="1"/>
  </si>
  <si>
    <t>重量による係数</t>
    <rPh sb="0" eb="2">
      <t>ジュウリョウ</t>
    </rPh>
    <rPh sb="5" eb="7">
      <t>ケイスウ</t>
    </rPh>
    <phoneticPr fontId="1"/>
  </si>
  <si>
    <t>製品中心と保護板間</t>
    <rPh sb="0" eb="2">
      <t>セイヒン</t>
    </rPh>
    <rPh sb="2" eb="4">
      <t>チュウシン</t>
    </rPh>
    <rPh sb="5" eb="7">
      <t>ホゴ</t>
    </rPh>
    <rPh sb="7" eb="8">
      <t>バン</t>
    </rPh>
    <rPh sb="8" eb="9">
      <t>カン</t>
    </rPh>
    <phoneticPr fontId="1"/>
  </si>
  <si>
    <t>①厚さ２ｃｍ以下のシートの照射条件（照射時間）の計算値とｾｯﾄ方法の追加
②ｲﾝﾌﾟｯﾄBoxで現品票のバーコードを読込む方法を受付番号入力セルに直接バーコードの値を読込むようにした。
③自動測定機で測定した日以外でも箱寸法等のﾃﾞｰﾀを読込むことが出来るようにした。
④線量率ﾃﾞｰﾀﾍﾞｰｽ（ﾃｰﾌﾞﾙ名：RATETBL)の線量率とにシートの照射時間を登録と変更機能を追加した
⑤照射開始期間と確認者ﾁｪｯｸを追加した。
⑥作成日、受付番号、顧客名照射開始期間以外又は全てを白紙として（選択項目）印刷可能とした
⑦重量による係数を自動入力にした（５ｋｇ以上１、未満０．９）</t>
    <rPh sb="1" eb="2">
      <t>アツ</t>
    </rPh>
    <rPh sb="6" eb="8">
      <t>イカ</t>
    </rPh>
    <rPh sb="13" eb="15">
      <t>ショウシャ</t>
    </rPh>
    <rPh sb="15" eb="17">
      <t>ジョウケン</t>
    </rPh>
    <rPh sb="18" eb="20">
      <t>ショウシャ</t>
    </rPh>
    <rPh sb="20" eb="22">
      <t>ジカン</t>
    </rPh>
    <rPh sb="24" eb="26">
      <t>ケイサン</t>
    </rPh>
    <rPh sb="26" eb="27">
      <t>チ</t>
    </rPh>
    <rPh sb="31" eb="33">
      <t>ホウホウ</t>
    </rPh>
    <rPh sb="34" eb="36">
      <t>ツイカ</t>
    </rPh>
    <rPh sb="48" eb="51">
      <t>ゲンピンヒョウ</t>
    </rPh>
    <rPh sb="58" eb="60">
      <t>ヨミコ</t>
    </rPh>
    <rPh sb="61" eb="63">
      <t>ホウホウ</t>
    </rPh>
    <rPh sb="64" eb="66">
      <t>ウケツケ</t>
    </rPh>
    <rPh sb="66" eb="68">
      <t>バンゴウ</t>
    </rPh>
    <rPh sb="68" eb="70">
      <t>ニュウリョク</t>
    </rPh>
    <rPh sb="73" eb="75">
      <t>チョクセツ</t>
    </rPh>
    <rPh sb="81" eb="82">
      <t>アタイ</t>
    </rPh>
    <rPh sb="83" eb="85">
      <t>ヨミコミ</t>
    </rPh>
    <rPh sb="94" eb="96">
      <t>ジドウ</t>
    </rPh>
    <rPh sb="96" eb="98">
      <t>ソクテイ</t>
    </rPh>
    <rPh sb="98" eb="99">
      <t>キ</t>
    </rPh>
    <rPh sb="100" eb="102">
      <t>ソクテイ</t>
    </rPh>
    <rPh sb="104" eb="105">
      <t>ヒ</t>
    </rPh>
    <rPh sb="105" eb="107">
      <t>イガイ</t>
    </rPh>
    <rPh sb="109" eb="110">
      <t>ハコ</t>
    </rPh>
    <rPh sb="110" eb="112">
      <t>スンポウ</t>
    </rPh>
    <rPh sb="112" eb="113">
      <t>トウ</t>
    </rPh>
    <rPh sb="119" eb="121">
      <t>ヨミコ</t>
    </rPh>
    <rPh sb="125" eb="127">
      <t>デキ</t>
    </rPh>
    <rPh sb="136" eb="139">
      <t>センリョウリツ</t>
    </rPh>
    <rPh sb="153" eb="154">
      <t>メイ</t>
    </rPh>
    <rPh sb="164" eb="167">
      <t>センリョウリツ</t>
    </rPh>
    <rPh sb="173" eb="175">
      <t>ショウシャ</t>
    </rPh>
    <rPh sb="175" eb="177">
      <t>ジカン</t>
    </rPh>
    <rPh sb="178" eb="180">
      <t>トウロク</t>
    </rPh>
    <rPh sb="181" eb="183">
      <t>ヘンコウ</t>
    </rPh>
    <rPh sb="183" eb="185">
      <t>キノウ</t>
    </rPh>
    <rPh sb="186" eb="188">
      <t>ツイカ</t>
    </rPh>
    <rPh sb="192" eb="194">
      <t>ショウシャ</t>
    </rPh>
    <rPh sb="194" eb="196">
      <t>カイシ</t>
    </rPh>
    <rPh sb="196" eb="198">
      <t>キカン</t>
    </rPh>
    <rPh sb="207" eb="209">
      <t>ツイカ</t>
    </rPh>
    <rPh sb="214" eb="217">
      <t>サクセイビ</t>
    </rPh>
    <rPh sb="218" eb="220">
      <t>ウケツケ</t>
    </rPh>
    <rPh sb="220" eb="222">
      <t>バンゴウ</t>
    </rPh>
    <rPh sb="223" eb="225">
      <t>コキャク</t>
    </rPh>
    <rPh sb="225" eb="226">
      <t>メイ</t>
    </rPh>
    <rPh sb="226" eb="228">
      <t>ショウシャ</t>
    </rPh>
    <rPh sb="228" eb="230">
      <t>カイシ</t>
    </rPh>
    <rPh sb="230" eb="232">
      <t>キカン</t>
    </rPh>
    <rPh sb="232" eb="234">
      <t>イガイ</t>
    </rPh>
    <rPh sb="234" eb="235">
      <t>マタ</t>
    </rPh>
    <rPh sb="236" eb="237">
      <t>スベ</t>
    </rPh>
    <rPh sb="239" eb="241">
      <t>ハクシ</t>
    </rPh>
    <rPh sb="245" eb="247">
      <t>センタク</t>
    </rPh>
    <rPh sb="247" eb="249">
      <t>コウモク</t>
    </rPh>
    <rPh sb="250" eb="252">
      <t>インサツ</t>
    </rPh>
    <rPh sb="252" eb="254">
      <t>カノウ</t>
    </rPh>
    <rPh sb="259" eb="261">
      <t>ジュウリョウ</t>
    </rPh>
    <rPh sb="264" eb="266">
      <t>ケイスウ</t>
    </rPh>
    <rPh sb="267" eb="269">
      <t>ジドウ</t>
    </rPh>
    <rPh sb="269" eb="271">
      <t>ニュウリョク</t>
    </rPh>
    <rPh sb="278" eb="280">
      <t>イジョウ</t>
    </rPh>
    <rPh sb="282" eb="284">
      <t>ミマン</t>
    </rPh>
    <phoneticPr fontId="1"/>
  </si>
  <si>
    <t>小池剛太郎</t>
    <rPh sb="0" eb="2">
      <t>コイケ</t>
    </rPh>
    <rPh sb="2" eb="5">
      <t>ゴウタロウ</t>
    </rPh>
    <phoneticPr fontId="1"/>
  </si>
  <si>
    <t>2016年3月</t>
    <rPh sb="4" eb="5">
      <t>ネン</t>
    </rPh>
    <rPh sb="6" eb="7">
      <t>ガツ</t>
    </rPh>
    <phoneticPr fontId="1"/>
  </si>
  <si>
    <t>変更</t>
    <rPh sb="0" eb="2">
      <t>ヘンコウ</t>
    </rPh>
    <phoneticPr fontId="1"/>
  </si>
  <si>
    <t>小池剛太郎</t>
    <rPh sb="0" eb="2">
      <t>コイケ</t>
    </rPh>
    <rPh sb="2" eb="5">
      <t>ゴウタロウ</t>
    </rPh>
    <phoneticPr fontId="1"/>
  </si>
  <si>
    <t>線源量（TBｑ）</t>
    <rPh sb="0" eb="2">
      <t>センゲン</t>
    </rPh>
    <rPh sb="2" eb="3">
      <t>リョウ</t>
    </rPh>
    <phoneticPr fontId="1"/>
  </si>
  <si>
    <t>線源量(TBq)</t>
    <rPh sb="0" eb="2">
      <t>センゲン</t>
    </rPh>
    <rPh sb="2" eb="3">
      <t>リョウ</t>
    </rPh>
    <phoneticPr fontId="1"/>
  </si>
  <si>
    <t>Rate50</t>
    <phoneticPr fontId="1"/>
  </si>
  <si>
    <t>Rate60</t>
    <phoneticPr fontId="1"/>
  </si>
  <si>
    <t>登録者ID</t>
    <rPh sb="0" eb="3">
      <t>トウロクシャ</t>
    </rPh>
    <phoneticPr fontId="1"/>
  </si>
  <si>
    <t>登録日</t>
    <rPh sb="0" eb="3">
      <t>トウロクビ</t>
    </rPh>
    <phoneticPr fontId="1"/>
  </si>
  <si>
    <t>2cm以下ｼｰﾄ</t>
    <rPh sb="3" eb="5">
      <t>イカ</t>
    </rPh>
    <phoneticPr fontId="1"/>
  </si>
  <si>
    <t>箱高さ60cm</t>
    <rPh sb="0" eb="1">
      <t>ハコ</t>
    </rPh>
    <rPh sb="1" eb="2">
      <t>タカ</t>
    </rPh>
    <phoneticPr fontId="1"/>
  </si>
  <si>
    <t>箱高さ50cm</t>
    <rPh sb="0" eb="1">
      <t>ハコ</t>
    </rPh>
    <rPh sb="1" eb="2">
      <t>タカ</t>
    </rPh>
    <phoneticPr fontId="1"/>
  </si>
  <si>
    <t>DB:RATETBL
(登録ﾃﾞｰﾀ)
計算用線量率
(kGy/H)</t>
    <rPh sb="20" eb="23">
      <t>ケイサンヨウ</t>
    </rPh>
    <rPh sb="23" eb="26">
      <t>センリョウリツ</t>
    </rPh>
    <phoneticPr fontId="1"/>
  </si>
  <si>
    <t>\\163.59.144.156\spk1000</t>
    <phoneticPr fontId="1"/>
  </si>
  <si>
    <t>変更</t>
    <rPh sb="0" eb="2">
      <t>ヘンコウ</t>
    </rPh>
    <phoneticPr fontId="1"/>
  </si>
  <si>
    <t>①箱寸法・重量測定データの記録場所フォルダーが「\\cli99\SPK1000」から「\\Ricappsv1\spk1000」（\\163.59.144.156\SPK1000)に変更になった。
②バーコード表示形式が12ケタから16ケタに変更
　　[ｋuuuuuuuuuussssx] k:区分,u:受付番号s:数量,x:桁合わせ</t>
    <rPh sb="1" eb="2">
      <t>ハコ</t>
    </rPh>
    <rPh sb="2" eb="4">
      <t>スンポウ</t>
    </rPh>
    <rPh sb="5" eb="7">
      <t>ジュウリョウ</t>
    </rPh>
    <rPh sb="7" eb="9">
      <t>ソクテイ</t>
    </rPh>
    <rPh sb="13" eb="15">
      <t>キロク</t>
    </rPh>
    <rPh sb="15" eb="17">
      <t>バショ</t>
    </rPh>
    <rPh sb="90" eb="92">
      <t>ヘンコウ</t>
    </rPh>
    <rPh sb="104" eb="106">
      <t>ヒョウジ</t>
    </rPh>
    <rPh sb="106" eb="108">
      <t>ケイシキ</t>
    </rPh>
    <rPh sb="120" eb="122">
      <t>ヘンコウ</t>
    </rPh>
    <rPh sb="146" eb="148">
      <t>クブン</t>
    </rPh>
    <rPh sb="151" eb="153">
      <t>ウケツケ</t>
    </rPh>
    <rPh sb="153" eb="155">
      <t>バンゴウ</t>
    </rPh>
    <rPh sb="157" eb="159">
      <t>スウリョウ</t>
    </rPh>
    <rPh sb="162" eb="163">
      <t>ケタ</t>
    </rPh>
    <rPh sb="163" eb="164">
      <t>ア</t>
    </rPh>
    <phoneticPr fontId="1"/>
  </si>
  <si>
    <t>DBに箱高さ40cmより大きく50cm以下、50cmより大きく60cm以下の線量率、線源量（TBｑ）、登録者、登録日時の追加</t>
    <rPh sb="3" eb="4">
      <t>ハコ</t>
    </rPh>
    <rPh sb="4" eb="5">
      <t>タカ</t>
    </rPh>
    <rPh sb="12" eb="13">
      <t>オオ</t>
    </rPh>
    <rPh sb="19" eb="21">
      <t>イカ</t>
    </rPh>
    <rPh sb="38" eb="41">
      <t>センリョウリツ</t>
    </rPh>
    <rPh sb="42" eb="44">
      <t>センゲン</t>
    </rPh>
    <rPh sb="44" eb="45">
      <t>リョウ</t>
    </rPh>
    <rPh sb="51" eb="53">
      <t>トウロク</t>
    </rPh>
    <rPh sb="53" eb="54">
      <t>シャ</t>
    </rPh>
    <rPh sb="55" eb="57">
      <t>トウロク</t>
    </rPh>
    <rPh sb="57" eb="59">
      <t>ニチジ</t>
    </rPh>
    <rPh sb="60" eb="62">
      <t>ツイカ</t>
    </rPh>
    <phoneticPr fontId="1"/>
  </si>
  <si>
    <t>小池剛太郎</t>
    <rPh sb="0" eb="2">
      <t>コイケ</t>
    </rPh>
    <rPh sb="2" eb="5">
      <t>ゴウタロウ</t>
    </rPh>
    <phoneticPr fontId="1"/>
  </si>
  <si>
    <t>注：元表=文書番号G1-02
線量率計算＝元表／係数</t>
    <rPh sb="0" eb="1">
      <t>チュウ</t>
    </rPh>
    <rPh sb="2" eb="3">
      <t>モト</t>
    </rPh>
    <rPh sb="3" eb="4">
      <t>ヒョウ</t>
    </rPh>
    <rPh sb="5" eb="7">
      <t>ブンショ</t>
    </rPh>
    <rPh sb="7" eb="9">
      <t>バンゴウ</t>
    </rPh>
    <rPh sb="15" eb="18">
      <t>センリョウリツ</t>
    </rPh>
    <rPh sb="18" eb="20">
      <t>ケイサン</t>
    </rPh>
    <rPh sb="21" eb="22">
      <t>モト</t>
    </rPh>
    <rPh sb="22" eb="23">
      <t>ヒョウ</t>
    </rPh>
    <rPh sb="24" eb="26">
      <t>ケイスウ</t>
    </rPh>
    <phoneticPr fontId="1"/>
  </si>
  <si>
    <t>単位（Rate20-Rate60：ｋGy/時間，2cm以下ｼｰﾄ：時間／10kGy)</t>
    <rPh sb="0" eb="2">
      <t>タンイ</t>
    </rPh>
    <rPh sb="21" eb="22">
      <t>ジ</t>
    </rPh>
    <rPh sb="22" eb="23">
      <t>カン</t>
    </rPh>
    <rPh sb="27" eb="29">
      <t>イカ</t>
    </rPh>
    <rPh sb="33" eb="34">
      <t>ジ</t>
    </rPh>
    <rPh sb="34" eb="35">
      <t>カン</t>
    </rPh>
    <phoneticPr fontId="1"/>
  </si>
  <si>
    <t>その他（余白に記入）</t>
    <rPh sb="2" eb="3">
      <t>タ</t>
    </rPh>
    <rPh sb="4" eb="6">
      <t>ヨハク</t>
    </rPh>
    <rPh sb="7" eb="9">
      <t>キニュウ</t>
    </rPh>
    <phoneticPr fontId="1"/>
  </si>
  <si>
    <t>その他（余白に図示）</t>
    <rPh sb="2" eb="3">
      <t>タ</t>
    </rPh>
    <rPh sb="4" eb="6">
      <t>ヨハク</t>
    </rPh>
    <rPh sb="7" eb="8">
      <t>ズ</t>
    </rPh>
    <rPh sb="8" eb="9">
      <t>ジ</t>
    </rPh>
    <phoneticPr fontId="1"/>
  </si>
  <si>
    <t>ソフト変更履歴</t>
    <rPh sb="3" eb="5">
      <t>ヘンコウ</t>
    </rPh>
    <rPh sb="5" eb="7">
      <t>リレキ</t>
    </rPh>
    <phoneticPr fontId="1"/>
  </si>
  <si>
    <t>様式名</t>
    <rPh sb="0" eb="2">
      <t>ヨウシキ</t>
    </rPh>
    <rPh sb="2" eb="3">
      <t>メイ</t>
    </rPh>
    <phoneticPr fontId="22"/>
  </si>
  <si>
    <t>様式番号</t>
  </si>
  <si>
    <t>※版数</t>
    <rPh sb="1" eb="3">
      <t>ハンスウ</t>
    </rPh>
    <phoneticPr fontId="22"/>
  </si>
  <si>
    <t>制定／改定日</t>
    <rPh sb="0" eb="2">
      <t>セイテイ</t>
    </rPh>
    <rPh sb="3" eb="6">
      <t>カイテイビ</t>
    </rPh>
    <phoneticPr fontId="22"/>
  </si>
  <si>
    <t>改訂箇所／理由</t>
    <phoneticPr fontId="22"/>
  </si>
  <si>
    <t>登録者</t>
    <rPh sb="0" eb="3">
      <t>トウロクシャ</t>
    </rPh>
    <phoneticPr fontId="22"/>
  </si>
  <si>
    <t>1号機作業指図書（製品仕様書なし）自動印字用</t>
    <rPh sb="1" eb="3">
      <t>ゴウキ</t>
    </rPh>
    <rPh sb="3" eb="5">
      <t>サギョウ</t>
    </rPh>
    <rPh sb="5" eb="8">
      <t>サシズショ</t>
    </rPh>
    <rPh sb="9" eb="11">
      <t>セイヒン</t>
    </rPh>
    <rPh sb="11" eb="13">
      <t>シヨウ</t>
    </rPh>
    <rPh sb="13" eb="14">
      <t>ショ</t>
    </rPh>
    <rPh sb="17" eb="19">
      <t>ジドウ</t>
    </rPh>
    <rPh sb="19" eb="21">
      <t>インジ</t>
    </rPh>
    <rPh sb="21" eb="22">
      <t>ヨウ</t>
    </rPh>
    <phoneticPr fontId="1"/>
  </si>
  <si>
    <t>2017/1/5</t>
    <phoneticPr fontId="1"/>
  </si>
  <si>
    <t>2020/3/15</t>
    <phoneticPr fontId="1"/>
  </si>
  <si>
    <t>新規制定</t>
    <rPh sb="0" eb="2">
      <t>シンキ</t>
    </rPh>
    <rPh sb="2" eb="4">
      <t>セイテイ</t>
    </rPh>
    <phoneticPr fontId="1"/>
  </si>
  <si>
    <t>G1-25</t>
    <phoneticPr fontId="1"/>
  </si>
  <si>
    <t>以下余白</t>
    <rPh sb="0" eb="2">
      <t>イカ</t>
    </rPh>
    <rPh sb="2" eb="4">
      <t>ヨハク</t>
    </rPh>
    <phoneticPr fontId="1"/>
  </si>
  <si>
    <t>桜井</t>
    <rPh sb="0" eb="2">
      <t>サクライ</t>
    </rPh>
    <phoneticPr fontId="1"/>
  </si>
  <si>
    <t>小林</t>
    <rPh sb="0" eb="2">
      <t>コバヤシ</t>
    </rPh>
    <phoneticPr fontId="1"/>
  </si>
  <si>
    <t>係数を追加</t>
    <rPh sb="0" eb="2">
      <t>ケイスウ</t>
    </rPh>
    <rPh sb="3" eb="5">
      <t>ツイカ</t>
    </rPh>
    <phoneticPr fontId="1"/>
  </si>
  <si>
    <t>データベースに線量率・線源量・登録者・登録日時を記録</t>
    <rPh sb="7" eb="10">
      <t>センリョウリツ</t>
    </rPh>
    <rPh sb="11" eb="13">
      <t>センゲン</t>
    </rPh>
    <rPh sb="13" eb="14">
      <t>リョウ</t>
    </rPh>
    <rPh sb="15" eb="18">
      <t>トウロクシャ</t>
    </rPh>
    <rPh sb="19" eb="21">
      <t>トウロク</t>
    </rPh>
    <rPh sb="21" eb="23">
      <t>ニチジ</t>
    </rPh>
    <rPh sb="24" eb="26">
      <t>キロク</t>
    </rPh>
    <phoneticPr fontId="1"/>
  </si>
  <si>
    <t>備考欄削除</t>
    <rPh sb="0" eb="2">
      <t>ビコウ</t>
    </rPh>
    <rPh sb="2" eb="3">
      <t>ラン</t>
    </rPh>
    <rPh sb="3" eb="5">
      <t>サクジョ</t>
    </rPh>
    <phoneticPr fontId="1"/>
  </si>
  <si>
    <t>2016/1/28</t>
    <phoneticPr fontId="1"/>
  </si>
  <si>
    <t>変更</t>
    <rPh sb="0" eb="2">
      <t>ヘンコウ</t>
    </rPh>
    <phoneticPr fontId="1"/>
  </si>
  <si>
    <t>改定時の保存の仕方追加</t>
    <rPh sb="0" eb="2">
      <t>カイテイ</t>
    </rPh>
    <rPh sb="2" eb="3">
      <t>ジ</t>
    </rPh>
    <rPh sb="4" eb="6">
      <t>ホゾン</t>
    </rPh>
    <rPh sb="7" eb="9">
      <t>シカタ</t>
    </rPh>
    <rPh sb="9" eb="11">
      <t>ツイカ</t>
    </rPh>
    <phoneticPr fontId="1"/>
  </si>
  <si>
    <t>□</t>
    <phoneticPr fontId="1"/>
  </si>
  <si>
    <t>項　　目</t>
    <rPh sb="0" eb="1">
      <t>コウ</t>
    </rPh>
    <rPh sb="3" eb="4">
      <t>メ</t>
    </rPh>
    <phoneticPr fontId="1"/>
  </si>
</sst>
</file>

<file path=xl/styles.xml><?xml version="1.0" encoding="utf-8"?>
<styleSheet xmlns="http://schemas.openxmlformats.org/spreadsheetml/2006/main">
  <numFmts count="10">
    <numFmt numFmtId="176" formatCode="yyyy&quot;年&quot;m&quot;月&quot;d&quot;日&quot;;@"/>
    <numFmt numFmtId="177" formatCode="#,##0.000_ "/>
    <numFmt numFmtId="178" formatCode="0.000_ "/>
    <numFmt numFmtId="179" formatCode="yyyy/mm/dd"/>
    <numFmt numFmtId="180" formatCode="0.000_);[Red]\(0.000\)"/>
    <numFmt numFmtId="181" formatCode="0&quot;cm&quot;"/>
    <numFmt numFmtId="182" formatCode="0.0&quot;cm&quot;"/>
    <numFmt numFmtId="183" formatCode="0.00&quot;kg&quot;"/>
    <numFmt numFmtId="184" formatCode="0.00_ "/>
    <numFmt numFmtId="185" formatCode="0.00_);[Red]\(0.00\)"/>
  </numFmts>
  <fonts count="2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theme="1"/>
      <name val="ＭＳ Ｐ明朝"/>
      <family val="1"/>
      <charset val="128"/>
    </font>
    <font>
      <sz val="14"/>
      <color theme="1"/>
      <name val="ＭＳ Ｐ明朝"/>
      <family val="1"/>
      <charset val="128"/>
    </font>
    <font>
      <sz val="10"/>
      <color theme="1"/>
      <name val="ＭＳ Ｐ明朝"/>
      <family val="1"/>
      <charset val="128"/>
    </font>
    <font>
      <b/>
      <sz val="16"/>
      <color theme="1"/>
      <name val="ＭＳ Ｐ明朝"/>
      <family val="1"/>
      <charset val="128"/>
    </font>
    <font>
      <b/>
      <sz val="12"/>
      <color theme="1"/>
      <name val="ＭＳ Ｐ明朝"/>
      <family val="1"/>
      <charset val="128"/>
    </font>
    <font>
      <b/>
      <sz val="14"/>
      <color theme="1"/>
      <name val="ＭＳ Ｐ明朝"/>
      <family val="1"/>
      <charset val="128"/>
    </font>
    <font>
      <b/>
      <sz val="11"/>
      <color theme="1"/>
      <name val="ＭＳ Ｐ明朝"/>
      <family val="1"/>
      <charset val="128"/>
    </font>
    <font>
      <sz val="11"/>
      <name val="ＭＳ Ｐ明朝"/>
      <family val="1"/>
      <charset val="128"/>
    </font>
    <font>
      <sz val="11"/>
      <color indexed="8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name val="ＭＳ ゴシック"/>
      <family val="3"/>
      <charset val="128"/>
    </font>
    <font>
      <sz val="20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b/>
      <sz val="16"/>
      <color rgb="FF000000"/>
      <name val="ＭＳ Ｐ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2" fillId="0" borderId="0"/>
    <xf numFmtId="0" fontId="20" fillId="0" borderId="0">
      <alignment vertical="center"/>
    </xf>
  </cellStyleXfs>
  <cellXfs count="228">
    <xf numFmtId="0" fontId="0" fillId="0" borderId="0" xfId="0">
      <alignment vertical="center"/>
    </xf>
    <xf numFmtId="0" fontId="0" fillId="0" borderId="9" xfId="0" applyBorder="1">
      <alignment vertical="center"/>
    </xf>
    <xf numFmtId="0" fontId="4" fillId="0" borderId="0" xfId="0" applyFont="1" applyBorder="1">
      <alignment vertical="center"/>
    </xf>
    <xf numFmtId="0" fontId="4" fillId="0" borderId="0" xfId="0" applyFont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4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9" xfId="0" applyFont="1" applyBorder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0" xfId="0" applyFont="1" applyBorder="1" applyAlignment="1">
      <alignment vertical="center" shrinkToFit="1"/>
    </xf>
    <xf numFmtId="0" fontId="4" fillId="0" borderId="0" xfId="0" applyFont="1" applyBorder="1" applyAlignment="1"/>
    <xf numFmtId="0" fontId="4" fillId="0" borderId="0" xfId="0" applyFont="1" applyBorder="1" applyProtection="1">
      <alignment vertical="center"/>
    </xf>
    <xf numFmtId="0" fontId="4" fillId="0" borderId="4" xfId="0" applyFont="1" applyBorder="1" applyProtection="1">
      <alignment vertical="center"/>
    </xf>
    <xf numFmtId="0" fontId="4" fillId="0" borderId="0" xfId="0" applyFo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4" fillId="0" borderId="5" xfId="0" applyFont="1" applyBorder="1" applyProtection="1">
      <alignment vertical="center"/>
    </xf>
    <xf numFmtId="0" fontId="3" fillId="0" borderId="10" xfId="0" applyFont="1" applyBorder="1" applyAlignment="1">
      <alignment horizontal="center" vertical="center" wrapText="1" shrinkToFit="1"/>
    </xf>
    <xf numFmtId="0" fontId="0" fillId="0" borderId="11" xfId="0" applyBorder="1">
      <alignment vertical="center"/>
    </xf>
    <xf numFmtId="0" fontId="4" fillId="0" borderId="11" xfId="0" applyFont="1" applyBorder="1">
      <alignment vertical="center"/>
    </xf>
    <xf numFmtId="0" fontId="6" fillId="0" borderId="0" xfId="0" applyFont="1" applyBorder="1" applyAlignment="1">
      <alignment vertical="center"/>
    </xf>
    <xf numFmtId="0" fontId="2" fillId="0" borderId="9" xfId="0" applyFont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0" fillId="0" borderId="15" xfId="0" applyBorder="1">
      <alignment vertical="center"/>
    </xf>
    <xf numFmtId="0" fontId="0" fillId="0" borderId="15" xfId="0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8" fillId="0" borderId="0" xfId="0" applyFont="1" applyFill="1" applyBorder="1" applyAlignment="1" applyProtection="1">
      <alignment vertical="center"/>
    </xf>
    <xf numFmtId="0" fontId="8" fillId="0" borderId="7" xfId="0" applyFont="1" applyBorder="1">
      <alignment vertical="center"/>
    </xf>
    <xf numFmtId="0" fontId="6" fillId="0" borderId="0" xfId="0" applyFont="1" applyBorder="1" applyAlignment="1">
      <alignment horizontal="right" vertical="center"/>
    </xf>
    <xf numFmtId="0" fontId="4" fillId="0" borderId="4" xfId="0" applyFont="1" applyFill="1" applyBorder="1">
      <alignment vertical="center"/>
    </xf>
    <xf numFmtId="0" fontId="4" fillId="0" borderId="0" xfId="0" applyFont="1" applyFill="1">
      <alignment vertical="center"/>
    </xf>
    <xf numFmtId="0" fontId="4" fillId="0" borderId="5" xfId="0" applyFont="1" applyFill="1" applyBorder="1">
      <alignment vertical="center"/>
    </xf>
    <xf numFmtId="0" fontId="9" fillId="0" borderId="7" xfId="0" applyFont="1" applyFill="1" applyBorder="1" applyAlignment="1" applyProtection="1">
      <alignment vertical="center" shrinkToFit="1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4" borderId="15" xfId="0" applyFill="1" applyBorder="1" applyAlignment="1">
      <alignment vertical="center"/>
    </xf>
    <xf numFmtId="0" fontId="0" fillId="4" borderId="15" xfId="0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</xf>
    <xf numFmtId="177" fontId="8" fillId="0" borderId="0" xfId="0" applyNumberFormat="1" applyFont="1" applyFill="1" applyBorder="1" applyAlignment="1" applyProtection="1">
      <alignment vertical="center" shrinkToFit="1"/>
    </xf>
    <xf numFmtId="0" fontId="4" fillId="0" borderId="0" xfId="0" applyFont="1" applyFill="1" applyBorder="1" applyAlignment="1" applyProtection="1">
      <alignment horizontal="center" vertical="center"/>
    </xf>
    <xf numFmtId="0" fontId="4" fillId="0" borderId="5" xfId="0" applyFont="1" applyBorder="1" applyAlignment="1">
      <alignment horizontal="right" vertical="center"/>
    </xf>
    <xf numFmtId="0" fontId="4" fillId="0" borderId="0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0" fillId="0" borderId="0" xfId="0" applyBorder="1">
      <alignment vertical="center"/>
    </xf>
    <xf numFmtId="0" fontId="4" fillId="0" borderId="9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4" fillId="0" borderId="4" xfId="0" applyFont="1" applyBorder="1" applyAlignment="1"/>
    <xf numFmtId="0" fontId="4" fillId="0" borderId="5" xfId="0" applyFont="1" applyBorder="1" applyAlignment="1">
      <alignment vertical="center"/>
    </xf>
    <xf numFmtId="0" fontId="7" fillId="0" borderId="0" xfId="0" applyFont="1" applyBorder="1" applyAlignment="1"/>
    <xf numFmtId="0" fontId="10" fillId="0" borderId="0" xfId="0" applyFont="1" applyBorder="1" applyAlignment="1"/>
    <xf numFmtId="179" fontId="0" fillId="5" borderId="15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6" borderId="15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 wrapText="1"/>
    </xf>
    <xf numFmtId="0" fontId="12" fillId="0" borderId="0" xfId="1" applyFont="1" applyFill="1" applyBorder="1" applyAlignment="1"/>
    <xf numFmtId="0" fontId="12" fillId="0" borderId="0" xfId="1" applyFont="1" applyFill="1" applyBorder="1" applyAlignment="1">
      <alignment horizontal="center"/>
    </xf>
    <xf numFmtId="49" fontId="0" fillId="5" borderId="15" xfId="0" applyNumberFormat="1" applyFill="1" applyBorder="1" applyAlignment="1">
      <alignment horizontal="center" vertical="center"/>
    </xf>
    <xf numFmtId="14" fontId="0" fillId="7" borderId="15" xfId="0" applyNumberFormat="1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5" xfId="0" applyFill="1" applyBorder="1">
      <alignment vertical="center"/>
    </xf>
    <xf numFmtId="0" fontId="0" fillId="7" borderId="15" xfId="0" applyFill="1" applyBorder="1" applyAlignment="1">
      <alignment vertical="center"/>
    </xf>
    <xf numFmtId="0" fontId="0" fillId="0" borderId="15" xfId="0" applyBorder="1" applyAlignment="1">
      <alignment vertical="center" wrapText="1"/>
    </xf>
    <xf numFmtId="180" fontId="0" fillId="7" borderId="15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5" xfId="0" applyNumberFormat="1" applyBorder="1" applyAlignment="1">
      <alignment horizontal="center" vertical="center" wrapText="1"/>
    </xf>
    <xf numFmtId="55" fontId="0" fillId="0" borderId="15" xfId="0" applyNumberForma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19" fillId="6" borderId="15" xfId="0" applyFont="1" applyFill="1" applyBorder="1" applyAlignment="1">
      <alignment horizontal="center" vertical="center"/>
    </xf>
    <xf numFmtId="0" fontId="19" fillId="9" borderId="19" xfId="0" applyFont="1" applyFill="1" applyBorder="1" applyAlignment="1">
      <alignment horizontal="center" vertical="center"/>
    </xf>
    <xf numFmtId="0" fontId="19" fillId="9" borderId="22" xfId="0" applyFont="1" applyFill="1" applyBorder="1" applyAlignment="1">
      <alignment horizontal="center" vertical="center"/>
    </xf>
    <xf numFmtId="14" fontId="19" fillId="8" borderId="15" xfId="0" applyNumberFormat="1" applyFont="1" applyFill="1" applyBorder="1" applyProtection="1">
      <alignment vertical="center"/>
      <protection locked="0"/>
    </xf>
    <xf numFmtId="178" fontId="0" fillId="8" borderId="20" xfId="0" applyNumberForma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49" fontId="0" fillId="0" borderId="15" xfId="0" applyNumberFormat="1" applyBorder="1" applyAlignment="1">
      <alignment horizontal="center" vertical="center" wrapText="1"/>
    </xf>
    <xf numFmtId="0" fontId="19" fillId="6" borderId="15" xfId="0" applyFont="1" applyFill="1" applyBorder="1" applyAlignment="1" applyProtection="1">
      <alignment horizontal="center" vertical="center"/>
    </xf>
    <xf numFmtId="14" fontId="19" fillId="6" borderId="15" xfId="0" applyNumberFormat="1" applyFont="1" applyFill="1" applyBorder="1" applyAlignment="1" applyProtection="1">
      <alignment horizontal="center" vertical="center" shrinkToFit="1"/>
    </xf>
    <xf numFmtId="14" fontId="19" fillId="6" borderId="20" xfId="0" applyNumberFormat="1" applyFont="1" applyFill="1" applyBorder="1" applyAlignment="1" applyProtection="1">
      <alignment horizontal="center" vertical="center" shrinkToFit="1"/>
    </xf>
    <xf numFmtId="0" fontId="0" fillId="0" borderId="15" xfId="0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19" fillId="6" borderId="20" xfId="0" applyFont="1" applyFill="1" applyBorder="1" applyAlignment="1" applyProtection="1">
      <alignment horizontal="center" vertical="center"/>
    </xf>
    <xf numFmtId="31" fontId="0" fillId="0" borderId="15" xfId="0" applyNumberFormat="1" applyBorder="1" applyAlignment="1">
      <alignment horizontal="center" vertical="center" wrapText="1"/>
    </xf>
    <xf numFmtId="0" fontId="19" fillId="9" borderId="19" xfId="0" applyFont="1" applyFill="1" applyBorder="1" applyAlignment="1">
      <alignment horizontal="center" vertical="center"/>
    </xf>
    <xf numFmtId="178" fontId="0" fillId="8" borderId="24" xfId="0" applyNumberFormat="1" applyFill="1" applyBorder="1" applyAlignment="1" applyProtection="1">
      <alignment horizontal="center" vertical="center"/>
      <protection locked="0"/>
    </xf>
    <xf numFmtId="0" fontId="19" fillId="9" borderId="19" xfId="0" applyFont="1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7" borderId="15" xfId="0" applyNumberFormat="1" applyFill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184" fontId="0" fillId="8" borderId="20" xfId="0" applyNumberFormat="1" applyFill="1" applyBorder="1" applyAlignment="1" applyProtection="1">
      <alignment horizontal="center" vertical="center"/>
      <protection locked="0"/>
    </xf>
    <xf numFmtId="184" fontId="0" fillId="8" borderId="23" xfId="0" applyNumberFormat="1" applyFill="1" applyBorder="1" applyAlignment="1" applyProtection="1">
      <alignment horizontal="center" vertical="center"/>
      <protection locked="0"/>
    </xf>
    <xf numFmtId="0" fontId="0" fillId="0" borderId="5" xfId="0" applyFill="1" applyBorder="1" applyAlignment="1">
      <alignment horizontal="center" vertical="center"/>
    </xf>
    <xf numFmtId="0" fontId="0" fillId="0" borderId="5" xfId="0" applyNumberFormat="1" applyFill="1" applyBorder="1">
      <alignment vertical="center"/>
    </xf>
    <xf numFmtId="0" fontId="4" fillId="0" borderId="0" xfId="0" applyFont="1" applyBorder="1" applyAlignment="1">
      <alignment vertical="center"/>
    </xf>
    <xf numFmtId="185" fontId="0" fillId="7" borderId="15" xfId="0" applyNumberFormat="1" applyFill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4" fillId="0" borderId="5" xfId="0" applyFont="1" applyBorder="1" applyAlignment="1">
      <alignment vertical="center" shrinkToFit="1"/>
    </xf>
    <xf numFmtId="31" fontId="8" fillId="0" borderId="0" xfId="0" applyNumberFormat="1" applyFont="1" applyBorder="1" applyAlignment="1"/>
    <xf numFmtId="0" fontId="0" fillId="0" borderId="15" xfId="0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20" fillId="0" borderId="0" xfId="2">
      <alignment vertical="center"/>
    </xf>
    <xf numFmtId="0" fontId="23" fillId="0" borderId="0" xfId="2" applyFont="1">
      <alignment vertical="center"/>
    </xf>
    <xf numFmtId="0" fontId="20" fillId="0" borderId="0" xfId="2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0" borderId="15" xfId="2" applyFont="1" applyBorder="1" applyAlignment="1">
      <alignment horizontal="center" vertical="center"/>
    </xf>
    <xf numFmtId="0" fontId="23" fillId="0" borderId="15" xfId="2" applyFont="1" applyBorder="1">
      <alignment vertical="center"/>
    </xf>
    <xf numFmtId="14" fontId="23" fillId="0" borderId="15" xfId="2" applyNumberFormat="1" applyFont="1" applyBorder="1" applyAlignment="1">
      <alignment horizontal="center" vertical="center"/>
    </xf>
    <xf numFmtId="49" fontId="23" fillId="0" borderId="15" xfId="2" applyNumberFormat="1" applyFont="1" applyBorder="1" applyAlignment="1">
      <alignment horizontal="center" vertical="center"/>
    </xf>
    <xf numFmtId="0" fontId="23" fillId="0" borderId="15" xfId="2" applyFont="1" applyBorder="1" applyAlignment="1">
      <alignment vertical="center" wrapText="1"/>
    </xf>
    <xf numFmtId="0" fontId="23" fillId="0" borderId="0" xfId="2" applyNumberFormat="1" applyFont="1" applyAlignment="1">
      <alignment horizontal="left" vertical="center"/>
    </xf>
    <xf numFmtId="0" fontId="24" fillId="0" borderId="0" xfId="2" applyNumberFormat="1" applyFont="1" applyAlignment="1">
      <alignment horizontal="right" vertical="center"/>
    </xf>
    <xf numFmtId="0" fontId="0" fillId="0" borderId="15" xfId="0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4" fillId="2" borderId="0" xfId="0" applyFont="1" applyFill="1" applyBorder="1" applyAlignment="1" applyProtection="1">
      <alignment horizontal="center" vertical="center"/>
      <protection locked="0"/>
    </xf>
    <xf numFmtId="0" fontId="0" fillId="0" borderId="15" xfId="0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181" fontId="7" fillId="2" borderId="0" xfId="0" applyNumberFormat="1" applyFont="1" applyFill="1" applyBorder="1" applyAlignment="1" applyProtection="1">
      <alignment horizontal="center" vertical="center" shrinkToFit="1"/>
      <protection locked="0"/>
    </xf>
    <xf numFmtId="177" fontId="8" fillId="0" borderId="0" xfId="0" applyNumberFormat="1" applyFont="1" applyFill="1" applyBorder="1" applyAlignment="1" applyProtection="1">
      <alignment vertical="center" shrinkToFit="1"/>
    </xf>
    <xf numFmtId="177" fontId="8" fillId="2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6" fillId="0" borderId="0" xfId="0" applyFont="1" applyBorder="1" applyAlignment="1"/>
    <xf numFmtId="0" fontId="6" fillId="0" borderId="5" xfId="0" applyFont="1" applyBorder="1" applyAlignment="1"/>
    <xf numFmtId="182" fontId="7" fillId="2" borderId="0" xfId="0" applyNumberFormat="1" applyFont="1" applyFill="1" applyBorder="1" applyAlignment="1" applyProtection="1">
      <alignment horizontal="center" vertical="center" shrinkToFit="1"/>
      <protection locked="0"/>
    </xf>
    <xf numFmtId="181" fontId="7" fillId="0" borderId="0" xfId="0" applyNumberFormat="1" applyFont="1" applyFill="1" applyBorder="1" applyAlignment="1" applyProtection="1">
      <alignment horizontal="right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84" fontId="8" fillId="0" borderId="0" xfId="0" applyNumberFormat="1" applyFont="1" applyFill="1" applyBorder="1" applyAlignment="1" applyProtection="1">
      <alignment horizontal="center" vertical="center"/>
    </xf>
    <xf numFmtId="178" fontId="8" fillId="2" borderId="0" xfId="0" applyNumberFormat="1" applyFont="1" applyFill="1" applyBorder="1" applyAlignment="1" applyProtection="1">
      <alignment horizontal="center" vertical="center"/>
      <protection locked="0"/>
    </xf>
    <xf numFmtId="31" fontId="8" fillId="8" borderId="0" xfId="0" applyNumberFormat="1" applyFont="1" applyFill="1" applyBorder="1" applyAlignment="1" applyProtection="1">
      <alignment horizontal="center"/>
      <protection locked="0"/>
    </xf>
    <xf numFmtId="0" fontId="4" fillId="0" borderId="15" xfId="0" applyFont="1" applyBorder="1" applyAlignment="1">
      <alignment horizontal="center" vertical="center"/>
    </xf>
    <xf numFmtId="176" fontId="9" fillId="2" borderId="15" xfId="0" applyNumberFormat="1" applyFont="1" applyFill="1" applyBorder="1" applyAlignment="1" applyProtection="1">
      <alignment horizontal="center" vertical="center"/>
      <protection locked="0"/>
    </xf>
    <xf numFmtId="49" fontId="9" fillId="2" borderId="15" xfId="0" applyNumberFormat="1" applyFont="1" applyFill="1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</xf>
    <xf numFmtId="0" fontId="4" fillId="8" borderId="1" xfId="0" applyFont="1" applyFill="1" applyBorder="1" applyAlignment="1" applyProtection="1">
      <alignment horizontal="center" vertical="center" wrapText="1" shrinkToFit="1"/>
      <protection locked="0"/>
    </xf>
    <xf numFmtId="0" fontId="4" fillId="8" borderId="2" xfId="0" applyFont="1" applyFill="1" applyBorder="1" applyAlignment="1" applyProtection="1">
      <alignment horizontal="center" vertical="center" shrinkToFit="1"/>
      <protection locked="0"/>
    </xf>
    <xf numFmtId="0" fontId="4" fillId="8" borderId="3" xfId="0" applyFont="1" applyFill="1" applyBorder="1" applyAlignment="1" applyProtection="1">
      <alignment horizontal="center" vertical="center" shrinkToFit="1"/>
      <protection locked="0"/>
    </xf>
    <xf numFmtId="0" fontId="4" fillId="8" borderId="6" xfId="0" applyFont="1" applyFill="1" applyBorder="1" applyAlignment="1" applyProtection="1">
      <alignment horizontal="center" vertical="center" shrinkToFit="1"/>
      <protection locked="0"/>
    </xf>
    <xf numFmtId="0" fontId="4" fillId="8" borderId="7" xfId="0" applyFont="1" applyFill="1" applyBorder="1" applyAlignment="1" applyProtection="1">
      <alignment horizontal="center" vertical="center" shrinkToFit="1"/>
      <protection locked="0"/>
    </xf>
    <xf numFmtId="0" fontId="4" fillId="8" borderId="8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10" fillId="0" borderId="6" xfId="0" applyFont="1" applyFill="1" applyBorder="1" applyAlignment="1" applyProtection="1">
      <alignment vertical="center" wrapText="1"/>
    </xf>
    <xf numFmtId="0" fontId="10" fillId="0" borderId="7" xfId="0" applyFont="1" applyFill="1" applyBorder="1" applyAlignment="1" applyProtection="1">
      <alignment vertical="center" wrapText="1"/>
    </xf>
    <xf numFmtId="0" fontId="10" fillId="0" borderId="8" xfId="0" applyFont="1" applyFill="1" applyBorder="1" applyAlignment="1" applyProtection="1">
      <alignment vertical="center" wrapText="1"/>
    </xf>
    <xf numFmtId="31" fontId="8" fillId="8" borderId="0" xfId="0" applyNumberFormat="1" applyFont="1" applyFill="1" applyBorder="1" applyAlignment="1" applyProtection="1">
      <alignment horizontal="center" shrinkToFit="1"/>
      <protection locked="0"/>
    </xf>
    <xf numFmtId="183" fontId="8" fillId="2" borderId="0" xfId="0" applyNumberFormat="1" applyFont="1" applyFill="1" applyBorder="1" applyAlignment="1" applyProtection="1">
      <alignment horizontal="center" vertical="center" shrinkToFit="1"/>
      <protection locked="0"/>
    </xf>
    <xf numFmtId="49" fontId="4" fillId="2" borderId="0" xfId="0" applyNumberFormat="1" applyFont="1" applyFill="1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horizontal="center" vertical="center" shrinkToFit="1"/>
    </xf>
    <xf numFmtId="0" fontId="4" fillId="0" borderId="7" xfId="0" applyFont="1" applyBorder="1" applyAlignment="1">
      <alignment horizontal="center" vertical="center"/>
    </xf>
    <xf numFmtId="182" fontId="7" fillId="2" borderId="0" xfId="0" applyNumberFormat="1" applyFont="1" applyFill="1" applyBorder="1" applyAlignment="1" applyProtection="1">
      <alignment vertical="center" shrinkToFit="1"/>
      <protection locked="0"/>
    </xf>
    <xf numFmtId="0" fontId="4" fillId="0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vertical="center" shrinkToFit="1"/>
    </xf>
    <xf numFmtId="0" fontId="11" fillId="0" borderId="0" xfId="0" applyFont="1" applyBorder="1" applyAlignment="1">
      <alignment vertical="center"/>
    </xf>
    <xf numFmtId="0" fontId="8" fillId="0" borderId="0" xfId="0" applyFont="1" applyFill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2" fontId="0" fillId="0" borderId="21" xfId="0" applyNumberFormat="1" applyBorder="1" applyAlignment="1">
      <alignment horizontal="center" vertical="center"/>
    </xf>
    <xf numFmtId="0" fontId="19" fillId="9" borderId="28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26" xfId="0" applyFont="1" applyFill="1" applyBorder="1" applyAlignment="1">
      <alignment horizontal="center" vertical="center"/>
    </xf>
    <xf numFmtId="0" fontId="19" fillId="9" borderId="27" xfId="0" applyFont="1" applyFill="1" applyBorder="1" applyAlignment="1">
      <alignment horizontal="center" vertical="center"/>
    </xf>
    <xf numFmtId="0" fontId="19" fillId="9" borderId="25" xfId="0" applyFont="1" applyFill="1" applyBorder="1" applyAlignment="1">
      <alignment horizontal="center" vertical="center"/>
    </xf>
    <xf numFmtId="0" fontId="19" fillId="9" borderId="17" xfId="0" applyFont="1" applyFill="1" applyBorder="1" applyAlignment="1" applyProtection="1">
      <alignment horizontal="center" vertical="center"/>
    </xf>
    <xf numFmtId="0" fontId="19" fillId="9" borderId="18" xfId="0" applyFont="1" applyFill="1" applyBorder="1" applyAlignment="1" applyProtection="1">
      <alignment horizontal="center" vertical="center"/>
    </xf>
    <xf numFmtId="184" fontId="0" fillId="0" borderId="15" xfId="0" applyNumberFormat="1" applyBorder="1" applyAlignment="1" applyProtection="1">
      <alignment horizontal="center" vertical="center"/>
    </xf>
    <xf numFmtId="178" fontId="0" fillId="0" borderId="15" xfId="0" applyNumberFormat="1" applyBorder="1" applyAlignment="1" applyProtection="1">
      <alignment horizontal="center" vertical="center"/>
    </xf>
    <xf numFmtId="178" fontId="0" fillId="0" borderId="20" xfId="0" applyNumberFormat="1" applyBorder="1" applyAlignment="1" applyProtection="1">
      <alignment horizontal="center" vertical="center"/>
    </xf>
    <xf numFmtId="0" fontId="3" fillId="0" borderId="15" xfId="0" applyFont="1" applyBorder="1" applyAlignment="1" applyProtection="1">
      <alignment horizontal="center" vertical="center" wrapText="1"/>
    </xf>
    <xf numFmtId="0" fontId="16" fillId="0" borderId="15" xfId="0" applyFont="1" applyBorder="1" applyAlignment="1" applyProtection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9" fillId="9" borderId="16" xfId="0" applyFont="1" applyFill="1" applyBorder="1" applyAlignment="1">
      <alignment horizontal="center" vertical="center"/>
    </xf>
    <xf numFmtId="0" fontId="19" fillId="9" borderId="19" xfId="0" applyFont="1" applyFill="1" applyBorder="1" applyAlignment="1">
      <alignment horizontal="center" vertical="center"/>
    </xf>
    <xf numFmtId="0" fontId="19" fillId="9" borderId="17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19" fillId="9" borderId="16" xfId="0" applyFont="1" applyFill="1" applyBorder="1" applyAlignment="1" applyProtection="1">
      <alignment horizontal="center" vertical="center"/>
    </xf>
    <xf numFmtId="0" fontId="19" fillId="9" borderId="19" xfId="0" applyFont="1" applyFill="1" applyBorder="1" applyAlignment="1" applyProtection="1">
      <alignment horizontal="center" vertical="center"/>
    </xf>
    <xf numFmtId="0" fontId="19" fillId="9" borderId="15" xfId="0" applyFont="1" applyFill="1" applyBorder="1" applyAlignment="1" applyProtection="1">
      <alignment horizontal="center" vertical="center"/>
    </xf>
    <xf numFmtId="0" fontId="21" fillId="0" borderId="0" xfId="2" applyFont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0" fillId="4" borderId="15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15" xfId="0" applyFill="1" applyBorder="1" applyAlignment="1">
      <alignment horizontal="center" vertical="center"/>
    </xf>
  </cellXfs>
  <cellStyles count="3">
    <cellStyle name="標準" xfId="0" builtinId="0"/>
    <cellStyle name="標準 2" xfId="2"/>
    <cellStyle name="標準_設定値" xfId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  <color rgb="FFFFFF99"/>
      <color rgb="FFCCFFFF"/>
      <color rgb="FF66FF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295276</xdr:colOff>
      <xdr:row>15</xdr:row>
      <xdr:rowOff>112568</xdr:rowOff>
    </xdr:from>
    <xdr:to>
      <xdr:col>20</xdr:col>
      <xdr:colOff>9526</xdr:colOff>
      <xdr:row>15</xdr:row>
      <xdr:rowOff>112568</xdr:rowOff>
    </xdr:to>
    <xdr:cxnSp macro="">
      <xdr:nvCxnSpPr>
        <xdr:cNvPr id="3" name="直線コネクタ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416753" y="2398568"/>
          <a:ext cx="3351068" cy="0"/>
        </a:xfrm>
        <a:prstGeom prst="line">
          <a:avLst/>
        </a:prstGeom>
        <a:ln w="508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164523</xdr:colOff>
      <xdr:row>15</xdr:row>
      <xdr:rowOff>25979</xdr:rowOff>
    </xdr:from>
    <xdr:to>
      <xdr:col>15</xdr:col>
      <xdr:colOff>160193</xdr:colOff>
      <xdr:row>15</xdr:row>
      <xdr:rowOff>168853</xdr:rowOff>
    </xdr:to>
    <xdr:grpSp>
      <xdr:nvGrpSpPr>
        <xdr:cNvPr id="6" name="グループ化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4315418" y="3615400"/>
          <a:ext cx="637354" cy="142874"/>
          <a:chOff x="3991841" y="3169229"/>
          <a:chExt cx="601807" cy="142874"/>
        </a:xfrm>
      </xdr:grpSpPr>
      <xdr:sp macro="" textlink="">
        <xdr:nvSpPr>
          <xdr:cNvPr id="4" name="テキスト ボックス 3">
            <a:extLst>
              <a:ext uri="{FF2B5EF4-FFF2-40B4-BE49-F238E27FC236}">
                <a16:creationId xmlns=""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3991841" y="3169229"/>
            <a:ext cx="225136" cy="14287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none" rtlCol="0" anchor="ctr" anchorCtr="1">
            <a:noAutofit/>
          </a:bodyPr>
          <a:lstStyle/>
          <a:p>
            <a:r>
              <a:rPr kumimoji="1" lang="ja-JP" altLang="en-US" sz="1000"/>
              <a:t>線</a:t>
            </a:r>
          </a:p>
        </xdr:txBody>
      </xdr:sp>
      <xdr:sp macro="" textlink="">
        <xdr:nvSpPr>
          <xdr:cNvPr id="5" name="テキスト ボックス 4">
            <a:extLst>
              <a:ext uri="{FF2B5EF4-FFF2-40B4-BE49-F238E27FC236}">
                <a16:creationId xmlns=""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4368512" y="3169229"/>
            <a:ext cx="225136" cy="14287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none" rtlCol="0" anchor="ctr" anchorCtr="1">
            <a:noAutofit/>
          </a:bodyPr>
          <a:lstStyle/>
          <a:p>
            <a:r>
              <a:rPr kumimoji="1" lang="ja-JP" altLang="en-US" sz="1000"/>
              <a:t>源</a:t>
            </a:r>
          </a:p>
        </xdr:txBody>
      </xdr:sp>
    </xdr:grpSp>
    <xdr:clientData/>
  </xdr:twoCellAnchor>
  <xdr:oneCellAnchor>
    <xdr:from>
      <xdr:col>8</xdr:col>
      <xdr:colOff>25978</xdr:colOff>
      <xdr:row>27</xdr:row>
      <xdr:rowOff>77932</xdr:rowOff>
    </xdr:from>
    <xdr:ext cx="385555" cy="914994"/>
    <xdr:sp macro="" textlink="">
      <xdr:nvSpPr>
        <xdr:cNvPr id="2" name="テキスト ボックス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147455" y="3835977"/>
          <a:ext cx="385555" cy="91499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r>
            <a:rPr kumimoji="1" lang="ja-JP" altLang="en-US" sz="1100"/>
            <a:t>線源保護板</a:t>
          </a:r>
        </a:p>
      </xdr:txBody>
    </xdr:sp>
    <xdr:clientData/>
  </xdr:oneCellAnchor>
  <xdr:twoCellAnchor>
    <xdr:from>
      <xdr:col>9</xdr:col>
      <xdr:colOff>0</xdr:colOff>
      <xdr:row>23</xdr:row>
      <xdr:rowOff>0</xdr:rowOff>
    </xdr:from>
    <xdr:to>
      <xdr:col>9</xdr:col>
      <xdr:colOff>0</xdr:colOff>
      <xdr:row>36</xdr:row>
      <xdr:rowOff>0</xdr:rowOff>
    </xdr:to>
    <xdr:cxnSp macro="">
      <xdr:nvCxnSpPr>
        <xdr:cNvPr id="37" name="直線コネクタ 36">
          <a:extLst>
            <a:ext uri="{FF2B5EF4-FFF2-40B4-BE49-F238E27FC236}">
              <a16:creationId xmlns="" xmlns:a16="http://schemas.microsoft.com/office/drawing/2014/main" id="{00000000-0008-0000-0000-000025000000}"/>
            </a:ext>
          </a:extLst>
        </xdr:cNvPr>
        <xdr:cNvCxnSpPr/>
      </xdr:nvCxnSpPr>
      <xdr:spPr>
        <a:xfrm>
          <a:off x="2424545" y="3281795"/>
          <a:ext cx="0" cy="225136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3</xdr:rowOff>
    </xdr:to>
    <xdr:cxnSp macro="">
      <xdr:nvCxnSpPr>
        <xdr:cNvPr id="73" name="直線コネクタ 72">
          <a:extLst>
            <a:ext uri="{FF2B5EF4-FFF2-40B4-BE49-F238E27FC236}">
              <a16:creationId xmlns="" xmlns:a16="http://schemas.microsoft.com/office/drawing/2014/main" id="{00000000-0008-0000-0000-000049000000}"/>
            </a:ext>
          </a:extLst>
        </xdr:cNvPr>
        <xdr:cNvCxnSpPr/>
      </xdr:nvCxnSpPr>
      <xdr:spPr>
        <a:xfrm flipV="1">
          <a:off x="3217333" y="6836833"/>
          <a:ext cx="328084" cy="14817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19</xdr:row>
      <xdr:rowOff>85725</xdr:rowOff>
    </xdr:from>
    <xdr:to>
      <xdr:col>13</xdr:col>
      <xdr:colOff>141684</xdr:colOff>
      <xdr:row>24</xdr:row>
      <xdr:rowOff>0</xdr:rowOff>
    </xdr:to>
    <xdr:cxnSp macro="">
      <xdr:nvCxnSpPr>
        <xdr:cNvPr id="75" name="直線コネクタ 74">
          <a:extLst>
            <a:ext uri="{FF2B5EF4-FFF2-40B4-BE49-F238E27FC236}">
              <a16:creationId xmlns="" xmlns:a16="http://schemas.microsoft.com/office/drawing/2014/main" id="{00000000-0008-0000-0000-00004B000000}"/>
            </a:ext>
          </a:extLst>
        </xdr:cNvPr>
        <xdr:cNvCxnSpPr/>
      </xdr:nvCxnSpPr>
      <xdr:spPr>
        <a:xfrm flipV="1">
          <a:off x="2705100" y="3867150"/>
          <a:ext cx="1437084" cy="6762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21</xdr:row>
      <xdr:rowOff>0</xdr:rowOff>
    </xdr:from>
    <xdr:to>
      <xdr:col>13</xdr:col>
      <xdr:colOff>0</xdr:colOff>
      <xdr:row>28</xdr:row>
      <xdr:rowOff>0</xdr:rowOff>
    </xdr:to>
    <xdr:cxnSp macro="">
      <xdr:nvCxnSpPr>
        <xdr:cNvPr id="91" name="直線コネクタ 90">
          <a:extLst>
            <a:ext uri="{FF2B5EF4-FFF2-40B4-BE49-F238E27FC236}">
              <a16:creationId xmlns="" xmlns:a16="http://schemas.microsoft.com/office/drawing/2014/main" id="{00000000-0008-0000-0000-00005B000000}"/>
            </a:ext>
          </a:extLst>
        </xdr:cNvPr>
        <xdr:cNvCxnSpPr/>
      </xdr:nvCxnSpPr>
      <xdr:spPr>
        <a:xfrm>
          <a:off x="3645477" y="3931227"/>
          <a:ext cx="0" cy="1246909"/>
        </a:xfrm>
        <a:prstGeom prst="line">
          <a:avLst/>
        </a:prstGeom>
        <a:ln>
          <a:solidFill>
            <a:sysClr val="windowText" lastClr="000000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22</xdr:row>
      <xdr:rowOff>0</xdr:rowOff>
    </xdr:from>
    <xdr:to>
      <xdr:col>13</xdr:col>
      <xdr:colOff>0</xdr:colOff>
      <xdr:row>22</xdr:row>
      <xdr:rowOff>0</xdr:rowOff>
    </xdr:to>
    <xdr:cxnSp macro="">
      <xdr:nvCxnSpPr>
        <xdr:cNvPr id="93" name="直線コネクタ 92">
          <a:extLst>
            <a:ext uri="{FF2B5EF4-FFF2-40B4-BE49-F238E27FC236}">
              <a16:creationId xmlns="" xmlns:a16="http://schemas.microsoft.com/office/drawing/2014/main" id="{00000000-0008-0000-0000-00005D000000}"/>
            </a:ext>
          </a:extLst>
        </xdr:cNvPr>
        <xdr:cNvCxnSpPr/>
      </xdr:nvCxnSpPr>
      <xdr:spPr>
        <a:xfrm flipH="1">
          <a:off x="2467841" y="4087091"/>
          <a:ext cx="1177636" cy="0"/>
        </a:xfrm>
        <a:prstGeom prst="line">
          <a:avLst/>
        </a:prstGeom>
        <a:ln>
          <a:solidFill>
            <a:sysClr val="windowText" lastClr="000000"/>
          </a:solidFill>
          <a:headEnd type="stealth"/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8</xdr:row>
      <xdr:rowOff>76200</xdr:rowOff>
    </xdr:from>
    <xdr:to>
      <xdr:col>24</xdr:col>
      <xdr:colOff>0</xdr:colOff>
      <xdr:row>8</xdr:row>
      <xdr:rowOff>76200</xdr:rowOff>
    </xdr:to>
    <xdr:cxnSp macro="">
      <xdr:nvCxnSpPr>
        <xdr:cNvPr id="117" name="直線コネクタ 116">
          <a:extLst>
            <a:ext uri="{FF2B5EF4-FFF2-40B4-BE49-F238E27FC236}">
              <a16:creationId xmlns="" xmlns:a16="http://schemas.microsoft.com/office/drawing/2014/main" id="{00000000-0008-0000-0000-000075000000}"/>
            </a:ext>
          </a:extLst>
        </xdr:cNvPr>
        <xdr:cNvCxnSpPr/>
      </xdr:nvCxnSpPr>
      <xdr:spPr>
        <a:xfrm>
          <a:off x="276225" y="1628775"/>
          <a:ext cx="792480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190500</xdr:colOff>
      <xdr:row>15</xdr:row>
      <xdr:rowOff>0</xdr:rowOff>
    </xdr:from>
    <xdr:ext cx="325730" cy="275717"/>
    <xdr:sp macro="" textlink="">
      <xdr:nvSpPr>
        <xdr:cNvPr id="121" name="テキスト ボックス 120">
          <a:extLst>
            <a:ext uri="{FF2B5EF4-FFF2-40B4-BE49-F238E27FC236}">
              <a16:creationId xmlns="" xmlns:a16="http://schemas.microsoft.com/office/drawing/2014/main" id="{00000000-0008-0000-0000-000079000000}"/>
            </a:ext>
          </a:extLst>
        </xdr:cNvPr>
        <xdr:cNvSpPr txBox="1"/>
      </xdr:nvSpPr>
      <xdr:spPr>
        <a:xfrm>
          <a:off x="6734175" y="2828925"/>
          <a:ext cx="32573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東</a:t>
          </a:r>
        </a:p>
      </xdr:txBody>
    </xdr:sp>
    <xdr:clientData/>
  </xdr:oneCellAnchor>
  <xdr:oneCellAnchor>
    <xdr:from>
      <xdr:col>7</xdr:col>
      <xdr:colOff>142875</xdr:colOff>
      <xdr:row>14</xdr:row>
      <xdr:rowOff>190500</xdr:rowOff>
    </xdr:from>
    <xdr:ext cx="325730" cy="275717"/>
    <xdr:sp macro="" textlink="">
      <xdr:nvSpPr>
        <xdr:cNvPr id="122" name="テキスト ボックス 121">
          <a:extLst>
            <a:ext uri="{FF2B5EF4-FFF2-40B4-BE49-F238E27FC236}">
              <a16:creationId xmlns=""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2419350" y="2800350"/>
          <a:ext cx="32573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西</a:t>
          </a:r>
        </a:p>
      </xdr:txBody>
    </xdr:sp>
    <xdr:clientData/>
  </xdr:oneCellAnchor>
  <xdr:twoCellAnchor>
    <xdr:from>
      <xdr:col>1</xdr:col>
      <xdr:colOff>0</xdr:colOff>
      <xdr:row>11</xdr:row>
      <xdr:rowOff>100013</xdr:rowOff>
    </xdr:from>
    <xdr:to>
      <xdr:col>24</xdr:col>
      <xdr:colOff>0</xdr:colOff>
      <xdr:row>11</xdr:row>
      <xdr:rowOff>100013</xdr:rowOff>
    </xdr:to>
    <xdr:cxnSp macro="">
      <xdr:nvCxnSpPr>
        <xdr:cNvPr id="124" name="直線コネクタ 123">
          <a:extLst>
            <a:ext uri="{FF2B5EF4-FFF2-40B4-BE49-F238E27FC236}">
              <a16:creationId xmlns="" xmlns:a16="http://schemas.microsoft.com/office/drawing/2014/main" id="{00000000-0008-0000-0000-00007C000000}"/>
            </a:ext>
          </a:extLst>
        </xdr:cNvPr>
        <xdr:cNvCxnSpPr/>
      </xdr:nvCxnSpPr>
      <xdr:spPr>
        <a:xfrm>
          <a:off x="273844" y="2243138"/>
          <a:ext cx="7893844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36</xdr:row>
      <xdr:rowOff>88107</xdr:rowOff>
    </xdr:from>
    <xdr:to>
      <xdr:col>24</xdr:col>
      <xdr:colOff>0</xdr:colOff>
      <xdr:row>36</xdr:row>
      <xdr:rowOff>88107</xdr:rowOff>
    </xdr:to>
    <xdr:cxnSp macro="">
      <xdr:nvCxnSpPr>
        <xdr:cNvPr id="125" name="直線コネクタ 124">
          <a:extLst>
            <a:ext uri="{FF2B5EF4-FFF2-40B4-BE49-F238E27FC236}">
              <a16:creationId xmlns="" xmlns:a16="http://schemas.microsoft.com/office/drawing/2014/main" id="{00000000-0008-0000-0000-00007D000000}"/>
            </a:ext>
          </a:extLst>
        </xdr:cNvPr>
        <xdr:cNvCxnSpPr/>
      </xdr:nvCxnSpPr>
      <xdr:spPr>
        <a:xfrm>
          <a:off x="273844" y="6005513"/>
          <a:ext cx="7893844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42</xdr:row>
      <xdr:rowOff>100012</xdr:rowOff>
    </xdr:from>
    <xdr:to>
      <xdr:col>24</xdr:col>
      <xdr:colOff>0</xdr:colOff>
      <xdr:row>42</xdr:row>
      <xdr:rowOff>100012</xdr:rowOff>
    </xdr:to>
    <xdr:cxnSp macro="">
      <xdr:nvCxnSpPr>
        <xdr:cNvPr id="126" name="直線コネクタ 125">
          <a:extLst>
            <a:ext uri="{FF2B5EF4-FFF2-40B4-BE49-F238E27FC236}">
              <a16:creationId xmlns="" xmlns:a16="http://schemas.microsoft.com/office/drawing/2014/main" id="{00000000-0008-0000-0000-00007E000000}"/>
            </a:ext>
          </a:extLst>
        </xdr:cNvPr>
        <xdr:cNvCxnSpPr/>
      </xdr:nvCxnSpPr>
      <xdr:spPr>
        <a:xfrm>
          <a:off x="273844" y="6838950"/>
          <a:ext cx="7893844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45</xdr:row>
      <xdr:rowOff>100013</xdr:rowOff>
    </xdr:from>
    <xdr:to>
      <xdr:col>24</xdr:col>
      <xdr:colOff>0</xdr:colOff>
      <xdr:row>45</xdr:row>
      <xdr:rowOff>100013</xdr:rowOff>
    </xdr:to>
    <xdr:cxnSp macro="">
      <xdr:nvCxnSpPr>
        <xdr:cNvPr id="127" name="直線コネクタ 126">
          <a:extLst>
            <a:ext uri="{FF2B5EF4-FFF2-40B4-BE49-F238E27FC236}">
              <a16:creationId xmlns="" xmlns:a16="http://schemas.microsoft.com/office/drawing/2014/main" id="{00000000-0008-0000-0000-00007F000000}"/>
            </a:ext>
          </a:extLst>
        </xdr:cNvPr>
        <xdr:cNvCxnSpPr/>
      </xdr:nvCxnSpPr>
      <xdr:spPr>
        <a:xfrm>
          <a:off x="273844" y="7422357"/>
          <a:ext cx="7893844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51</xdr:row>
      <xdr:rowOff>88106</xdr:rowOff>
    </xdr:from>
    <xdr:to>
      <xdr:col>24</xdr:col>
      <xdr:colOff>0</xdr:colOff>
      <xdr:row>51</xdr:row>
      <xdr:rowOff>88106</xdr:rowOff>
    </xdr:to>
    <xdr:cxnSp macro="">
      <xdr:nvCxnSpPr>
        <xdr:cNvPr id="128" name="直線コネクタ 127">
          <a:extLst>
            <a:ext uri="{FF2B5EF4-FFF2-40B4-BE49-F238E27FC236}">
              <a16:creationId xmlns="" xmlns:a16="http://schemas.microsoft.com/office/drawing/2014/main" id="{00000000-0008-0000-0000-000080000000}"/>
            </a:ext>
          </a:extLst>
        </xdr:cNvPr>
        <xdr:cNvCxnSpPr/>
      </xdr:nvCxnSpPr>
      <xdr:spPr>
        <a:xfrm>
          <a:off x="273844" y="8410575"/>
          <a:ext cx="7893844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53</xdr:row>
      <xdr:rowOff>91354</xdr:rowOff>
    </xdr:from>
    <xdr:to>
      <xdr:col>24</xdr:col>
      <xdr:colOff>0</xdr:colOff>
      <xdr:row>53</xdr:row>
      <xdr:rowOff>91354</xdr:rowOff>
    </xdr:to>
    <xdr:cxnSp macro="">
      <xdr:nvCxnSpPr>
        <xdr:cNvPr id="129" name="直線コネクタ 128">
          <a:extLst>
            <a:ext uri="{FF2B5EF4-FFF2-40B4-BE49-F238E27FC236}">
              <a16:creationId xmlns="" xmlns:a16="http://schemas.microsoft.com/office/drawing/2014/main" id="{00000000-0008-0000-0000-000081000000}"/>
            </a:ext>
          </a:extLst>
        </xdr:cNvPr>
        <xdr:cNvCxnSpPr/>
      </xdr:nvCxnSpPr>
      <xdr:spPr>
        <a:xfrm>
          <a:off x="0" y="8871672"/>
          <a:ext cx="7221682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21</xdr:row>
      <xdr:rowOff>0</xdr:rowOff>
    </xdr:from>
    <xdr:to>
      <xdr:col>9</xdr:col>
      <xdr:colOff>0</xdr:colOff>
      <xdr:row>23</xdr:row>
      <xdr:rowOff>0</xdr:rowOff>
    </xdr:to>
    <xdr:cxnSp macro="">
      <xdr:nvCxnSpPr>
        <xdr:cNvPr id="157" name="直線コネクタ 156">
          <a:extLst>
            <a:ext uri="{FF2B5EF4-FFF2-40B4-BE49-F238E27FC236}">
              <a16:creationId xmlns="" xmlns:a16="http://schemas.microsoft.com/office/drawing/2014/main" id="{00000000-0008-0000-0000-00009D000000}"/>
            </a:ext>
          </a:extLst>
        </xdr:cNvPr>
        <xdr:cNvCxnSpPr/>
      </xdr:nvCxnSpPr>
      <xdr:spPr>
        <a:xfrm>
          <a:off x="2467841" y="3931227"/>
          <a:ext cx="0" cy="467591"/>
        </a:xfrm>
        <a:prstGeom prst="line">
          <a:avLst/>
        </a:prstGeom>
        <a:ln>
          <a:solidFill>
            <a:sysClr val="windowText" lastClr="00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55</xdr:row>
      <xdr:rowOff>115167</xdr:rowOff>
    </xdr:from>
    <xdr:to>
      <xdr:col>24</xdr:col>
      <xdr:colOff>0</xdr:colOff>
      <xdr:row>55</xdr:row>
      <xdr:rowOff>115167</xdr:rowOff>
    </xdr:to>
    <xdr:cxnSp macro="">
      <xdr:nvCxnSpPr>
        <xdr:cNvPr id="161" name="直線コネクタ 160">
          <a:extLst>
            <a:ext uri="{FF2B5EF4-FFF2-40B4-BE49-F238E27FC236}">
              <a16:creationId xmlns="" xmlns:a16="http://schemas.microsoft.com/office/drawing/2014/main" id="{00000000-0008-0000-0000-0000A1000000}"/>
            </a:ext>
          </a:extLst>
        </xdr:cNvPr>
        <xdr:cNvCxnSpPr/>
      </xdr:nvCxnSpPr>
      <xdr:spPr>
        <a:xfrm>
          <a:off x="0" y="9914011"/>
          <a:ext cx="7834313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36</xdr:row>
      <xdr:rowOff>2</xdr:rowOff>
    </xdr:from>
    <xdr:to>
      <xdr:col>18</xdr:col>
      <xdr:colOff>0</xdr:colOff>
      <xdr:row>36</xdr:row>
      <xdr:rowOff>2</xdr:rowOff>
    </xdr:to>
    <xdr:cxnSp macro="">
      <xdr:nvCxnSpPr>
        <xdr:cNvPr id="12" name="直線コネクタ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3217333" y="6985002"/>
          <a:ext cx="29527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7</xdr:row>
      <xdr:rowOff>55032</xdr:rowOff>
    </xdr:from>
    <xdr:to>
      <xdr:col>24</xdr:col>
      <xdr:colOff>0</xdr:colOff>
      <xdr:row>7</xdr:row>
      <xdr:rowOff>55032</xdr:rowOff>
    </xdr:to>
    <xdr:cxnSp macro="">
      <xdr:nvCxnSpPr>
        <xdr:cNvPr id="79" name="直線コネクタ 78">
          <a:extLst>
            <a:ext uri="{FF2B5EF4-FFF2-40B4-BE49-F238E27FC236}">
              <a16:creationId xmlns="" xmlns:a16="http://schemas.microsoft.com/office/drawing/2014/main" id="{00000000-0008-0000-0000-00004F000000}"/>
            </a:ext>
          </a:extLst>
        </xdr:cNvPr>
        <xdr:cNvCxnSpPr/>
      </xdr:nvCxnSpPr>
      <xdr:spPr>
        <a:xfrm>
          <a:off x="476250" y="1790699"/>
          <a:ext cx="7958667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30</xdr:row>
      <xdr:rowOff>148154</xdr:rowOff>
    </xdr:from>
    <xdr:to>
      <xdr:col>14</xdr:col>
      <xdr:colOff>0</xdr:colOff>
      <xdr:row>35</xdr:row>
      <xdr:rowOff>0</xdr:rowOff>
    </xdr:to>
    <xdr:cxnSp macro="">
      <xdr:nvCxnSpPr>
        <xdr:cNvPr id="89" name="直線コネクタ 88">
          <a:extLst>
            <a:ext uri="{FF2B5EF4-FFF2-40B4-BE49-F238E27FC236}">
              <a16:creationId xmlns="" xmlns:a16="http://schemas.microsoft.com/office/drawing/2014/main" id="{00000000-0008-0000-0000-000059000000}"/>
            </a:ext>
          </a:extLst>
        </xdr:cNvPr>
        <xdr:cNvCxnSpPr/>
      </xdr:nvCxnSpPr>
      <xdr:spPr>
        <a:xfrm flipV="1">
          <a:off x="3545417" y="6244154"/>
          <a:ext cx="1312333" cy="59267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160421</xdr:colOff>
      <xdr:row>37</xdr:row>
      <xdr:rowOff>96020</xdr:rowOff>
    </xdr:from>
    <xdr:to>
      <xdr:col>15</xdr:col>
      <xdr:colOff>108617</xdr:colOff>
      <xdr:row>37</xdr:row>
      <xdr:rowOff>96020</xdr:rowOff>
    </xdr:to>
    <xdr:cxnSp macro="">
      <xdr:nvCxnSpPr>
        <xdr:cNvPr id="11" name="直線矢印コネクタ 10" hidden="1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4632158" y="7184625"/>
          <a:ext cx="269038" cy="0"/>
        </a:xfrm>
        <a:prstGeom prst="straightConnector1">
          <a:avLst/>
        </a:prstGeom>
        <a:ln w="19050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131109</xdr:colOff>
      <xdr:row>37</xdr:row>
      <xdr:rowOff>123825</xdr:rowOff>
    </xdr:from>
    <xdr:to>
      <xdr:col>15</xdr:col>
      <xdr:colOff>106216</xdr:colOff>
      <xdr:row>38</xdr:row>
      <xdr:rowOff>123826</xdr:rowOff>
    </xdr:to>
    <xdr:cxnSp macro="">
      <xdr:nvCxnSpPr>
        <xdr:cNvPr id="107" name="直線矢印コネクタ 106" hidden="1">
          <a:extLst>
            <a:ext uri="{FF2B5EF4-FFF2-40B4-BE49-F238E27FC236}">
              <a16:creationId xmlns="" xmlns:a16="http://schemas.microsoft.com/office/drawing/2014/main" id="{00000000-0008-0000-0000-00006B000000}"/>
            </a:ext>
          </a:extLst>
        </xdr:cNvPr>
        <xdr:cNvCxnSpPr/>
      </xdr:nvCxnSpPr>
      <xdr:spPr>
        <a:xfrm flipV="1">
          <a:off x="4637475" y="7231556"/>
          <a:ext cx="295275" cy="192102"/>
        </a:xfrm>
        <a:prstGeom prst="straightConnector1">
          <a:avLst/>
        </a:prstGeom>
        <a:ln w="19050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107096</xdr:colOff>
      <xdr:row>40</xdr:row>
      <xdr:rowOff>103373</xdr:rowOff>
    </xdr:from>
    <xdr:to>
      <xdr:col>15</xdr:col>
      <xdr:colOff>107096</xdr:colOff>
      <xdr:row>40</xdr:row>
      <xdr:rowOff>104775</xdr:rowOff>
    </xdr:to>
    <xdr:cxnSp macro="">
      <xdr:nvCxnSpPr>
        <xdr:cNvPr id="109" name="直線矢印コネクタ 108" hidden="1">
          <a:extLst>
            <a:ext uri="{FF2B5EF4-FFF2-40B4-BE49-F238E27FC236}">
              <a16:creationId xmlns="" xmlns:a16="http://schemas.microsoft.com/office/drawing/2014/main" id="{00000000-0008-0000-0000-00006D000000}"/>
            </a:ext>
          </a:extLst>
        </xdr:cNvPr>
        <xdr:cNvCxnSpPr/>
      </xdr:nvCxnSpPr>
      <xdr:spPr>
        <a:xfrm flipV="1">
          <a:off x="4613462" y="7787407"/>
          <a:ext cx="320168" cy="1402"/>
        </a:xfrm>
        <a:prstGeom prst="straightConnector1">
          <a:avLst/>
        </a:prstGeom>
        <a:ln w="19050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312659</xdr:colOff>
      <xdr:row>20</xdr:row>
      <xdr:rowOff>36739</xdr:rowOff>
    </xdr:from>
    <xdr:to>
      <xdr:col>22</xdr:col>
      <xdr:colOff>19944</xdr:colOff>
      <xdr:row>36</xdr:row>
      <xdr:rowOff>0</xdr:rowOff>
    </xdr:to>
    <xdr:grpSp>
      <xdr:nvGrpSpPr>
        <xdr:cNvPr id="15" name="グループ化 14" hidden="1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80185" y="4568634"/>
          <a:ext cx="4038654" cy="2369577"/>
          <a:chOff x="8376252" y="4581353"/>
          <a:chExt cx="4077899" cy="2358290"/>
        </a:xfrm>
      </xdr:grpSpPr>
      <xdr:cxnSp macro="">
        <xdr:nvCxnSpPr>
          <xdr:cNvPr id="66" name="直線コネクタ 65" hidden="1">
            <a:extLst>
              <a:ext uri="{FF2B5EF4-FFF2-40B4-BE49-F238E27FC236}">
                <a16:creationId xmlns="" xmlns:a16="http://schemas.microsoft.com/office/drawing/2014/main" id="{00000000-0008-0000-0000-000042000000}"/>
              </a:ext>
            </a:extLst>
          </xdr:cNvPr>
          <xdr:cNvCxnSpPr/>
        </xdr:nvCxnSpPr>
        <xdr:spPr>
          <a:xfrm>
            <a:off x="11297501" y="6042680"/>
            <a:ext cx="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直線コネクタ 103" hidden="1">
            <a:extLst>
              <a:ext uri="{FF2B5EF4-FFF2-40B4-BE49-F238E27FC236}">
                <a16:creationId xmlns="" xmlns:a16="http://schemas.microsoft.com/office/drawing/2014/main" id="{00000000-0008-0000-0000-000068000000}"/>
              </a:ext>
            </a:extLst>
          </xdr:cNvPr>
          <xdr:cNvCxnSpPr/>
        </xdr:nvCxnSpPr>
        <xdr:spPr>
          <a:xfrm>
            <a:off x="11529322" y="6042680"/>
            <a:ext cx="0" cy="448482"/>
          </a:xfrm>
          <a:prstGeom prst="line">
            <a:avLst/>
          </a:prstGeom>
          <a:ln>
            <a:solidFill>
              <a:sysClr val="windowText" lastClr="000000"/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直線コネクタ 46" hidden="1">
            <a:extLst>
              <a:ext uri="{FF2B5EF4-FFF2-40B4-BE49-F238E27FC236}">
                <a16:creationId xmlns="" xmlns:a16="http://schemas.microsoft.com/office/drawing/2014/main" id="{00000000-0008-0000-0000-00002F000000}"/>
              </a:ext>
            </a:extLst>
          </xdr:cNvPr>
          <xdr:cNvCxnSpPr/>
        </xdr:nvCxnSpPr>
        <xdr:spPr>
          <a:xfrm>
            <a:off x="8730114" y="5444704"/>
            <a:ext cx="1283693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 hidden="1">
            <a:extLst>
              <a:ext uri="{FF2B5EF4-FFF2-40B4-BE49-F238E27FC236}">
                <a16:creationId xmlns="" xmlns:a16="http://schemas.microsoft.com/office/drawing/2014/main" id="{00000000-0008-0000-0000-000047000000}"/>
              </a:ext>
            </a:extLst>
          </xdr:cNvPr>
          <xdr:cNvCxnSpPr/>
        </xdr:nvCxnSpPr>
        <xdr:spPr>
          <a:xfrm flipH="1">
            <a:off x="10976577" y="6042680"/>
            <a:ext cx="320924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直線コネクタ 48" hidden="1">
            <a:extLst>
              <a:ext uri="{FF2B5EF4-FFF2-40B4-BE49-F238E27FC236}">
                <a16:creationId xmlns="" xmlns:a16="http://schemas.microsoft.com/office/drawing/2014/main" id="{00000000-0008-0000-0000-000031000000}"/>
              </a:ext>
            </a:extLst>
          </xdr:cNvPr>
          <xdr:cNvCxnSpPr/>
        </xdr:nvCxnSpPr>
        <xdr:spPr>
          <a:xfrm>
            <a:off x="10013807" y="5444704"/>
            <a:ext cx="0" cy="104645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9" name="テキスト ボックス 98" hidden="1">
            <a:extLst>
              <a:ext uri="{FF2B5EF4-FFF2-40B4-BE49-F238E27FC236}">
                <a16:creationId xmlns=""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8612179" y="6487935"/>
            <a:ext cx="735715" cy="3622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kumimoji="1" lang="ja-JP" altLang="en-US" sz="1600"/>
              <a:t>台高さ</a:t>
            </a:r>
          </a:p>
        </xdr:txBody>
      </xdr:sp>
      <xdr:cxnSp macro="">
        <xdr:nvCxnSpPr>
          <xdr:cNvPr id="39" name="直線コネクタ 38" hidden="1">
            <a:extLst>
              <a:ext uri="{FF2B5EF4-FFF2-40B4-BE49-F238E27FC236}">
                <a16:creationId xmlns="" xmlns:a16="http://schemas.microsoft.com/office/drawing/2014/main" id="{00000000-0008-0000-0000-000027000000}"/>
              </a:ext>
            </a:extLst>
          </xdr:cNvPr>
          <xdr:cNvCxnSpPr/>
        </xdr:nvCxnSpPr>
        <xdr:spPr>
          <a:xfrm>
            <a:off x="8395607" y="6497411"/>
            <a:ext cx="12957" cy="421821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直線コネクタ 40" hidden="1">
            <a:extLst>
              <a:ext uri="{FF2B5EF4-FFF2-40B4-BE49-F238E27FC236}">
                <a16:creationId xmlns="" xmlns:a16="http://schemas.microsoft.com/office/drawing/2014/main" id="{00000000-0008-0000-0000-000029000000}"/>
              </a:ext>
            </a:extLst>
          </xdr:cNvPr>
          <xdr:cNvCxnSpPr/>
        </xdr:nvCxnSpPr>
        <xdr:spPr>
          <a:xfrm>
            <a:off x="8409191" y="6491161"/>
            <a:ext cx="1925540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直線コネクタ 42" hidden="1">
            <a:extLst>
              <a:ext uri="{FF2B5EF4-FFF2-40B4-BE49-F238E27FC236}">
                <a16:creationId xmlns="" xmlns:a16="http://schemas.microsoft.com/office/drawing/2014/main" id="{00000000-0008-0000-0000-00002B000000}"/>
              </a:ext>
            </a:extLst>
          </xdr:cNvPr>
          <xdr:cNvCxnSpPr/>
        </xdr:nvCxnSpPr>
        <xdr:spPr>
          <a:xfrm>
            <a:off x="10334731" y="6491161"/>
            <a:ext cx="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直線コネクタ 44" hidden="1">
            <a:extLst>
              <a:ext uri="{FF2B5EF4-FFF2-40B4-BE49-F238E27FC236}">
                <a16:creationId xmlns="" xmlns:a16="http://schemas.microsoft.com/office/drawing/2014/main" id="{00000000-0008-0000-0000-00002D000000}"/>
              </a:ext>
            </a:extLst>
          </xdr:cNvPr>
          <xdr:cNvCxnSpPr/>
        </xdr:nvCxnSpPr>
        <xdr:spPr>
          <a:xfrm>
            <a:off x="8730114" y="5444704"/>
            <a:ext cx="0" cy="104645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直線コネクタ 53" hidden="1">
            <a:extLst>
              <a:ext uri="{FF2B5EF4-FFF2-40B4-BE49-F238E27FC236}">
                <a16:creationId xmlns="" xmlns:a16="http://schemas.microsoft.com/office/drawing/2014/main" id="{00000000-0008-0000-0000-000036000000}"/>
              </a:ext>
            </a:extLst>
          </xdr:cNvPr>
          <xdr:cNvCxnSpPr/>
        </xdr:nvCxnSpPr>
        <xdr:spPr>
          <a:xfrm flipV="1">
            <a:off x="8730114" y="4996222"/>
            <a:ext cx="96277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直線コネクタ 55" hidden="1">
            <a:extLst>
              <a:ext uri="{FF2B5EF4-FFF2-40B4-BE49-F238E27FC236}">
                <a16:creationId xmlns="" xmlns:a16="http://schemas.microsoft.com/office/drawing/2014/main" id="{00000000-0008-0000-0000-000038000000}"/>
              </a:ext>
            </a:extLst>
          </xdr:cNvPr>
          <xdr:cNvCxnSpPr/>
        </xdr:nvCxnSpPr>
        <xdr:spPr>
          <a:xfrm>
            <a:off x="9692884" y="4996222"/>
            <a:ext cx="1283693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直線コネクタ 57" hidden="1">
            <a:extLst>
              <a:ext uri="{FF2B5EF4-FFF2-40B4-BE49-F238E27FC236}">
                <a16:creationId xmlns=""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10013807" y="4996222"/>
            <a:ext cx="96277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直線コネクタ 59" hidden="1">
            <a:extLst>
              <a:ext uri="{FF2B5EF4-FFF2-40B4-BE49-F238E27FC236}">
                <a16:creationId xmlns="" xmlns:a16="http://schemas.microsoft.com/office/drawing/2014/main" id="{00000000-0008-0000-0000-00003C000000}"/>
              </a:ext>
            </a:extLst>
          </xdr:cNvPr>
          <xdr:cNvCxnSpPr/>
        </xdr:nvCxnSpPr>
        <xdr:spPr>
          <a:xfrm flipV="1">
            <a:off x="10013807" y="6042680"/>
            <a:ext cx="96277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直線コネクタ 61" hidden="1">
            <a:extLst>
              <a:ext uri="{FF2B5EF4-FFF2-40B4-BE49-F238E27FC236}">
                <a16:creationId xmlns="" xmlns:a16="http://schemas.microsoft.com/office/drawing/2014/main" id="{00000000-0008-0000-0000-00003E000000}"/>
              </a:ext>
            </a:extLst>
          </xdr:cNvPr>
          <xdr:cNvCxnSpPr/>
        </xdr:nvCxnSpPr>
        <xdr:spPr>
          <a:xfrm>
            <a:off x="10976577" y="4996222"/>
            <a:ext cx="0" cy="104645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直線コネクタ 63" hidden="1">
            <a:extLst>
              <a:ext uri="{FF2B5EF4-FFF2-40B4-BE49-F238E27FC236}">
                <a16:creationId xmlns="" xmlns:a16="http://schemas.microsoft.com/office/drawing/2014/main" id="{00000000-0008-0000-0000-000040000000}"/>
              </a:ext>
            </a:extLst>
          </xdr:cNvPr>
          <xdr:cNvCxnSpPr/>
        </xdr:nvCxnSpPr>
        <xdr:spPr>
          <a:xfrm flipV="1">
            <a:off x="10334731" y="6042680"/>
            <a:ext cx="96277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 hidden="1">
            <a:extLst>
              <a:ext uri="{FF2B5EF4-FFF2-40B4-BE49-F238E27FC236}">
                <a16:creationId xmlns="" xmlns:a16="http://schemas.microsoft.com/office/drawing/2014/main" id="{00000000-0008-0000-0000-000045000000}"/>
              </a:ext>
            </a:extLst>
          </xdr:cNvPr>
          <xdr:cNvCxnSpPr/>
        </xdr:nvCxnSpPr>
        <xdr:spPr>
          <a:xfrm flipH="1">
            <a:off x="10334731" y="6491161"/>
            <a:ext cx="96277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直線コネクタ 76" hidden="1">
            <a:extLst>
              <a:ext uri="{FF2B5EF4-FFF2-40B4-BE49-F238E27FC236}">
                <a16:creationId xmlns="" xmlns:a16="http://schemas.microsoft.com/office/drawing/2014/main" id="{00000000-0008-0000-0000-00004D000000}"/>
              </a:ext>
            </a:extLst>
          </xdr:cNvPr>
          <xdr:cNvCxnSpPr/>
        </xdr:nvCxnSpPr>
        <xdr:spPr>
          <a:xfrm>
            <a:off x="8730114" y="6189455"/>
            <a:ext cx="1283693" cy="0"/>
          </a:xfrm>
          <a:prstGeom prst="line">
            <a:avLst/>
          </a:prstGeom>
          <a:ln>
            <a:solidFill>
              <a:sysClr val="windowText" lastClr="000000"/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 hidden="1">
            <a:extLst>
              <a:ext uri="{FF2B5EF4-FFF2-40B4-BE49-F238E27FC236}">
                <a16:creationId xmlns=""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1297501" y="6042680"/>
            <a:ext cx="496548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" name="直線コネクタ 82" hidden="1">
            <a:extLst>
              <a:ext uri="{FF2B5EF4-FFF2-40B4-BE49-F238E27FC236}">
                <a16:creationId xmlns=""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1297501" y="6491161"/>
            <a:ext cx="512749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直線コネクタ 84" hidden="1">
            <a:extLst>
              <a:ext uri="{FF2B5EF4-FFF2-40B4-BE49-F238E27FC236}">
                <a16:creationId xmlns="" xmlns:a16="http://schemas.microsoft.com/office/drawing/2014/main" id="{00000000-0008-0000-0000-000055000000}"/>
              </a:ext>
            </a:extLst>
          </xdr:cNvPr>
          <xdr:cNvCxnSpPr/>
        </xdr:nvCxnSpPr>
        <xdr:spPr>
          <a:xfrm>
            <a:off x="10976577" y="4996222"/>
            <a:ext cx="1107703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 hidden="1">
            <a:extLst>
              <a:ext uri="{FF2B5EF4-FFF2-40B4-BE49-F238E27FC236}">
                <a16:creationId xmlns="" xmlns:a16="http://schemas.microsoft.com/office/drawing/2014/main" id="{00000000-0008-0000-0000-00005F000000}"/>
              </a:ext>
            </a:extLst>
          </xdr:cNvPr>
          <xdr:cNvCxnSpPr/>
        </xdr:nvCxnSpPr>
        <xdr:spPr>
          <a:xfrm flipV="1">
            <a:off x="10013807" y="5887847"/>
            <a:ext cx="320924" cy="149493"/>
          </a:xfrm>
          <a:prstGeom prst="line">
            <a:avLst/>
          </a:prstGeom>
          <a:ln>
            <a:solidFill>
              <a:sysClr val="windowText" lastClr="000000"/>
            </a:solidFill>
            <a:headEnd type="stealth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0" name="テキスト ボックス 99" hidden="1">
            <a:extLst>
              <a:ext uri="{FF2B5EF4-FFF2-40B4-BE49-F238E27FC236}">
                <a16:creationId xmlns="" xmlns:a16="http://schemas.microsoft.com/office/drawing/2014/main" id="{00000000-0008-0000-0000-000064000000}"/>
              </a:ext>
            </a:extLst>
          </xdr:cNvPr>
          <xdr:cNvSpPr txBox="1"/>
        </xdr:nvSpPr>
        <xdr:spPr>
          <a:xfrm rot="20069106">
            <a:off x="9488160" y="5151452"/>
            <a:ext cx="782755" cy="2950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kumimoji="1" lang="ja-JP" altLang="en-US" sz="1200"/>
              <a:t>被照射物</a:t>
            </a:r>
          </a:p>
        </xdr:txBody>
      </xdr:sp>
      <xdr:cxnSp macro="">
        <xdr:nvCxnSpPr>
          <xdr:cNvPr id="102" name="直線コネクタ 101" hidden="1">
            <a:extLst>
              <a:ext uri="{FF2B5EF4-FFF2-40B4-BE49-F238E27FC236}">
                <a16:creationId xmlns="" xmlns:a16="http://schemas.microsoft.com/office/drawing/2014/main" id="{00000000-0008-0000-0000-000066000000}"/>
              </a:ext>
            </a:extLst>
          </xdr:cNvPr>
          <xdr:cNvCxnSpPr/>
        </xdr:nvCxnSpPr>
        <xdr:spPr>
          <a:xfrm>
            <a:off x="11297501" y="4996222"/>
            <a:ext cx="0" cy="298988"/>
          </a:xfrm>
          <a:prstGeom prst="line">
            <a:avLst/>
          </a:prstGeom>
          <a:ln>
            <a:solidFill>
              <a:sysClr val="windowText" lastClr="000000"/>
            </a:solidFill>
            <a:headEnd type="stealth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直線コネクタ 105" hidden="1">
            <a:extLst>
              <a:ext uri="{FF2B5EF4-FFF2-40B4-BE49-F238E27FC236}">
                <a16:creationId xmlns="" xmlns:a16="http://schemas.microsoft.com/office/drawing/2014/main" id="{00000000-0008-0000-0000-00006A000000}"/>
              </a:ext>
            </a:extLst>
          </xdr:cNvPr>
          <xdr:cNvCxnSpPr/>
        </xdr:nvCxnSpPr>
        <xdr:spPr>
          <a:xfrm flipV="1">
            <a:off x="8376252" y="6341667"/>
            <a:ext cx="362332" cy="149494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 hidden="1">
            <a:extLst>
              <a:ext uri="{FF2B5EF4-FFF2-40B4-BE49-F238E27FC236}">
                <a16:creationId xmlns=""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1297501" y="5594199"/>
            <a:ext cx="0" cy="448481"/>
          </a:xfrm>
          <a:prstGeom prst="line">
            <a:avLst/>
          </a:prstGeom>
          <a:ln>
            <a:solidFill>
              <a:sysClr val="windowText" lastClr="000000"/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 hidden="1">
            <a:extLst>
              <a:ext uri="{FF2B5EF4-FFF2-40B4-BE49-F238E27FC236}">
                <a16:creationId xmlns="" xmlns:a16="http://schemas.microsoft.com/office/drawing/2014/main" id="{00000000-0008-0000-0000-000044000000}"/>
              </a:ext>
            </a:extLst>
          </xdr:cNvPr>
          <xdr:cNvCxnSpPr/>
        </xdr:nvCxnSpPr>
        <xdr:spPr>
          <a:xfrm flipV="1">
            <a:off x="10692922" y="5550418"/>
            <a:ext cx="302289" cy="149493"/>
          </a:xfrm>
          <a:prstGeom prst="line">
            <a:avLst/>
          </a:prstGeom>
          <a:ln>
            <a:solidFill>
              <a:sysClr val="windowText" lastClr="000000"/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コネクタ 8" hidden="1">
            <a:extLst>
              <a:ext uri="{FF2B5EF4-FFF2-40B4-BE49-F238E27FC236}">
                <a16:creationId xmlns="" xmlns:a16="http://schemas.microsoft.com/office/drawing/2014/main" id="{00000000-0008-0000-0000-000009000000}"/>
              </a:ext>
            </a:extLst>
          </xdr:cNvPr>
          <xdr:cNvCxnSpPr/>
        </xdr:nvCxnSpPr>
        <xdr:spPr>
          <a:xfrm flipV="1">
            <a:off x="9371961" y="4996222"/>
            <a:ext cx="962770" cy="44848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テキスト ボックス 81" hidden="1">
            <a:extLst>
              <a:ext uri="{FF2B5EF4-FFF2-40B4-BE49-F238E27FC236}">
                <a16:creationId xmlns="" xmlns:a16="http://schemas.microsoft.com/office/drawing/2014/main" id="{00000000-0008-0000-0000-000052000000}"/>
              </a:ext>
            </a:extLst>
          </xdr:cNvPr>
          <xdr:cNvSpPr txBox="1"/>
        </xdr:nvSpPr>
        <xdr:spPr>
          <a:xfrm>
            <a:off x="11628776" y="5348601"/>
            <a:ext cx="624911" cy="2669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kumimoji="1" lang="ja-JP" altLang="en-US" sz="1100"/>
              <a:t>高さ</a:t>
            </a:r>
          </a:p>
        </xdr:txBody>
      </xdr:sp>
      <xdr:sp macro="" textlink="">
        <xdr:nvSpPr>
          <xdr:cNvPr id="84" name="テキスト ボックス 83" hidden="1">
            <a:extLst>
              <a:ext uri="{FF2B5EF4-FFF2-40B4-BE49-F238E27FC236}">
                <a16:creationId xmlns="" xmlns:a16="http://schemas.microsoft.com/office/drawing/2014/main" id="{00000000-0008-0000-0000-000054000000}"/>
              </a:ext>
            </a:extLst>
          </xdr:cNvPr>
          <xdr:cNvSpPr txBox="1"/>
        </xdr:nvSpPr>
        <xdr:spPr>
          <a:xfrm>
            <a:off x="10179470" y="5398053"/>
            <a:ext cx="624690" cy="2669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kumimoji="1" lang="ja-JP" altLang="en-US" sz="1100"/>
              <a:t>長さ</a:t>
            </a:r>
          </a:p>
        </xdr:txBody>
      </xdr:sp>
      <xdr:sp macro="" textlink="">
        <xdr:nvSpPr>
          <xdr:cNvPr id="86" name="テキスト ボックス 85" hidden="1">
            <a:extLst>
              <a:ext uri="{FF2B5EF4-FFF2-40B4-BE49-F238E27FC236}">
                <a16:creationId xmlns="" xmlns:a16="http://schemas.microsoft.com/office/drawing/2014/main" id="{00000000-0008-0000-0000-000056000000}"/>
              </a:ext>
            </a:extLst>
          </xdr:cNvPr>
          <xdr:cNvSpPr txBox="1"/>
        </xdr:nvSpPr>
        <xdr:spPr>
          <a:xfrm>
            <a:off x="8771200" y="5674231"/>
            <a:ext cx="341673" cy="2669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kumimoji="1" lang="ja-JP" altLang="en-US" sz="1100"/>
              <a:t>幅</a:t>
            </a:r>
          </a:p>
        </xdr:txBody>
      </xdr:sp>
      <xdr:sp macro="" textlink="">
        <xdr:nvSpPr>
          <xdr:cNvPr id="87" name="テキスト ボックス 86" hidden="1">
            <a:extLst>
              <a:ext uri="{FF2B5EF4-FFF2-40B4-BE49-F238E27FC236}">
                <a16:creationId xmlns="" xmlns:a16="http://schemas.microsoft.com/office/drawing/2014/main" id="{00000000-0008-0000-0000-000057000000}"/>
              </a:ext>
            </a:extLst>
          </xdr:cNvPr>
          <xdr:cNvSpPr txBox="1"/>
        </xdr:nvSpPr>
        <xdr:spPr>
          <a:xfrm>
            <a:off x="10003455" y="6555230"/>
            <a:ext cx="349167" cy="2669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endParaRPr kumimoji="1" lang="ja-JP" altLang="en-US" sz="1100"/>
          </a:p>
        </xdr:txBody>
      </xdr:sp>
      <xdr:sp macro="" textlink="">
        <xdr:nvSpPr>
          <xdr:cNvPr id="88" name="テキスト ボックス 87" hidden="1">
            <a:extLst>
              <a:ext uri="{FF2B5EF4-FFF2-40B4-BE49-F238E27FC236}">
                <a16:creationId xmlns="" xmlns:a16="http://schemas.microsoft.com/office/drawing/2014/main" id="{00000000-0008-0000-0000-000058000000}"/>
              </a:ext>
            </a:extLst>
          </xdr:cNvPr>
          <xdr:cNvSpPr txBox="1"/>
        </xdr:nvSpPr>
        <xdr:spPr>
          <a:xfrm>
            <a:off x="12104984" y="6128105"/>
            <a:ext cx="349167" cy="2669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endParaRPr kumimoji="1" lang="ja-JP" altLang="en-US" sz="1100"/>
          </a:p>
        </xdr:txBody>
      </xdr:sp>
      <xdr:sp macro="" textlink="">
        <xdr:nvSpPr>
          <xdr:cNvPr id="14" name="テキスト ボックス 13" hidden="1">
            <a:extLst>
              <a:ext uri="{FF2B5EF4-FFF2-40B4-BE49-F238E27FC236}">
                <a16:creationId xmlns=""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10073172" y="4581353"/>
            <a:ext cx="931922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100" b="1"/>
              <a:t>箱のセット図</a:t>
            </a:r>
          </a:p>
        </xdr:txBody>
      </xdr:sp>
    </xdr:grpSp>
    <xdr:clientData/>
  </xdr:twoCellAnchor>
  <xdr:twoCellAnchor>
    <xdr:from>
      <xdr:col>9</xdr:col>
      <xdr:colOff>285945</xdr:colOff>
      <xdr:row>19</xdr:row>
      <xdr:rowOff>76200</xdr:rowOff>
    </xdr:from>
    <xdr:to>
      <xdr:col>22</xdr:col>
      <xdr:colOff>41575</xdr:colOff>
      <xdr:row>36</xdr:row>
      <xdr:rowOff>6803</xdr:rowOff>
    </xdr:to>
    <xdr:grpSp>
      <xdr:nvGrpSpPr>
        <xdr:cNvPr id="19" name="グループ化 18" hidden="1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3153471" y="4457700"/>
          <a:ext cx="4086999" cy="2487314"/>
          <a:chOff x="8429820" y="4371975"/>
          <a:chExt cx="4118080" cy="2521403"/>
        </a:xfrm>
      </xdr:grpSpPr>
      <xdr:grpSp>
        <xdr:nvGrpSpPr>
          <xdr:cNvPr id="111" name="グループ化 110" hidden="1">
            <a:extLst>
              <a:ext uri="{FF2B5EF4-FFF2-40B4-BE49-F238E27FC236}">
                <a16:creationId xmlns="" xmlns:a16="http://schemas.microsoft.com/office/drawing/2014/main" id="{00000000-0008-0000-0000-00006F000000}"/>
              </a:ext>
            </a:extLst>
          </xdr:cNvPr>
          <xdr:cNvGrpSpPr/>
        </xdr:nvGrpSpPr>
        <xdr:grpSpPr>
          <a:xfrm>
            <a:off x="8429820" y="4753369"/>
            <a:ext cx="4118080" cy="2140009"/>
            <a:chOff x="8813993" y="4905769"/>
            <a:chExt cx="4168880" cy="2079231"/>
          </a:xfrm>
        </xdr:grpSpPr>
        <xdr:sp macro="" textlink="">
          <xdr:nvSpPr>
            <xdr:cNvPr id="119" name="平行四辺形 118" hidden="1">
              <a:extLst>
                <a:ext uri="{FF2B5EF4-FFF2-40B4-BE49-F238E27FC236}">
                  <a16:creationId xmlns="" xmlns:a16="http://schemas.microsoft.com/office/drawing/2014/main" id="{00000000-0008-0000-0000-000077000000}"/>
                </a:ext>
              </a:extLst>
            </xdr:cNvPr>
            <xdr:cNvSpPr/>
          </xdr:nvSpPr>
          <xdr:spPr>
            <a:xfrm rot="5400000" flipV="1">
              <a:off x="9577917" y="5302254"/>
              <a:ext cx="1492254" cy="984246"/>
            </a:xfrm>
            <a:prstGeom prst="parallelogram">
              <a:avLst>
                <a:gd name="adj" fmla="val 48423"/>
              </a:avLst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900">
                <a:solidFill>
                  <a:sysClr val="windowText" lastClr="000000"/>
                </a:solidFill>
                <a:latin typeface="+mj-ea"/>
                <a:ea typeface="+mj-ea"/>
              </a:endParaRPr>
            </a:p>
          </xdr:txBody>
        </xdr:sp>
        <xdr:cxnSp macro="">
          <xdr:nvCxnSpPr>
            <xdr:cNvPr id="120" name="直線コネクタ 119" hidden="1">
              <a:extLst>
                <a:ext uri="{FF2B5EF4-FFF2-40B4-BE49-F238E27FC236}">
                  <a16:creationId xmlns="" xmlns:a16="http://schemas.microsoft.com/office/drawing/2014/main" id="{00000000-0008-0000-0000-000078000000}"/>
                </a:ext>
              </a:extLst>
            </xdr:cNvPr>
            <xdr:cNvCxnSpPr/>
          </xdr:nvCxnSpPr>
          <xdr:spPr>
            <a:xfrm>
              <a:off x="11800417" y="6096000"/>
              <a:ext cx="0" cy="4445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1" name="直線コネクタ 130" hidden="1">
              <a:extLst>
                <a:ext uri="{FF2B5EF4-FFF2-40B4-BE49-F238E27FC236}">
                  <a16:creationId xmlns="" xmlns:a16="http://schemas.microsoft.com/office/drawing/2014/main" id="{00000000-0008-0000-0000-000083000000}"/>
                </a:ext>
              </a:extLst>
            </xdr:cNvPr>
            <xdr:cNvCxnSpPr/>
          </xdr:nvCxnSpPr>
          <xdr:spPr>
            <a:xfrm>
              <a:off x="12030307" y="6096000"/>
              <a:ext cx="0" cy="444500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stealth"/>
              <a:tailEnd type="stealt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2" name="直線コネクタ 131" hidden="1">
              <a:extLst>
                <a:ext uri="{FF2B5EF4-FFF2-40B4-BE49-F238E27FC236}">
                  <a16:creationId xmlns="" xmlns:a16="http://schemas.microsoft.com/office/drawing/2014/main" id="{00000000-0008-0000-0000-000084000000}"/>
                </a:ext>
              </a:extLst>
            </xdr:cNvPr>
            <xdr:cNvCxnSpPr/>
          </xdr:nvCxnSpPr>
          <xdr:spPr>
            <a:xfrm flipH="1">
              <a:off x="10826750" y="6096000"/>
              <a:ext cx="973668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33" name="テキスト ボックス 132" hidden="1">
              <a:extLst>
                <a:ext uri="{FF2B5EF4-FFF2-40B4-BE49-F238E27FC236}">
                  <a16:creationId xmlns="" xmlns:a16="http://schemas.microsoft.com/office/drawing/2014/main" id="{00000000-0008-0000-0000-000085000000}"/>
                </a:ext>
              </a:extLst>
            </xdr:cNvPr>
            <xdr:cNvSpPr txBox="1"/>
          </xdr:nvSpPr>
          <xdr:spPr>
            <a:xfrm>
              <a:off x="9022060" y="6545108"/>
              <a:ext cx="752129" cy="3590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kumimoji="1" lang="ja-JP" altLang="en-US" sz="1600"/>
                <a:t>台高さ</a:t>
              </a:r>
            </a:p>
          </xdr:txBody>
        </xdr:sp>
        <xdr:cxnSp macro="">
          <xdr:nvCxnSpPr>
            <xdr:cNvPr id="134" name="直線コネクタ 133" hidden="1">
              <a:extLst>
                <a:ext uri="{FF2B5EF4-FFF2-40B4-BE49-F238E27FC236}">
                  <a16:creationId xmlns="" xmlns:a16="http://schemas.microsoft.com/office/drawing/2014/main" id="{00000000-0008-0000-0000-000086000000}"/>
                </a:ext>
              </a:extLst>
            </xdr:cNvPr>
            <xdr:cNvCxnSpPr/>
          </xdr:nvCxnSpPr>
          <xdr:spPr>
            <a:xfrm>
              <a:off x="8847667" y="6543430"/>
              <a:ext cx="0" cy="44157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5" name="直線コネクタ 134" hidden="1">
              <a:extLst>
                <a:ext uri="{FF2B5EF4-FFF2-40B4-BE49-F238E27FC236}">
                  <a16:creationId xmlns="" xmlns:a16="http://schemas.microsoft.com/office/drawing/2014/main" id="{00000000-0008-0000-0000-000087000000}"/>
                </a:ext>
              </a:extLst>
            </xdr:cNvPr>
            <xdr:cNvCxnSpPr/>
          </xdr:nvCxnSpPr>
          <xdr:spPr>
            <a:xfrm>
              <a:off x="8847667" y="6540500"/>
              <a:ext cx="1968500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6" name="直線コネクタ 135" hidden="1">
              <a:extLst>
                <a:ext uri="{FF2B5EF4-FFF2-40B4-BE49-F238E27FC236}">
                  <a16:creationId xmlns="" xmlns:a16="http://schemas.microsoft.com/office/drawing/2014/main" id="{00000000-0008-0000-0000-000088000000}"/>
                </a:ext>
              </a:extLst>
            </xdr:cNvPr>
            <xdr:cNvCxnSpPr/>
          </xdr:nvCxnSpPr>
          <xdr:spPr>
            <a:xfrm>
              <a:off x="10816167" y="6540500"/>
              <a:ext cx="0" cy="4445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7" name="直線コネクタ 136" hidden="1">
              <a:extLst>
                <a:ext uri="{FF2B5EF4-FFF2-40B4-BE49-F238E27FC236}">
                  <a16:creationId xmlns="" xmlns:a16="http://schemas.microsoft.com/office/drawing/2014/main" id="{00000000-0008-0000-0000-000089000000}"/>
                </a:ext>
              </a:extLst>
            </xdr:cNvPr>
            <xdr:cNvCxnSpPr/>
          </xdr:nvCxnSpPr>
          <xdr:spPr>
            <a:xfrm flipV="1">
              <a:off x="10816167" y="6096000"/>
              <a:ext cx="984250" cy="4445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1" name="直線コネクタ 140" hidden="1">
              <a:extLst>
                <a:ext uri="{FF2B5EF4-FFF2-40B4-BE49-F238E27FC236}">
                  <a16:creationId xmlns="" xmlns:a16="http://schemas.microsoft.com/office/drawing/2014/main" id="{00000000-0008-0000-0000-00008D000000}"/>
                </a:ext>
              </a:extLst>
            </xdr:cNvPr>
            <xdr:cNvCxnSpPr/>
          </xdr:nvCxnSpPr>
          <xdr:spPr>
            <a:xfrm flipH="1">
              <a:off x="10816167" y="6540500"/>
              <a:ext cx="984250" cy="4445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2" name="直線コネクタ 141" hidden="1">
              <a:extLst>
                <a:ext uri="{FF2B5EF4-FFF2-40B4-BE49-F238E27FC236}">
                  <a16:creationId xmlns="" xmlns:a16="http://schemas.microsoft.com/office/drawing/2014/main" id="{00000000-0008-0000-0000-00008E000000}"/>
                </a:ext>
              </a:extLst>
            </xdr:cNvPr>
            <xdr:cNvCxnSpPr/>
          </xdr:nvCxnSpPr>
          <xdr:spPr>
            <a:xfrm>
              <a:off x="11800417" y="6096000"/>
              <a:ext cx="403503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3" name="直線コネクタ 142" hidden="1">
              <a:extLst>
                <a:ext uri="{FF2B5EF4-FFF2-40B4-BE49-F238E27FC236}">
                  <a16:creationId xmlns="" xmlns:a16="http://schemas.microsoft.com/office/drawing/2014/main" id="{00000000-0008-0000-0000-00008F000000}"/>
                </a:ext>
              </a:extLst>
            </xdr:cNvPr>
            <xdr:cNvCxnSpPr/>
          </xdr:nvCxnSpPr>
          <xdr:spPr>
            <a:xfrm>
              <a:off x="11800417" y="6540500"/>
              <a:ext cx="362589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4" name="直線コネクタ 143" hidden="1">
              <a:extLst>
                <a:ext uri="{FF2B5EF4-FFF2-40B4-BE49-F238E27FC236}">
                  <a16:creationId xmlns="" xmlns:a16="http://schemas.microsoft.com/office/drawing/2014/main" id="{00000000-0008-0000-0000-000090000000}"/>
                </a:ext>
              </a:extLst>
            </xdr:cNvPr>
            <xdr:cNvCxnSpPr/>
          </xdr:nvCxnSpPr>
          <xdr:spPr>
            <a:xfrm>
              <a:off x="10974915" y="5058833"/>
              <a:ext cx="1057167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5" name="直線コネクタ 144" hidden="1">
              <a:extLst>
                <a:ext uri="{FF2B5EF4-FFF2-40B4-BE49-F238E27FC236}">
                  <a16:creationId xmlns="" xmlns:a16="http://schemas.microsoft.com/office/drawing/2014/main" id="{00000000-0008-0000-0000-000091000000}"/>
                </a:ext>
              </a:extLst>
            </xdr:cNvPr>
            <xdr:cNvCxnSpPr/>
          </xdr:nvCxnSpPr>
          <xdr:spPr>
            <a:xfrm flipV="1">
              <a:off x="10477500" y="5804959"/>
              <a:ext cx="328084" cy="148166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stealth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5" name="テキスト ボックス 154" hidden="1">
              <a:extLst>
                <a:ext uri="{FF2B5EF4-FFF2-40B4-BE49-F238E27FC236}">
                  <a16:creationId xmlns="" xmlns:a16="http://schemas.microsoft.com/office/drawing/2014/main" id="{00000000-0008-0000-0000-00009B000000}"/>
                </a:ext>
              </a:extLst>
            </xdr:cNvPr>
            <xdr:cNvSpPr txBox="1"/>
          </xdr:nvSpPr>
          <xdr:spPr>
            <a:xfrm rot="20069106">
              <a:off x="10056541" y="4905769"/>
              <a:ext cx="800219" cy="2924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 anchorCtr="0">
              <a:noAutofit/>
            </a:bodyPr>
            <a:lstStyle/>
            <a:p>
              <a:r>
                <a:rPr kumimoji="1" lang="ja-JP" altLang="en-US" sz="1200"/>
                <a:t>シート</a:t>
              </a:r>
            </a:p>
          </xdr:txBody>
        </xdr:sp>
        <xdr:cxnSp macro="">
          <xdr:nvCxnSpPr>
            <xdr:cNvPr id="165" name="直線コネクタ 164" hidden="1">
              <a:extLst>
                <a:ext uri="{FF2B5EF4-FFF2-40B4-BE49-F238E27FC236}">
                  <a16:creationId xmlns="" xmlns:a16="http://schemas.microsoft.com/office/drawing/2014/main" id="{00000000-0008-0000-0000-0000A5000000}"/>
                </a:ext>
              </a:extLst>
            </xdr:cNvPr>
            <xdr:cNvCxnSpPr/>
          </xdr:nvCxnSpPr>
          <xdr:spPr>
            <a:xfrm>
              <a:off x="11800417" y="5058833"/>
              <a:ext cx="0" cy="296334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stealth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6" name="直線コネクタ 165" hidden="1">
              <a:extLst>
                <a:ext uri="{FF2B5EF4-FFF2-40B4-BE49-F238E27FC236}">
                  <a16:creationId xmlns="" xmlns:a16="http://schemas.microsoft.com/office/drawing/2014/main" id="{00000000-0008-0000-0000-0000A6000000}"/>
                </a:ext>
              </a:extLst>
            </xdr:cNvPr>
            <xdr:cNvCxnSpPr/>
          </xdr:nvCxnSpPr>
          <xdr:spPr>
            <a:xfrm flipV="1">
              <a:off x="8813993" y="6170083"/>
              <a:ext cx="1007340" cy="370418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7" name="直線コネクタ 166" hidden="1">
              <a:extLst>
                <a:ext uri="{FF2B5EF4-FFF2-40B4-BE49-F238E27FC236}">
                  <a16:creationId xmlns="" xmlns:a16="http://schemas.microsoft.com/office/drawing/2014/main" id="{00000000-0008-0000-0000-0000A7000000}"/>
                </a:ext>
              </a:extLst>
            </xdr:cNvPr>
            <xdr:cNvCxnSpPr/>
          </xdr:nvCxnSpPr>
          <xdr:spPr>
            <a:xfrm>
              <a:off x="11800417" y="5651501"/>
              <a:ext cx="0" cy="444499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none"/>
              <a:tailEnd type="stealt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8" name="直線コネクタ 167" hidden="1">
              <a:extLst>
                <a:ext uri="{FF2B5EF4-FFF2-40B4-BE49-F238E27FC236}">
                  <a16:creationId xmlns="" xmlns:a16="http://schemas.microsoft.com/office/drawing/2014/main" id="{00000000-0008-0000-0000-0000A8000000}"/>
                </a:ext>
              </a:extLst>
            </xdr:cNvPr>
            <xdr:cNvCxnSpPr/>
          </xdr:nvCxnSpPr>
          <xdr:spPr>
            <a:xfrm flipV="1">
              <a:off x="11108266" y="5491692"/>
              <a:ext cx="309033" cy="148166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none"/>
              <a:tailEnd type="stealt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69" name="テキスト ボックス 168" hidden="1">
              <a:extLst>
                <a:ext uri="{FF2B5EF4-FFF2-40B4-BE49-F238E27FC236}">
                  <a16:creationId xmlns="" xmlns:a16="http://schemas.microsoft.com/office/drawing/2014/main" id="{00000000-0008-0000-0000-0000A9000000}"/>
                </a:ext>
              </a:extLst>
            </xdr:cNvPr>
            <xdr:cNvSpPr txBox="1"/>
          </xdr:nvSpPr>
          <xdr:spPr>
            <a:xfrm>
              <a:off x="12040890" y="5408084"/>
              <a:ext cx="56064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kumimoji="1" lang="ja-JP" altLang="en-US" sz="1100"/>
                <a:t>高さ</a:t>
              </a:r>
            </a:p>
          </xdr:txBody>
        </xdr:sp>
        <xdr:sp macro="" textlink="">
          <xdr:nvSpPr>
            <xdr:cNvPr id="170" name="テキスト ボックス 169" hidden="1">
              <a:extLst>
                <a:ext uri="{FF2B5EF4-FFF2-40B4-BE49-F238E27FC236}">
                  <a16:creationId xmlns="" xmlns:a16="http://schemas.microsoft.com/office/drawing/2014/main" id="{00000000-0008-0000-0000-0000AA000000}"/>
                </a:ext>
              </a:extLst>
            </xdr:cNvPr>
            <xdr:cNvSpPr txBox="1"/>
          </xdr:nvSpPr>
          <xdr:spPr>
            <a:xfrm>
              <a:off x="11253348" y="5836638"/>
              <a:ext cx="50141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kumimoji="1" lang="ja-JP" altLang="en-US" sz="1100"/>
                <a:t>長さ</a:t>
              </a:r>
            </a:p>
          </xdr:txBody>
        </xdr:sp>
        <xdr:sp macro="" textlink="">
          <xdr:nvSpPr>
            <xdr:cNvPr id="171" name="テキスト ボックス 170" hidden="1">
              <a:extLst>
                <a:ext uri="{FF2B5EF4-FFF2-40B4-BE49-F238E27FC236}">
                  <a16:creationId xmlns="" xmlns:a16="http://schemas.microsoft.com/office/drawing/2014/main" id="{00000000-0008-0000-0000-0000AB000000}"/>
                </a:ext>
              </a:extLst>
            </xdr:cNvPr>
            <xdr:cNvSpPr txBox="1"/>
          </xdr:nvSpPr>
          <xdr:spPr>
            <a:xfrm>
              <a:off x="8911165" y="5693833"/>
              <a:ext cx="86783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kumimoji="1" lang="ja-JP" altLang="en-US" sz="1100"/>
                <a:t>ｼｰﾄ厚さ</a:t>
              </a:r>
            </a:p>
          </xdr:txBody>
        </xdr:sp>
        <xdr:sp macro="" textlink="">
          <xdr:nvSpPr>
            <xdr:cNvPr id="172" name="テキスト ボックス 171" hidden="1">
              <a:extLst>
                <a:ext uri="{FF2B5EF4-FFF2-40B4-BE49-F238E27FC236}">
                  <a16:creationId xmlns="" xmlns:a16="http://schemas.microsoft.com/office/drawing/2014/main" id="{00000000-0008-0000-0000-0000AC000000}"/>
                </a:ext>
              </a:extLst>
            </xdr:cNvPr>
            <xdr:cNvSpPr txBox="1"/>
          </xdr:nvSpPr>
          <xdr:spPr>
            <a:xfrm>
              <a:off x="10477500" y="6604000"/>
              <a:ext cx="35695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endParaRPr kumimoji="1" lang="ja-JP" altLang="en-US" sz="1100"/>
            </a:p>
          </xdr:txBody>
        </xdr:sp>
        <xdr:sp macro="" textlink="">
          <xdr:nvSpPr>
            <xdr:cNvPr id="173" name="テキスト ボックス 172" hidden="1">
              <a:extLst>
                <a:ext uri="{FF2B5EF4-FFF2-40B4-BE49-F238E27FC236}">
                  <a16:creationId xmlns="" xmlns:a16="http://schemas.microsoft.com/office/drawing/2014/main" id="{00000000-0008-0000-0000-0000AD000000}"/>
                </a:ext>
              </a:extLst>
            </xdr:cNvPr>
            <xdr:cNvSpPr txBox="1"/>
          </xdr:nvSpPr>
          <xdr:spPr>
            <a:xfrm>
              <a:off x="12625916" y="6180667"/>
              <a:ext cx="35695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endParaRPr kumimoji="1" lang="ja-JP" altLang="en-US" sz="1100"/>
            </a:p>
          </xdr:txBody>
        </xdr:sp>
        <xdr:cxnSp macro="">
          <xdr:nvCxnSpPr>
            <xdr:cNvPr id="174" name="直線コネクタ 173" hidden="1">
              <a:extLst>
                <a:ext uri="{FF2B5EF4-FFF2-40B4-BE49-F238E27FC236}">
                  <a16:creationId xmlns="" xmlns:a16="http://schemas.microsoft.com/office/drawing/2014/main" id="{00000000-0008-0000-0000-0000AE000000}"/>
                </a:ext>
              </a:extLst>
            </xdr:cNvPr>
            <xdr:cNvCxnSpPr/>
          </xdr:nvCxnSpPr>
          <xdr:spPr>
            <a:xfrm>
              <a:off x="10784417" y="5503333"/>
              <a:ext cx="846667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5" name="直線コネクタ 174" hidden="1">
              <a:extLst>
                <a:ext uri="{FF2B5EF4-FFF2-40B4-BE49-F238E27FC236}">
                  <a16:creationId xmlns="" xmlns:a16="http://schemas.microsoft.com/office/drawing/2014/main" id="{00000000-0008-0000-0000-0000AF000000}"/>
                </a:ext>
              </a:extLst>
            </xdr:cNvPr>
            <xdr:cNvCxnSpPr/>
          </xdr:nvCxnSpPr>
          <xdr:spPr>
            <a:xfrm>
              <a:off x="9842500" y="5958417"/>
              <a:ext cx="846667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12" name="直線コネクタ 111" hidden="1">
            <a:extLst>
              <a:ext uri="{FF2B5EF4-FFF2-40B4-BE49-F238E27FC236}">
                <a16:creationId xmlns="" xmlns:a16="http://schemas.microsoft.com/office/drawing/2014/main" id="{00000000-0008-0000-0000-000070000000}"/>
              </a:ext>
            </a:extLst>
          </xdr:cNvPr>
          <xdr:cNvCxnSpPr/>
        </xdr:nvCxnSpPr>
        <xdr:spPr>
          <a:xfrm flipH="1">
            <a:off x="9423233" y="5217070"/>
            <a:ext cx="324003" cy="457175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" name="直線コネクタ 112" hidden="1">
            <a:extLst>
              <a:ext uri="{FF2B5EF4-FFF2-40B4-BE49-F238E27FC236}">
                <a16:creationId xmlns="" xmlns:a16="http://schemas.microsoft.com/office/drawing/2014/main" id="{00000000-0008-0000-0000-000071000000}"/>
              </a:ext>
            </a:extLst>
          </xdr:cNvPr>
          <xdr:cNvCxnSpPr/>
        </xdr:nvCxnSpPr>
        <xdr:spPr>
          <a:xfrm flipH="1">
            <a:off x="9423233" y="5064678"/>
            <a:ext cx="648004" cy="91435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直線コネクタ 113" hidden="1">
            <a:extLst>
              <a:ext uri="{FF2B5EF4-FFF2-40B4-BE49-F238E27FC236}">
                <a16:creationId xmlns="" xmlns:a16="http://schemas.microsoft.com/office/drawing/2014/main" id="{00000000-0008-0000-0000-000072000000}"/>
              </a:ext>
            </a:extLst>
          </xdr:cNvPr>
          <xdr:cNvCxnSpPr/>
        </xdr:nvCxnSpPr>
        <xdr:spPr>
          <a:xfrm flipH="1">
            <a:off x="9423233" y="4912286"/>
            <a:ext cx="972006" cy="1371525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" name="直線コネクタ 114" hidden="1">
            <a:extLst>
              <a:ext uri="{FF2B5EF4-FFF2-40B4-BE49-F238E27FC236}">
                <a16:creationId xmlns="" xmlns:a16="http://schemas.microsoft.com/office/drawing/2014/main" id="{00000000-0008-0000-0000-000073000000}"/>
              </a:ext>
            </a:extLst>
          </xdr:cNvPr>
          <xdr:cNvCxnSpPr/>
        </xdr:nvCxnSpPr>
        <xdr:spPr>
          <a:xfrm flipH="1">
            <a:off x="9618984" y="5217070"/>
            <a:ext cx="776254" cy="112215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6" name="直線コネクタ 115" hidden="1">
            <a:extLst>
              <a:ext uri="{FF2B5EF4-FFF2-40B4-BE49-F238E27FC236}">
                <a16:creationId xmlns="" xmlns:a16="http://schemas.microsoft.com/office/drawing/2014/main" id="{00000000-0008-0000-0000-000074000000}"/>
              </a:ext>
            </a:extLst>
          </xdr:cNvPr>
          <xdr:cNvCxnSpPr>
            <a:endCxn id="119" idx="2"/>
          </xdr:cNvCxnSpPr>
        </xdr:nvCxnSpPr>
        <xdr:spPr>
          <a:xfrm flipH="1">
            <a:off x="9921472" y="5515561"/>
            <a:ext cx="472626" cy="678764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8" name="直線コネクタ 117" hidden="1">
            <a:extLst>
              <a:ext uri="{FF2B5EF4-FFF2-40B4-BE49-F238E27FC236}">
                <a16:creationId xmlns=""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>
            <a:off x="10260238" y="5778783"/>
            <a:ext cx="160859" cy="248733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テキスト ボックス 17" hidden="1">
            <a:extLst>
              <a:ext uri="{FF2B5EF4-FFF2-40B4-BE49-F238E27FC236}">
                <a16:creationId xmlns=""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10267950" y="4371975"/>
            <a:ext cx="1144672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100" b="1"/>
              <a:t>シートのセット図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3562350</xdr:colOff>
      <xdr:row>0</xdr:row>
      <xdr:rowOff>0</xdr:rowOff>
    </xdr:from>
    <xdr:to>
      <xdr:col>3</xdr:col>
      <xdr:colOff>342900</xdr:colOff>
      <xdr:row>2</xdr:row>
      <xdr:rowOff>152399</xdr:rowOff>
    </xdr:to>
    <xdr:sp macro="[0]!ブック保存" textlink="">
      <xdr:nvSpPr>
        <xdr:cNvPr id="2" name="テキスト ボックス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715000" y="0"/>
          <a:ext cx="2000250" cy="800099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000" b="1">
              <a:solidFill>
                <a:srgbClr val="0070C0"/>
              </a:solidFill>
            </a:rPr>
            <a:t>改訂時の保存の仕方</a:t>
          </a:r>
          <a:endParaRPr kumimoji="1" lang="en-US" altLang="ja-JP" sz="1000" b="1">
            <a:solidFill>
              <a:srgbClr val="0070C0"/>
            </a:solidFill>
          </a:endParaRPr>
        </a:p>
        <a:p>
          <a:r>
            <a:rPr kumimoji="1" lang="en-US" altLang="ja-JP" sz="1000"/>
            <a:t>BOOK</a:t>
          </a:r>
          <a:r>
            <a:rPr kumimoji="1" lang="ja-JP" altLang="en-US" sz="1000"/>
            <a:t>内容変更して改訂履歴に入力後ここをクリックして</a:t>
          </a:r>
          <a:r>
            <a:rPr kumimoji="1" lang="en-US" altLang="ja-JP" sz="1000"/>
            <a:t>Ex</a:t>
          </a:r>
          <a:r>
            <a:rPr kumimoji="1" lang="ja-JP" altLang="en-US" sz="1000"/>
            <a:t>ﾒﾆｭｰを再起動</a:t>
          </a:r>
        </a:p>
      </xdr:txBody>
    </xdr:sp>
    <xdr:clientData fPrintsWithSheet="0"/>
  </xdr:twoCellAnchor>
  <xdr:oneCellAnchor>
    <xdr:from>
      <xdr:col>2</xdr:col>
      <xdr:colOff>3657600</xdr:colOff>
      <xdr:row>2</xdr:row>
      <xdr:rowOff>152400</xdr:rowOff>
    </xdr:from>
    <xdr:ext cx="1574918" cy="275717"/>
    <xdr:sp macro="" textlink="">
      <xdr:nvSpPr>
        <xdr:cNvPr id="3" name="テキスト ボックス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810250" y="800100"/>
          <a:ext cx="1574918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※</a:t>
          </a:r>
          <a:r>
            <a:rPr kumimoji="1" lang="ja-JP" altLang="en-US" sz="1100"/>
            <a:t>改訂後の版数を記入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</a:spPr>
      <a:bodyPr vertOverflow="clip" horzOverflow="clip" rtlCol="0" anchor="t"/>
      <a:lstStyle>
        <a:defPPr algn="l">
          <a:defRPr kumimoji="1" sz="900">
            <a:solidFill>
              <a:sysClr val="windowText" lastClr="000000"/>
            </a:solidFill>
            <a:latin typeface="+mj-ea"/>
            <a:ea typeface="+mj-ea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ysClr val="windowText" lastClr="000000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6.xml"/><Relationship Id="rId4" Type="http://schemas.openxmlformats.org/officeDocument/2006/relationships/comments" Target="../comments1.xm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58"/>
  <sheetViews>
    <sheetView showGridLines="0" tabSelected="1" zoomScale="95" zoomScaleNormal="95" zoomScalePageLayoutView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3" sqref="E3:J3"/>
    </sheetView>
  </sheetViews>
  <sheetFormatPr defaultColWidth="9" defaultRowHeight="13.5"/>
  <cols>
    <col min="1" max="1" width="2.375" customWidth="1"/>
    <col min="2" max="8" width="4.375" style="3" customWidth="1"/>
    <col min="9" max="9" width="4.875" style="3" customWidth="1"/>
    <col min="10" max="20" width="4.25" style="3" customWidth="1"/>
    <col min="21" max="21" width="6.25" style="3" customWidth="1"/>
    <col min="22" max="23" width="4.25" style="3" customWidth="1"/>
    <col min="24" max="24" width="6.25" customWidth="1"/>
    <col min="25" max="25" width="1.125" customWidth="1"/>
    <col min="26" max="26" width="21.125" customWidth="1"/>
    <col min="27" max="27" width="13.125" hidden="1" customWidth="1"/>
    <col min="28" max="28" width="2.375" customWidth="1"/>
    <col min="29" max="29" width="9" customWidth="1"/>
    <col min="30" max="30" width="6.5" customWidth="1"/>
    <col min="31" max="31" width="3.125" customWidth="1"/>
    <col min="32" max="32" width="12.625" bestFit="1" customWidth="1"/>
  </cols>
  <sheetData>
    <row r="1" spans="1:27" ht="9" customHeight="1">
      <c r="A1" s="92"/>
    </row>
    <row r="2" spans="1:27">
      <c r="B2" s="2" t="str">
        <f>"G１－２5（"&amp;MAX(改訂履歴!A6:A105)&amp;")"</f>
        <v>G１－２5（3)</v>
      </c>
      <c r="C2" s="2"/>
      <c r="D2" s="2"/>
      <c r="E2" s="2"/>
      <c r="F2" s="2"/>
      <c r="G2" s="2"/>
      <c r="H2" s="2"/>
      <c r="I2" s="2"/>
      <c r="J2" s="2"/>
      <c r="K2" s="2"/>
    </row>
    <row r="3" spans="1:27" ht="30" customHeight="1">
      <c r="B3" s="157" t="s">
        <v>88</v>
      </c>
      <c r="C3" s="157"/>
      <c r="D3" s="157"/>
      <c r="E3" s="158"/>
      <c r="F3" s="158"/>
      <c r="G3" s="158"/>
      <c r="H3" s="158"/>
      <c r="I3" s="158"/>
      <c r="J3" s="158"/>
      <c r="K3" s="167" t="s">
        <v>100</v>
      </c>
      <c r="L3" s="168"/>
      <c r="M3" s="168"/>
      <c r="N3" s="168"/>
      <c r="O3" s="168"/>
      <c r="P3" s="168"/>
      <c r="Q3" s="168"/>
      <c r="R3" s="169"/>
      <c r="S3" s="157" t="s">
        <v>2</v>
      </c>
      <c r="T3" s="157"/>
      <c r="U3" s="157"/>
      <c r="V3" s="157" t="s">
        <v>3</v>
      </c>
      <c r="W3" s="157"/>
      <c r="X3" s="157"/>
      <c r="AA3" s="64">
        <f>DATE(YEAR(KaisiBi),MONTH(KaisiBi),1)</f>
        <v>1</v>
      </c>
    </row>
    <row r="4" spans="1:27" ht="30" customHeight="1">
      <c r="B4" s="157" t="s">
        <v>0</v>
      </c>
      <c r="C4" s="157"/>
      <c r="D4" s="157"/>
      <c r="E4" s="159" t="s">
        <v>81</v>
      </c>
      <c r="F4" s="159"/>
      <c r="G4" s="159"/>
      <c r="H4" s="159"/>
      <c r="I4" s="159"/>
      <c r="J4" s="159"/>
      <c r="K4" s="170"/>
      <c r="L4" s="171"/>
      <c r="M4" s="171"/>
      <c r="N4" s="171"/>
      <c r="O4" s="171"/>
      <c r="P4" s="171"/>
      <c r="Q4" s="171"/>
      <c r="R4" s="172"/>
      <c r="S4" s="160"/>
      <c r="T4" s="160"/>
      <c r="U4" s="160"/>
      <c r="V4" s="161"/>
      <c r="W4" s="162"/>
      <c r="X4" s="163"/>
      <c r="AA4" s="64">
        <f>EDATE(AA3,1)-1</f>
        <v>31</v>
      </c>
    </row>
    <row r="5" spans="1:27" ht="30" customHeight="1">
      <c r="B5" s="157" t="s">
        <v>1</v>
      </c>
      <c r="C5" s="157"/>
      <c r="D5" s="157"/>
      <c r="E5" s="173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4"/>
      <c r="Q5" s="174"/>
      <c r="R5" s="175"/>
      <c r="S5" s="160"/>
      <c r="T5" s="160"/>
      <c r="U5" s="160"/>
      <c r="V5" s="164"/>
      <c r="W5" s="165"/>
      <c r="X5" s="166"/>
      <c r="AA5" s="71" t="s">
        <v>81</v>
      </c>
    </row>
    <row r="6" spans="1:27" ht="8.25" customHeight="1"/>
    <row r="7" spans="1:27" ht="24" customHeight="1">
      <c r="B7" s="58" t="s">
        <v>4</v>
      </c>
      <c r="C7" s="146" t="s">
        <v>188</v>
      </c>
      <c r="D7" s="147"/>
      <c r="E7" s="147"/>
      <c r="F7" s="147"/>
      <c r="G7" s="148"/>
      <c r="H7" s="146" t="s">
        <v>114</v>
      </c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8"/>
      <c r="X7" s="21" t="s">
        <v>45</v>
      </c>
    </row>
    <row r="8" spans="1:27" ht="29.25" customHeight="1">
      <c r="B8" s="55" t="s">
        <v>90</v>
      </c>
      <c r="C8" s="60" t="s">
        <v>99</v>
      </c>
      <c r="D8" s="57"/>
      <c r="E8" s="57"/>
      <c r="F8" s="57"/>
      <c r="G8" s="57"/>
      <c r="H8" s="56"/>
      <c r="I8" s="62" t="s">
        <v>101</v>
      </c>
      <c r="J8" s="62"/>
      <c r="K8" s="62"/>
      <c r="L8" s="57"/>
      <c r="M8" s="57"/>
      <c r="N8" s="156"/>
      <c r="O8" s="156"/>
      <c r="P8" s="156"/>
      <c r="Q8" s="156"/>
      <c r="R8" s="63" t="s">
        <v>102</v>
      </c>
      <c r="S8" s="176"/>
      <c r="T8" s="176"/>
      <c r="U8" s="176"/>
      <c r="V8" s="117"/>
      <c r="W8" s="63"/>
      <c r="X8" s="59" t="s">
        <v>46</v>
      </c>
    </row>
    <row r="9" spans="1:27" ht="12.75" customHeight="1">
      <c r="B9" s="4"/>
      <c r="C9" s="7"/>
      <c r="D9" s="8"/>
      <c r="E9" s="8"/>
      <c r="F9" s="8"/>
      <c r="G9" s="8"/>
      <c r="H9" s="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6"/>
      <c r="X9" s="1"/>
    </row>
    <row r="10" spans="1:27" ht="16.5" customHeight="1">
      <c r="B10" s="4" t="s">
        <v>91</v>
      </c>
      <c r="C10" s="53" t="s">
        <v>5</v>
      </c>
      <c r="D10" s="52"/>
      <c r="E10" s="52"/>
      <c r="F10" s="52"/>
      <c r="G10" s="61"/>
      <c r="H10" s="5"/>
      <c r="I10" s="14" t="s">
        <v>34</v>
      </c>
      <c r="J10" s="145" t="str">
        <f>IF(Haba="","",Haba)</f>
        <v/>
      </c>
      <c r="K10" s="145"/>
      <c r="L10" s="2" t="s">
        <v>87</v>
      </c>
      <c r="M10" s="2"/>
      <c r="N10" s="145" t="str">
        <f>IF(Nagasa="","",Nagasa)</f>
        <v/>
      </c>
      <c r="O10" s="145"/>
      <c r="P10" s="2" t="s">
        <v>87</v>
      </c>
      <c r="Q10" s="2"/>
      <c r="R10" s="145" t="str">
        <f>IF(Takasa="","",Takasa)</f>
        <v/>
      </c>
      <c r="S10" s="145"/>
      <c r="T10" s="2" t="s">
        <v>15</v>
      </c>
      <c r="U10" s="2"/>
      <c r="V10" s="2"/>
      <c r="W10" s="6"/>
      <c r="X10" s="59" t="s">
        <v>46</v>
      </c>
    </row>
    <row r="11" spans="1:27" ht="16.5" customHeight="1">
      <c r="B11" s="4"/>
      <c r="C11" s="53" t="s">
        <v>6</v>
      </c>
      <c r="D11" s="52"/>
      <c r="E11" s="52"/>
      <c r="F11" s="52"/>
      <c r="G11" s="61"/>
      <c r="H11" s="5"/>
      <c r="I11" s="14" t="s">
        <v>35</v>
      </c>
      <c r="J11" s="177"/>
      <c r="K11" s="177"/>
      <c r="L11" s="2" t="s">
        <v>14</v>
      </c>
      <c r="M11" s="2"/>
      <c r="N11" s="2"/>
      <c r="O11" s="2"/>
      <c r="P11" s="2"/>
      <c r="Q11" s="2"/>
      <c r="R11" s="2"/>
      <c r="S11" s="2"/>
      <c r="T11" s="2"/>
      <c r="U11" s="2"/>
      <c r="V11" s="2"/>
      <c r="W11" s="6"/>
      <c r="X11" s="1"/>
    </row>
    <row r="12" spans="1:27" ht="16.5" customHeight="1">
      <c r="B12" s="4"/>
      <c r="C12" s="7"/>
      <c r="D12" s="8"/>
      <c r="E12" s="8"/>
      <c r="F12" s="8"/>
      <c r="G12" s="8"/>
      <c r="H12" s="5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6"/>
      <c r="X12" s="1"/>
    </row>
    <row r="13" spans="1:27" ht="16.5" customHeight="1">
      <c r="B13" s="4" t="s">
        <v>92</v>
      </c>
      <c r="C13" s="152" t="s">
        <v>7</v>
      </c>
      <c r="D13" s="153"/>
      <c r="E13" s="153"/>
      <c r="F13" s="153"/>
      <c r="G13" s="153"/>
      <c r="H13" s="5"/>
      <c r="I13" s="2" t="s">
        <v>72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6"/>
      <c r="X13" s="25" t="s">
        <v>46</v>
      </c>
    </row>
    <row r="14" spans="1:27">
      <c r="B14" s="9"/>
      <c r="C14" s="2"/>
      <c r="D14" s="2"/>
      <c r="E14" s="2"/>
      <c r="F14" s="2"/>
      <c r="G14" s="2"/>
      <c r="H14" s="5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6"/>
      <c r="X14" s="1"/>
    </row>
    <row r="15" spans="1:27" ht="17.25" customHeight="1">
      <c r="B15" s="9"/>
      <c r="C15" s="2" t="s">
        <v>8</v>
      </c>
      <c r="D15" s="2"/>
      <c r="E15" s="2"/>
      <c r="F15" s="2"/>
      <c r="G15" s="2"/>
      <c r="H15" s="5"/>
      <c r="I15" s="2"/>
      <c r="J15" s="149" t="s">
        <v>9</v>
      </c>
      <c r="K15" s="150"/>
      <c r="L15" s="151"/>
      <c r="M15" s="2"/>
      <c r="N15" s="149" t="s">
        <v>10</v>
      </c>
      <c r="O15" s="150"/>
      <c r="P15" s="151"/>
      <c r="Q15" s="8"/>
      <c r="R15" s="149" t="s">
        <v>11</v>
      </c>
      <c r="S15" s="150"/>
      <c r="T15" s="151"/>
      <c r="U15" s="2"/>
      <c r="V15" s="2"/>
      <c r="W15" s="6"/>
      <c r="X15" s="1"/>
    </row>
    <row r="16" spans="1:27" ht="17.25" customHeight="1">
      <c r="B16" s="9"/>
      <c r="C16" s="2"/>
      <c r="D16" s="2"/>
      <c r="E16" s="2"/>
      <c r="F16" s="2"/>
      <c r="G16" s="2"/>
      <c r="H16" s="5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6"/>
      <c r="X16" s="1"/>
    </row>
    <row r="17" spans="2:24" ht="17.25" customHeight="1">
      <c r="B17" s="9"/>
      <c r="C17" s="2"/>
      <c r="D17" s="2"/>
      <c r="E17" s="2"/>
      <c r="F17" s="2"/>
      <c r="G17" s="2"/>
      <c r="H17" s="5"/>
      <c r="I17" s="2"/>
      <c r="J17" s="149" t="s">
        <v>12</v>
      </c>
      <c r="K17" s="150"/>
      <c r="L17" s="151"/>
      <c r="M17" s="2"/>
      <c r="N17" s="149" t="s">
        <v>13</v>
      </c>
      <c r="O17" s="150"/>
      <c r="P17" s="151"/>
      <c r="Q17" s="2"/>
      <c r="R17" s="149" t="s">
        <v>86</v>
      </c>
      <c r="S17" s="150"/>
      <c r="T17" s="151"/>
      <c r="U17" s="2"/>
      <c r="V17" s="2"/>
      <c r="W17" s="6"/>
      <c r="X17" s="1"/>
    </row>
    <row r="18" spans="2:24" ht="10.5" customHeight="1">
      <c r="B18" s="9"/>
      <c r="C18" s="2"/>
      <c r="D18" s="2"/>
      <c r="E18" s="2"/>
      <c r="F18" s="2"/>
      <c r="G18" s="2"/>
      <c r="H18" s="5"/>
      <c r="I18" s="2"/>
      <c r="J18" s="10"/>
      <c r="K18" s="10"/>
      <c r="L18" s="10"/>
      <c r="M18" s="2"/>
      <c r="N18" s="10"/>
      <c r="O18" s="10"/>
      <c r="P18" s="10"/>
      <c r="Q18" s="2"/>
      <c r="R18" s="10"/>
      <c r="S18" s="10"/>
      <c r="T18" s="10"/>
      <c r="U18" s="2"/>
      <c r="V18" s="2"/>
      <c r="W18" s="6"/>
      <c r="X18" s="1"/>
    </row>
    <row r="19" spans="2:24" ht="17.25" customHeight="1">
      <c r="B19" s="9"/>
      <c r="C19" s="2" t="s">
        <v>69</v>
      </c>
      <c r="D19" s="2"/>
      <c r="E19" s="2"/>
      <c r="F19" s="2"/>
      <c r="G19" s="2"/>
      <c r="H19" s="5"/>
      <c r="I19" s="2" t="s">
        <v>16</v>
      </c>
      <c r="J19" s="10"/>
      <c r="K19" s="10"/>
      <c r="L19" s="10"/>
      <c r="M19" s="2"/>
      <c r="N19" s="12" t="s">
        <v>70</v>
      </c>
      <c r="O19" s="12"/>
      <c r="P19" s="41"/>
      <c r="Q19" s="33" t="s">
        <v>71</v>
      </c>
      <c r="S19" s="180" t="s">
        <v>74</v>
      </c>
      <c r="T19" s="180"/>
      <c r="U19" s="36"/>
      <c r="V19" s="12" t="s">
        <v>73</v>
      </c>
      <c r="W19" s="6"/>
      <c r="X19" s="1"/>
    </row>
    <row r="20" spans="2:24" ht="12" customHeight="1">
      <c r="B20" s="9"/>
      <c r="C20" s="2"/>
      <c r="D20" s="2"/>
      <c r="E20" s="2"/>
      <c r="F20" s="2"/>
      <c r="G20" s="2"/>
      <c r="H20" s="5"/>
      <c r="J20" s="24" t="s">
        <v>141</v>
      </c>
      <c r="K20" s="10"/>
      <c r="L20" s="10"/>
      <c r="M20" s="2"/>
      <c r="N20" s="10"/>
      <c r="O20" s="10"/>
      <c r="P20" s="10"/>
      <c r="Q20" s="2"/>
      <c r="R20" s="10"/>
      <c r="S20" s="10"/>
      <c r="T20" s="10"/>
      <c r="U20" s="2"/>
      <c r="V20" s="2"/>
      <c r="W20" s="6"/>
      <c r="X20" s="1"/>
    </row>
    <row r="21" spans="2:24" ht="12" customHeight="1">
      <c r="B21" s="9"/>
      <c r="D21" s="2"/>
      <c r="E21" s="2"/>
      <c r="F21" s="2"/>
      <c r="G21" s="2"/>
      <c r="H21" s="5"/>
      <c r="J21" s="143"/>
      <c r="K21" s="143"/>
      <c r="M21" s="2"/>
      <c r="N21" s="10"/>
      <c r="O21" s="10"/>
      <c r="S21" s="10"/>
      <c r="T21" s="10"/>
      <c r="U21" s="2"/>
      <c r="V21" s="2"/>
      <c r="W21" s="6"/>
      <c r="X21" s="1"/>
    </row>
    <row r="22" spans="2:24" ht="12" customHeight="1">
      <c r="B22" s="9"/>
      <c r="C22" s="2"/>
      <c r="D22" s="2"/>
      <c r="E22" s="2"/>
      <c r="F22" s="2"/>
      <c r="G22" s="2"/>
      <c r="H22" s="5"/>
      <c r="I22" s="2"/>
      <c r="J22" s="143"/>
      <c r="K22" s="143"/>
      <c r="L22" s="2"/>
      <c r="M22" s="2"/>
      <c r="N22" s="10"/>
      <c r="O22" s="10"/>
      <c r="S22" s="10"/>
      <c r="T22" s="10"/>
      <c r="U22" s="2"/>
      <c r="V22" s="2"/>
      <c r="W22" s="6"/>
      <c r="X22" s="1"/>
    </row>
    <row r="23" spans="2:24" ht="12" customHeight="1">
      <c r="B23" s="9"/>
      <c r="C23" s="2"/>
      <c r="D23" s="2"/>
      <c r="E23" s="2"/>
      <c r="F23" s="2"/>
      <c r="G23" s="2"/>
      <c r="H23" s="5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6"/>
      <c r="X23" s="1"/>
    </row>
    <row r="24" spans="2:24" ht="12" customHeight="1">
      <c r="B24" s="9"/>
      <c r="C24" s="2"/>
      <c r="D24" s="2"/>
      <c r="E24" s="2"/>
      <c r="F24" s="2"/>
      <c r="G24" s="2"/>
      <c r="H24" s="5"/>
      <c r="I24" s="2"/>
      <c r="M24" s="2"/>
      <c r="P24" s="2"/>
      <c r="Q24" s="2"/>
      <c r="R24" s="2"/>
      <c r="S24" s="2"/>
      <c r="T24" s="2"/>
      <c r="U24" s="2"/>
      <c r="V24" s="2"/>
      <c r="W24" s="6"/>
      <c r="X24" s="1"/>
    </row>
    <row r="25" spans="2:24" ht="12" customHeight="1">
      <c r="B25" s="9"/>
      <c r="C25" s="2"/>
      <c r="D25" s="2"/>
      <c r="E25" s="2"/>
      <c r="F25" s="2"/>
      <c r="G25" s="2"/>
      <c r="H25" s="5"/>
      <c r="I25" s="2"/>
      <c r="J25" s="2"/>
      <c r="K25" s="2"/>
      <c r="L25" s="2"/>
      <c r="M25" s="2"/>
      <c r="P25" s="2"/>
      <c r="Q25" s="2"/>
      <c r="R25" s="2"/>
      <c r="S25" s="2"/>
      <c r="T25" s="2"/>
      <c r="U25" s="2"/>
      <c r="V25" s="2"/>
      <c r="W25" s="6"/>
      <c r="X25" s="1"/>
    </row>
    <row r="26" spans="2:24" ht="12" customHeight="1">
      <c r="B26" s="9"/>
      <c r="C26" s="2"/>
      <c r="D26" s="2"/>
      <c r="G26" s="2"/>
      <c r="H26" s="5"/>
      <c r="I26" s="2"/>
      <c r="J26" s="2"/>
      <c r="K26" s="2"/>
      <c r="L26" s="2"/>
      <c r="M26" s="2"/>
      <c r="N26" s="2"/>
      <c r="O26" s="2"/>
      <c r="P26" s="2"/>
      <c r="Q26" s="2"/>
      <c r="R26" s="2"/>
      <c r="S26" s="143"/>
      <c r="T26" s="143"/>
      <c r="U26" s="2"/>
      <c r="V26" s="2"/>
      <c r="W26" s="6"/>
      <c r="X26" s="1"/>
    </row>
    <row r="27" spans="2:24" ht="12" customHeight="1">
      <c r="B27" s="9"/>
      <c r="C27" s="2"/>
      <c r="D27" s="2"/>
      <c r="G27" s="2"/>
      <c r="H27" s="5"/>
      <c r="I27" s="2"/>
      <c r="J27" s="2"/>
      <c r="K27" s="2"/>
      <c r="L27" s="2"/>
      <c r="M27" s="2"/>
      <c r="N27" s="2"/>
      <c r="O27" s="2"/>
      <c r="P27" s="37"/>
      <c r="Q27" s="2"/>
      <c r="R27" s="2"/>
      <c r="S27" s="143"/>
      <c r="T27" s="143"/>
      <c r="U27" s="2"/>
      <c r="V27" s="2"/>
      <c r="W27" s="51"/>
      <c r="X27" s="1"/>
    </row>
    <row r="28" spans="2:24" ht="12" customHeight="1">
      <c r="B28" s="9"/>
      <c r="C28" s="2"/>
      <c r="D28" s="2"/>
      <c r="E28" s="2"/>
      <c r="F28" s="2"/>
      <c r="G28" s="2"/>
      <c r="H28" s="5"/>
      <c r="I28" s="2"/>
      <c r="J28" s="2"/>
      <c r="K28" s="2"/>
      <c r="L28" s="2"/>
      <c r="M28" s="2"/>
      <c r="N28" s="2"/>
      <c r="O28" s="2"/>
      <c r="P28" s="181"/>
      <c r="Q28" s="181"/>
      <c r="R28" s="181"/>
      <c r="S28" s="2"/>
      <c r="T28" s="2"/>
      <c r="U28" s="2"/>
      <c r="V28" s="2"/>
      <c r="W28" s="6"/>
      <c r="X28" s="1"/>
    </row>
    <row r="29" spans="2:24" ht="12" customHeight="1">
      <c r="B29" s="9"/>
      <c r="C29" s="2"/>
      <c r="D29" s="2"/>
      <c r="E29" s="2"/>
      <c r="F29" s="2"/>
      <c r="G29" s="2"/>
      <c r="H29" s="5"/>
      <c r="I29" s="2"/>
      <c r="J29" s="2"/>
      <c r="K29" s="2"/>
      <c r="N29" s="2"/>
      <c r="O29" s="2"/>
      <c r="P29" s="181"/>
      <c r="Q29" s="181"/>
      <c r="R29" s="181"/>
      <c r="S29" s="2"/>
      <c r="T29" s="2"/>
      <c r="U29" s="2"/>
      <c r="V29" s="2"/>
      <c r="W29" s="6"/>
      <c r="X29" s="1"/>
    </row>
    <row r="30" spans="2:24" ht="12" customHeight="1">
      <c r="B30" s="9"/>
      <c r="C30" s="2"/>
      <c r="D30" s="2"/>
      <c r="E30" s="2"/>
      <c r="F30" s="2"/>
      <c r="G30" s="2"/>
      <c r="H30" s="5"/>
      <c r="I30" s="2"/>
      <c r="J30" s="2"/>
      <c r="K30" s="2"/>
      <c r="L30" s="143"/>
      <c r="M30" s="143"/>
      <c r="O30" s="2"/>
      <c r="P30" s="2"/>
      <c r="Q30" s="2"/>
      <c r="R30" s="2"/>
      <c r="S30" s="2"/>
      <c r="T30" s="2"/>
      <c r="U30" s="2"/>
      <c r="V30" s="2"/>
      <c r="W30" s="6"/>
      <c r="X30" s="1"/>
    </row>
    <row r="31" spans="2:24" ht="12" customHeight="1">
      <c r="B31" s="9"/>
      <c r="C31" s="2"/>
      <c r="D31" s="2"/>
      <c r="E31" s="2"/>
      <c r="F31" s="2"/>
      <c r="G31" s="2"/>
      <c r="H31" s="5"/>
      <c r="I31" s="2"/>
      <c r="J31" s="2"/>
      <c r="K31" s="2"/>
      <c r="L31" s="143"/>
      <c r="M31" s="143"/>
      <c r="N31" s="2"/>
      <c r="O31" s="2"/>
      <c r="P31" s="2"/>
      <c r="Q31" s="2"/>
      <c r="R31" s="2"/>
      <c r="S31" s="2"/>
      <c r="T31" s="144" t="str">
        <f>IF(DaiTakasa="","",DaiTakasa)</f>
        <v/>
      </c>
      <c r="U31" s="144"/>
      <c r="V31" s="2"/>
      <c r="W31" s="6"/>
      <c r="X31" s="1"/>
    </row>
    <row r="32" spans="2:24" ht="12" customHeight="1">
      <c r="B32" s="9"/>
      <c r="C32" s="2"/>
      <c r="D32" s="2"/>
      <c r="E32" s="2"/>
      <c r="F32" s="2"/>
      <c r="G32" s="2"/>
      <c r="H32" s="5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144"/>
      <c r="U32" s="144">
        <f>N35</f>
        <v>0</v>
      </c>
      <c r="V32" s="2"/>
      <c r="W32" s="6"/>
      <c r="X32" s="1"/>
    </row>
    <row r="33" spans="2:26" ht="12" customHeight="1">
      <c r="B33" s="9"/>
      <c r="C33" s="2"/>
      <c r="D33" s="2"/>
      <c r="E33" s="2"/>
      <c r="F33" s="2"/>
      <c r="G33" s="2"/>
      <c r="H33" s="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6"/>
      <c r="X33" s="1"/>
    </row>
    <row r="34" spans="2:26" ht="12" customHeight="1">
      <c r="B34" s="9"/>
      <c r="C34" s="2"/>
      <c r="D34" s="2"/>
      <c r="E34" s="2"/>
      <c r="F34" s="2"/>
      <c r="G34" s="2"/>
      <c r="H34" s="5"/>
      <c r="I34" s="2"/>
      <c r="J34" s="2"/>
      <c r="K34" s="2"/>
      <c r="L34" s="2"/>
      <c r="M34" s="2"/>
      <c r="N34" s="136"/>
      <c r="O34" s="136"/>
      <c r="P34" s="2"/>
      <c r="Q34" s="2"/>
      <c r="R34" s="2"/>
      <c r="S34" s="2"/>
      <c r="T34" s="2"/>
      <c r="U34" s="2"/>
      <c r="V34" s="2"/>
      <c r="W34" s="6"/>
      <c r="X34" s="1"/>
    </row>
    <row r="35" spans="2:26" ht="12" customHeight="1">
      <c r="B35" s="9"/>
      <c r="C35" s="2"/>
      <c r="D35" s="2"/>
      <c r="E35" s="2"/>
      <c r="F35" s="2"/>
      <c r="G35" s="2"/>
      <c r="H35" s="5"/>
      <c r="I35" s="2"/>
      <c r="J35" s="2"/>
      <c r="K35" s="2"/>
      <c r="L35" s="2"/>
      <c r="M35" s="2"/>
      <c r="N35" s="136"/>
      <c r="O35" s="136"/>
      <c r="P35" s="2"/>
      <c r="Q35" s="2"/>
      <c r="R35" s="2"/>
      <c r="S35" s="2"/>
      <c r="T35" s="2"/>
      <c r="U35" s="2"/>
      <c r="V35" s="2"/>
      <c r="W35" s="6"/>
      <c r="X35" s="1"/>
    </row>
    <row r="36" spans="2:26" ht="12" customHeight="1">
      <c r="B36" s="9"/>
      <c r="C36" s="2"/>
      <c r="D36" s="2"/>
      <c r="E36" s="2"/>
      <c r="F36" s="2"/>
      <c r="G36" s="2"/>
      <c r="H36" s="5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6"/>
      <c r="X36" s="1"/>
    </row>
    <row r="37" spans="2:26" ht="12" customHeight="1">
      <c r="B37" s="9"/>
      <c r="C37" s="2"/>
      <c r="D37" s="2"/>
      <c r="E37" s="2"/>
      <c r="F37" s="2"/>
      <c r="G37" s="2"/>
      <c r="H37" s="5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6"/>
      <c r="X37" s="1"/>
    </row>
    <row r="38" spans="2:26" ht="15" customHeight="1">
      <c r="B38" s="4" t="s">
        <v>93</v>
      </c>
      <c r="C38" s="2" t="s">
        <v>17</v>
      </c>
      <c r="D38" s="2"/>
      <c r="E38" s="2"/>
      <c r="F38" s="2"/>
      <c r="G38" s="2"/>
      <c r="H38" s="5"/>
      <c r="I38" s="133" t="s">
        <v>187</v>
      </c>
      <c r="J38" s="185" t="s">
        <v>66</v>
      </c>
      <c r="K38" s="185"/>
      <c r="L38" s="185"/>
      <c r="M38" s="185"/>
      <c r="N38" s="185"/>
      <c r="O38" s="2"/>
      <c r="P38" s="189" t="s">
        <v>63</v>
      </c>
      <c r="Q38" s="189"/>
      <c r="R38" s="154"/>
      <c r="S38" s="154"/>
      <c r="T38" s="14" t="s">
        <v>64</v>
      </c>
      <c r="U38" s="137"/>
      <c r="V38" s="137"/>
      <c r="W38" s="116" t="s">
        <v>20</v>
      </c>
      <c r="X38" s="25" t="s">
        <v>46</v>
      </c>
      <c r="Z38" s="139" t="s">
        <v>162</v>
      </c>
    </row>
    <row r="39" spans="2:26" ht="15" customHeight="1">
      <c r="B39" s="9"/>
      <c r="C39" s="2" t="s">
        <v>18</v>
      </c>
      <c r="D39" s="2"/>
      <c r="E39" s="2"/>
      <c r="F39" s="2"/>
      <c r="G39" s="2"/>
      <c r="H39" s="5"/>
      <c r="I39" s="133" t="s">
        <v>187</v>
      </c>
      <c r="J39" s="186" t="s">
        <v>89</v>
      </c>
      <c r="K39" s="186"/>
      <c r="L39" s="186"/>
      <c r="M39" s="186"/>
      <c r="N39" s="186"/>
      <c r="O39" s="2"/>
      <c r="P39" s="113" t="s">
        <v>140</v>
      </c>
      <c r="Q39" s="113"/>
      <c r="R39" s="2"/>
      <c r="S39" s="183"/>
      <c r="T39" s="183"/>
      <c r="U39" s="2" t="str">
        <f>IF(SheetCal="■","",IF(OR(Omosa="",Omosa=0),"",IF(Omosa&lt;5,"重量5kg未満","重量５ｋｇ以上")))</f>
        <v/>
      </c>
      <c r="V39" s="2"/>
      <c r="W39" s="6"/>
      <c r="X39" s="1"/>
      <c r="Z39" s="140"/>
    </row>
    <row r="40" spans="2:26" ht="15" customHeight="1">
      <c r="B40" s="9"/>
      <c r="C40" s="2" t="s">
        <v>19</v>
      </c>
      <c r="D40" s="2"/>
      <c r="E40" s="2"/>
      <c r="F40" s="2"/>
      <c r="G40" s="2"/>
      <c r="H40" s="5"/>
      <c r="I40" s="133" t="s">
        <v>187</v>
      </c>
      <c r="J40" s="2" t="s">
        <v>164</v>
      </c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6"/>
      <c r="X40" s="1"/>
    </row>
    <row r="41" spans="2:26" ht="15" customHeight="1">
      <c r="B41" s="9"/>
      <c r="C41" s="2"/>
      <c r="D41" s="2"/>
      <c r="E41" s="2"/>
      <c r="F41" s="2"/>
      <c r="G41" s="2"/>
      <c r="H41" s="5"/>
      <c r="I41" s="133" t="s">
        <v>187</v>
      </c>
      <c r="J41" s="2" t="s">
        <v>68</v>
      </c>
      <c r="K41" s="2"/>
      <c r="M41" s="35"/>
      <c r="N41" s="35"/>
      <c r="O41" s="32"/>
      <c r="P41" s="182" t="s">
        <v>65</v>
      </c>
      <c r="Q41" s="182"/>
      <c r="R41" s="155"/>
      <c r="S41" s="155"/>
      <c r="T41" s="14" t="s">
        <v>64</v>
      </c>
      <c r="U41" s="138"/>
      <c r="V41" s="138"/>
      <c r="W41" s="116" t="s">
        <v>20</v>
      </c>
      <c r="X41" s="1"/>
    </row>
    <row r="42" spans="2:26" ht="15" customHeight="1">
      <c r="B42" s="9"/>
      <c r="C42" s="2"/>
      <c r="D42" s="2"/>
      <c r="E42" s="2"/>
      <c r="F42" s="2"/>
      <c r="G42" s="2"/>
      <c r="H42" s="38"/>
      <c r="I42" s="50"/>
      <c r="K42" s="32" t="s">
        <v>79</v>
      </c>
      <c r="L42" s="39"/>
      <c r="M42" s="35"/>
      <c r="N42" s="35"/>
      <c r="O42" s="32"/>
      <c r="P42" s="133" t="s">
        <v>187</v>
      </c>
      <c r="Q42" s="26" t="s">
        <v>80</v>
      </c>
      <c r="R42" s="48"/>
      <c r="S42" s="48"/>
      <c r="T42" s="133" t="s">
        <v>187</v>
      </c>
      <c r="U42" s="16" t="s">
        <v>44</v>
      </c>
      <c r="V42" s="49"/>
      <c r="W42" s="40"/>
      <c r="X42" s="1"/>
    </row>
    <row r="43" spans="2:26" ht="15" customHeight="1">
      <c r="B43" s="9"/>
      <c r="C43" s="2"/>
      <c r="D43" s="2"/>
      <c r="E43" s="2"/>
      <c r="F43" s="2"/>
      <c r="G43" s="2"/>
      <c r="H43" s="5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6"/>
      <c r="X43" s="1"/>
    </row>
    <row r="44" spans="2:26" ht="15" customHeight="1">
      <c r="B44" s="4" t="s">
        <v>94</v>
      </c>
      <c r="C44" s="2" t="s">
        <v>21</v>
      </c>
      <c r="D44" s="2"/>
      <c r="E44" s="2" t="s">
        <v>22</v>
      </c>
      <c r="F44" s="2"/>
      <c r="G44" s="2"/>
      <c r="H44" s="5"/>
      <c r="I44" s="2" t="s">
        <v>23</v>
      </c>
      <c r="J44" s="184"/>
      <c r="K44" s="184"/>
      <c r="L44" s="2" t="s">
        <v>24</v>
      </c>
      <c r="M44" s="2"/>
      <c r="N44" s="2"/>
      <c r="O44" s="2"/>
      <c r="P44" s="2"/>
      <c r="Q44" s="2"/>
      <c r="R44" s="2"/>
      <c r="S44" s="2"/>
      <c r="T44" s="2"/>
      <c r="U44" s="2"/>
      <c r="V44" s="2"/>
      <c r="W44" s="6"/>
      <c r="X44" s="25" t="s">
        <v>46</v>
      </c>
    </row>
    <row r="45" spans="2:26" ht="15" customHeight="1">
      <c r="B45" s="9"/>
      <c r="C45" s="2"/>
      <c r="D45" s="2"/>
      <c r="E45" s="2"/>
      <c r="F45" s="2"/>
      <c r="G45" s="2"/>
      <c r="H45" s="5"/>
      <c r="I45" s="15" t="s">
        <v>36</v>
      </c>
      <c r="J45" s="15"/>
      <c r="K45" s="133" t="s">
        <v>187</v>
      </c>
      <c r="L45" s="15" t="s">
        <v>25</v>
      </c>
      <c r="M45" s="15"/>
      <c r="N45" s="15"/>
      <c r="O45" s="133" t="s">
        <v>187</v>
      </c>
      <c r="P45" s="15" t="s">
        <v>26</v>
      </c>
      <c r="Q45" s="15"/>
      <c r="R45" s="15"/>
      <c r="S45" s="133" t="s">
        <v>187</v>
      </c>
      <c r="T45" s="141" t="s">
        <v>165</v>
      </c>
      <c r="U45" s="141"/>
      <c r="V45" s="141"/>
      <c r="W45" s="142"/>
      <c r="X45" s="1"/>
    </row>
    <row r="46" spans="2:26" ht="15" customHeight="1">
      <c r="B46" s="9"/>
      <c r="C46" s="2"/>
      <c r="D46" s="2"/>
      <c r="E46" s="2"/>
      <c r="F46" s="2"/>
      <c r="G46" s="2"/>
      <c r="H46" s="5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6"/>
      <c r="X46" s="1"/>
    </row>
    <row r="47" spans="2:26" ht="15" customHeight="1">
      <c r="B47" s="4" t="s">
        <v>95</v>
      </c>
      <c r="C47" s="2" t="s">
        <v>82</v>
      </c>
      <c r="D47" s="2"/>
      <c r="E47" s="2"/>
      <c r="F47" s="2"/>
      <c r="G47" s="16"/>
      <c r="H47" s="17"/>
      <c r="I47" s="133" t="s">
        <v>187</v>
      </c>
      <c r="J47" s="16" t="s">
        <v>27</v>
      </c>
      <c r="K47" s="18"/>
      <c r="L47" s="19" t="s">
        <v>37</v>
      </c>
      <c r="M47" s="16"/>
      <c r="N47" s="19"/>
      <c r="O47" s="133" t="s">
        <v>187</v>
      </c>
      <c r="P47" s="16" t="s">
        <v>38</v>
      </c>
      <c r="Q47" s="16"/>
      <c r="R47" s="16"/>
      <c r="S47" s="133" t="s">
        <v>187</v>
      </c>
      <c r="T47" s="141" t="s">
        <v>165</v>
      </c>
      <c r="U47" s="141"/>
      <c r="V47" s="141"/>
      <c r="W47" s="142"/>
      <c r="X47" s="25" t="s">
        <v>46</v>
      </c>
    </row>
    <row r="48" spans="2:26" ht="15" customHeight="1">
      <c r="B48" s="9"/>
      <c r="C48" s="2"/>
      <c r="D48" s="2"/>
      <c r="E48" s="2"/>
      <c r="F48" s="2"/>
      <c r="G48" s="16"/>
      <c r="H48" s="17"/>
      <c r="I48" s="18"/>
      <c r="J48" s="18"/>
      <c r="K48" s="188" t="s">
        <v>39</v>
      </c>
      <c r="L48" s="188"/>
      <c r="M48" s="188"/>
      <c r="N48" s="187"/>
      <c r="O48" s="187"/>
      <c r="P48" s="16" t="s">
        <v>113</v>
      </c>
      <c r="Q48" s="16"/>
      <c r="R48" s="16"/>
      <c r="S48" s="16"/>
      <c r="T48" s="16"/>
      <c r="U48" s="18"/>
      <c r="V48" s="18"/>
      <c r="W48" s="20"/>
      <c r="X48" s="1"/>
    </row>
    <row r="49" spans="2:24" ht="15" customHeight="1">
      <c r="B49" s="9"/>
      <c r="C49" s="2"/>
      <c r="D49" s="2"/>
      <c r="E49" s="2"/>
      <c r="F49" s="2"/>
      <c r="G49" s="16"/>
      <c r="H49" s="17"/>
      <c r="I49" s="16"/>
      <c r="J49" s="18"/>
      <c r="K49" s="179" t="s">
        <v>41</v>
      </c>
      <c r="L49" s="179"/>
      <c r="M49" s="179"/>
      <c r="N49" s="184"/>
      <c r="O49" s="184"/>
      <c r="P49" s="16" t="s">
        <v>40</v>
      </c>
      <c r="Q49" s="16"/>
      <c r="R49" s="115" t="s">
        <v>42</v>
      </c>
      <c r="S49" s="184"/>
      <c r="T49" s="184"/>
      <c r="U49" s="16" t="s">
        <v>40</v>
      </c>
      <c r="V49" s="18"/>
      <c r="W49" s="20"/>
      <c r="X49" s="1"/>
    </row>
    <row r="50" spans="2:24" ht="15" customHeight="1">
      <c r="B50" s="9"/>
      <c r="C50" s="2"/>
      <c r="D50" s="2"/>
      <c r="E50" s="2"/>
      <c r="F50" s="2"/>
      <c r="G50" s="16"/>
      <c r="H50" s="17"/>
      <c r="K50" s="16" t="s">
        <v>78</v>
      </c>
      <c r="L50" s="16"/>
      <c r="M50" s="16"/>
      <c r="N50" s="2"/>
      <c r="O50" s="133" t="s">
        <v>187</v>
      </c>
      <c r="P50" s="16" t="s">
        <v>43</v>
      </c>
      <c r="Q50" s="16"/>
      <c r="R50" s="16"/>
      <c r="S50" s="133" t="s">
        <v>187</v>
      </c>
      <c r="T50" s="16" t="s">
        <v>44</v>
      </c>
      <c r="U50" s="16"/>
      <c r="V50" s="18"/>
      <c r="W50" s="20"/>
      <c r="X50" s="1"/>
    </row>
    <row r="51" spans="2:24" ht="15" customHeight="1">
      <c r="B51" s="9"/>
      <c r="C51" s="2"/>
      <c r="D51" s="2"/>
      <c r="E51" s="2"/>
      <c r="F51" s="2"/>
      <c r="G51" s="16"/>
      <c r="H51" s="17"/>
      <c r="I51" s="133" t="s">
        <v>187</v>
      </c>
      <c r="J51" s="16" t="s">
        <v>32</v>
      </c>
      <c r="T51" s="16"/>
      <c r="U51" s="16"/>
      <c r="V51" s="16"/>
      <c r="W51" s="20"/>
      <c r="X51" s="1"/>
    </row>
    <row r="52" spans="2:24" ht="15" customHeight="1">
      <c r="B52" s="9"/>
      <c r="C52" s="2"/>
      <c r="D52" s="2"/>
      <c r="E52" s="2"/>
      <c r="F52" s="2"/>
      <c r="G52" s="16"/>
      <c r="H52" s="17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20"/>
      <c r="X52" s="1"/>
    </row>
    <row r="53" spans="2:24" ht="15" customHeight="1">
      <c r="B53" s="4" t="s">
        <v>96</v>
      </c>
      <c r="C53" s="2" t="s">
        <v>28</v>
      </c>
      <c r="D53" s="2"/>
      <c r="E53" s="2"/>
      <c r="F53" s="2"/>
      <c r="G53" s="16"/>
      <c r="H53" s="17"/>
      <c r="I53" s="133" t="s">
        <v>187</v>
      </c>
      <c r="J53" s="16" t="s">
        <v>29</v>
      </c>
      <c r="K53" s="16"/>
      <c r="L53" s="16"/>
      <c r="M53" s="184"/>
      <c r="N53" s="184"/>
      <c r="O53" s="16" t="s">
        <v>30</v>
      </c>
      <c r="P53" s="133" t="s">
        <v>187</v>
      </c>
      <c r="Q53" s="16" t="s">
        <v>27</v>
      </c>
      <c r="R53" s="133" t="s">
        <v>187</v>
      </c>
      <c r="S53" s="16" t="s">
        <v>31</v>
      </c>
      <c r="T53" s="16"/>
      <c r="U53" s="133" t="s">
        <v>187</v>
      </c>
      <c r="V53" s="16" t="s">
        <v>32</v>
      </c>
      <c r="W53" s="20"/>
      <c r="X53" s="25" t="s">
        <v>46</v>
      </c>
    </row>
    <row r="54" spans="2:24" ht="15" customHeight="1">
      <c r="B54" s="9"/>
      <c r="C54" s="2"/>
      <c r="D54" s="2"/>
      <c r="E54" s="2"/>
      <c r="F54" s="2"/>
      <c r="G54" s="16"/>
      <c r="H54" s="17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20"/>
      <c r="X54" s="1"/>
    </row>
    <row r="55" spans="2:24" ht="15" customHeight="1">
      <c r="B55" s="4" t="s">
        <v>97</v>
      </c>
      <c r="C55" s="2" t="s">
        <v>33</v>
      </c>
      <c r="D55" s="2"/>
      <c r="E55" s="2"/>
      <c r="F55" s="2"/>
      <c r="G55" s="16"/>
      <c r="H55" s="17"/>
      <c r="I55" s="133" t="s">
        <v>187</v>
      </c>
      <c r="J55" s="16" t="s">
        <v>27</v>
      </c>
      <c r="K55" s="178" t="s">
        <v>81</v>
      </c>
      <c r="L55" s="178"/>
      <c r="M55" s="178"/>
      <c r="N55" s="178"/>
      <c r="O55" s="178"/>
      <c r="P55" s="19"/>
      <c r="Q55" s="133" t="s">
        <v>187</v>
      </c>
      <c r="R55" s="16" t="s">
        <v>32</v>
      </c>
      <c r="S55" s="16"/>
      <c r="T55" s="16"/>
      <c r="U55" s="16"/>
      <c r="V55" s="16"/>
      <c r="W55" s="20"/>
      <c r="X55" s="25" t="s">
        <v>46</v>
      </c>
    </row>
    <row r="56" spans="2:24" ht="15" customHeight="1">
      <c r="B56" s="9"/>
      <c r="C56" s="2"/>
      <c r="D56" s="2"/>
      <c r="E56" s="2"/>
      <c r="F56" s="2"/>
      <c r="G56" s="2"/>
      <c r="H56" s="5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6"/>
      <c r="X56" s="1"/>
    </row>
    <row r="57" spans="2:24" ht="15" customHeight="1">
      <c r="B57" s="4" t="s">
        <v>98</v>
      </c>
      <c r="C57" s="2" t="s">
        <v>47</v>
      </c>
      <c r="D57" s="2"/>
      <c r="E57" s="2"/>
      <c r="F57" s="2"/>
      <c r="G57" s="2"/>
      <c r="H57" s="5"/>
      <c r="I57" s="133" t="s">
        <v>187</v>
      </c>
      <c r="J57" s="2" t="s">
        <v>48</v>
      </c>
      <c r="K57" s="2"/>
      <c r="L57" s="133" t="s">
        <v>187</v>
      </c>
      <c r="M57" s="14" t="s">
        <v>49</v>
      </c>
      <c r="N57" s="14"/>
      <c r="O57" s="14"/>
      <c r="P57" s="14"/>
      <c r="Q57" s="14"/>
      <c r="R57" s="26"/>
      <c r="S57" s="26"/>
      <c r="T57" s="26"/>
      <c r="U57" s="2"/>
      <c r="V57" s="2"/>
      <c r="W57" s="6"/>
      <c r="X57" s="25" t="s">
        <v>46</v>
      </c>
    </row>
    <row r="58" spans="2:24" ht="6.75" customHeight="1">
      <c r="B58" s="23"/>
      <c r="C58" s="12"/>
      <c r="D58" s="12"/>
      <c r="E58" s="12"/>
      <c r="F58" s="12"/>
      <c r="G58" s="13"/>
      <c r="H58" s="11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3"/>
      <c r="X58" s="22"/>
    </row>
  </sheetData>
  <sheetProtection selectLockedCells="1"/>
  <mergeCells count="54">
    <mergeCell ref="K55:O55"/>
    <mergeCell ref="K49:M49"/>
    <mergeCell ref="S19:T19"/>
    <mergeCell ref="P28:Q29"/>
    <mergeCell ref="R28:R29"/>
    <mergeCell ref="P41:Q41"/>
    <mergeCell ref="S39:T39"/>
    <mergeCell ref="M53:N53"/>
    <mergeCell ref="N49:O49"/>
    <mergeCell ref="S49:T49"/>
    <mergeCell ref="J38:N38"/>
    <mergeCell ref="J39:N39"/>
    <mergeCell ref="N48:O48"/>
    <mergeCell ref="K48:M48"/>
    <mergeCell ref="J44:K44"/>
    <mergeCell ref="P38:Q38"/>
    <mergeCell ref="R15:T15"/>
    <mergeCell ref="S8:U8"/>
    <mergeCell ref="J11:K11"/>
    <mergeCell ref="J21:K22"/>
    <mergeCell ref="J15:L15"/>
    <mergeCell ref="J10:K10"/>
    <mergeCell ref="V3:X3"/>
    <mergeCell ref="S3:U3"/>
    <mergeCell ref="S4:U5"/>
    <mergeCell ref="V4:X5"/>
    <mergeCell ref="K3:R4"/>
    <mergeCell ref="E5:R5"/>
    <mergeCell ref="B5:D5"/>
    <mergeCell ref="E3:J3"/>
    <mergeCell ref="E4:J4"/>
    <mergeCell ref="B3:D3"/>
    <mergeCell ref="B4:D4"/>
    <mergeCell ref="T47:W47"/>
    <mergeCell ref="S26:T27"/>
    <mergeCell ref="T31:U32"/>
    <mergeCell ref="N10:O10"/>
    <mergeCell ref="C7:G7"/>
    <mergeCell ref="H7:W7"/>
    <mergeCell ref="J17:L17"/>
    <mergeCell ref="N17:P17"/>
    <mergeCell ref="R17:T17"/>
    <mergeCell ref="C13:G13"/>
    <mergeCell ref="N15:P15"/>
    <mergeCell ref="R10:S10"/>
    <mergeCell ref="R38:S38"/>
    <mergeCell ref="R41:S41"/>
    <mergeCell ref="L30:M31"/>
    <mergeCell ref="N8:Q8"/>
    <mergeCell ref="N34:O35"/>
    <mergeCell ref="U38:V38"/>
    <mergeCell ref="U41:V41"/>
    <mergeCell ref="Z38:Z39"/>
    <mergeCell ref="T45:W45"/>
  </mergeCells>
  <phoneticPr fontId="1"/>
  <conditionalFormatting sqref="A1">
    <cfRule type="expression" dxfId="0" priority="3">
      <formula>$A$1&lt;&gt;""</formula>
    </cfRule>
  </conditionalFormatting>
  <dataValidations count="15">
    <dataValidation type="list" allowBlank="1" showDropDown="1" showInputMessage="1" showErrorMessage="1" sqref="Q55 I38:I42 L57 I57 I55 U53 R53 P53 I53 S50 O50 I51 S47 O47 I47 S45 O45 K45">
      <formula1>List</formula1>
    </dataValidation>
    <dataValidation imeMode="hiragana" allowBlank="1" showInputMessage="1" showErrorMessage="1" sqref="K55:O55"/>
    <dataValidation imeMode="off" allowBlank="1" showInputMessage="1" showErrorMessage="1" sqref="E3:J4 R11:S11 L10:M11 N11:O11 P10:Q11 J10:K10"/>
    <dataValidation imeMode="on" allowBlank="1" showInputMessage="1" showErrorMessage="1" sqref="R10:S10 N10:O10"/>
    <dataValidation type="decimal" imeMode="off" allowBlank="1" showInputMessage="1" showErrorMessage="1" sqref="J11:K11">
      <formula1>0.1</formula1>
      <formula2>99</formula2>
    </dataValidation>
    <dataValidation type="whole" allowBlank="1" showInputMessage="1" showErrorMessage="1" sqref="P19">
      <formula1>1</formula1>
      <formula2>999</formula2>
    </dataValidation>
    <dataValidation type="whole" imeMode="off" allowBlank="1" showInputMessage="1" showErrorMessage="1" sqref="J21:K22">
      <formula1>0</formula1>
      <formula2>300</formula2>
    </dataValidation>
    <dataValidation type="decimal" imeMode="off" allowBlank="1" showInputMessage="1" showErrorMessage="1" sqref="P28">
      <formula1>1</formula1>
      <formula2>300</formula2>
    </dataValidation>
    <dataValidation type="decimal" imeMode="off" allowBlank="1" showInputMessage="1" showErrorMessage="1" sqref="R41:S41">
      <formula1>0</formula1>
      <formula2>30</formula2>
    </dataValidation>
    <dataValidation type="decimal" imeMode="off" operator="greaterThanOrEqual" allowBlank="1" showInputMessage="1" showErrorMessage="1" sqref="U41:V41">
      <formula1>0</formula1>
    </dataValidation>
    <dataValidation type="whole" allowBlank="1" showInputMessage="1" showErrorMessage="1" sqref="J44:K44">
      <formula1>0</formula1>
      <formula2>99</formula2>
    </dataValidation>
    <dataValidation type="decimal" operator="greaterThanOrEqual" allowBlank="1" showInputMessage="1" showErrorMessage="1" sqref="N48:O48 S49:T49">
      <formula1>0</formula1>
    </dataValidation>
    <dataValidation type="decimal" imeMode="off" allowBlank="1" showInputMessage="1" showErrorMessage="1" error="1～60cmまでの値" sqref="S26:T27">
      <formula1>1</formula1>
      <formula2>60</formula2>
    </dataValidation>
    <dataValidation type="decimal" imeMode="off" allowBlank="1" showInputMessage="1" showErrorMessage="1" error="1～50cmの値" sqref="L30:M31">
      <formula1>1</formula1>
      <formula2>50</formula2>
    </dataValidation>
    <dataValidation type="whole" imeMode="off" allowBlank="1" showInputMessage="1" showErrorMessage="1" error="0～40cmの値" sqref="N34:O35">
      <formula1>0</formula1>
      <formula2>40</formula2>
    </dataValidation>
  </dataValidations>
  <pageMargins left="0.59055118110236227" right="0.27559055118110237" top="0.55118110236220474" bottom="0.19685039370078741" header="0.31496062992125984" footer="0.31496062992125984"/>
  <pageSetup paperSize="9" scale="87" orientation="portrait" blackAndWhite="1" horizont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2:O21"/>
  <sheetViews>
    <sheetView showGridLines="0" zoomScale="80" zoomScaleNormal="80" workbookViewId="0">
      <selection activeCell="C5" sqref="C5"/>
    </sheetView>
  </sheetViews>
  <sheetFormatPr defaultColWidth="12" defaultRowHeight="24" customHeight="1"/>
  <cols>
    <col min="1" max="1" width="2.25" customWidth="1"/>
    <col min="2" max="2" width="13.75" customWidth="1"/>
    <col min="3" max="5" width="11.5" customWidth="1"/>
    <col min="6" max="6" width="2.625" customWidth="1"/>
    <col min="7" max="7" width="13.875" customWidth="1"/>
    <col min="8" max="9" width="11.5" customWidth="1"/>
    <col min="10" max="15" width="10" customWidth="1"/>
    <col min="16" max="16" width="2.375" customWidth="1"/>
  </cols>
  <sheetData>
    <row r="2" spans="2:15" ht="27.75" customHeight="1">
      <c r="B2" s="85" t="s">
        <v>127</v>
      </c>
    </row>
    <row r="4" spans="2:15" ht="24" customHeight="1">
      <c r="C4" s="214" t="s">
        <v>139</v>
      </c>
      <c r="D4" s="214"/>
    </row>
    <row r="5" spans="2:15" ht="24.75" customHeight="1">
      <c r="C5" s="90"/>
      <c r="D5" s="90"/>
      <c r="E5" s="98"/>
      <c r="F5" s="98"/>
      <c r="G5" s="98"/>
      <c r="H5" s="98"/>
      <c r="I5" s="98"/>
      <c r="J5" s="98"/>
    </row>
    <row r="6" spans="2:15" ht="24.75" customHeight="1"/>
    <row r="7" spans="2:15" ht="24.75" customHeight="1" thickBot="1">
      <c r="B7" s="86" t="s">
        <v>135</v>
      </c>
      <c r="F7" s="43"/>
      <c r="G7" s="86" t="s">
        <v>134</v>
      </c>
      <c r="J7" t="s">
        <v>163</v>
      </c>
    </row>
    <row r="8" spans="2:15" ht="24.75" customHeight="1">
      <c r="B8" s="211" t="s">
        <v>132</v>
      </c>
      <c r="C8" s="213" t="s">
        <v>128</v>
      </c>
      <c r="D8" s="213"/>
      <c r="E8" s="84" t="s">
        <v>65</v>
      </c>
      <c r="F8" s="99"/>
      <c r="G8" s="215" t="s">
        <v>132</v>
      </c>
      <c r="H8" s="202" t="s">
        <v>128</v>
      </c>
      <c r="I8" s="202"/>
      <c r="J8" s="202" t="str">
        <f>IF(J9="","","期間")</f>
        <v/>
      </c>
      <c r="K8" s="202"/>
      <c r="L8" s="202" t="str">
        <f>IF(L9="","","期間")</f>
        <v/>
      </c>
      <c r="M8" s="202"/>
      <c r="N8" s="202" t="str">
        <f>IF(N9="","","期間")</f>
        <v/>
      </c>
      <c r="O8" s="203"/>
    </row>
    <row r="9" spans="2:15" ht="24.75" customHeight="1">
      <c r="B9" s="212"/>
      <c r="C9" s="87" t="s">
        <v>137</v>
      </c>
      <c r="D9" s="87" t="s">
        <v>138</v>
      </c>
      <c r="E9" s="100" t="s">
        <v>136</v>
      </c>
      <c r="F9" s="99"/>
      <c r="G9" s="216"/>
      <c r="H9" s="94" t="s">
        <v>137</v>
      </c>
      <c r="I9" s="94" t="s">
        <v>138</v>
      </c>
      <c r="J9" s="95"/>
      <c r="K9" s="95"/>
      <c r="L9" s="95"/>
      <c r="M9" s="95"/>
      <c r="N9" s="95"/>
      <c r="O9" s="96"/>
    </row>
    <row r="10" spans="2:15" ht="24.75" customHeight="1">
      <c r="B10" s="88" t="s">
        <v>129</v>
      </c>
      <c r="C10" s="34">
        <v>0</v>
      </c>
      <c r="D10" s="34">
        <v>20</v>
      </c>
      <c r="E10" s="109"/>
      <c r="F10" s="99"/>
      <c r="G10" s="104" t="s">
        <v>129</v>
      </c>
      <c r="H10" s="97">
        <v>0</v>
      </c>
      <c r="I10" s="97">
        <v>20</v>
      </c>
      <c r="J10" s="204"/>
      <c r="K10" s="204"/>
      <c r="L10" s="204"/>
      <c r="M10" s="204"/>
      <c r="N10" s="204"/>
      <c r="O10" s="204"/>
    </row>
    <row r="11" spans="2:15" ht="24.75" customHeight="1">
      <c r="B11" s="88" t="s">
        <v>130</v>
      </c>
      <c r="C11" s="34">
        <v>20</v>
      </c>
      <c r="D11" s="34">
        <v>30</v>
      </c>
      <c r="E11" s="109"/>
      <c r="F11" s="99"/>
      <c r="G11" s="104" t="s">
        <v>130</v>
      </c>
      <c r="H11" s="97">
        <v>20</v>
      </c>
      <c r="I11" s="97">
        <v>30</v>
      </c>
      <c r="J11" s="204"/>
      <c r="K11" s="204"/>
      <c r="L11" s="204"/>
      <c r="M11" s="204"/>
      <c r="N11" s="204"/>
      <c r="O11" s="204"/>
    </row>
    <row r="12" spans="2:15" ht="24.75" customHeight="1">
      <c r="B12" s="89" t="s">
        <v>131</v>
      </c>
      <c r="C12" s="83">
        <v>30</v>
      </c>
      <c r="D12" s="83">
        <v>40</v>
      </c>
      <c r="E12" s="110"/>
      <c r="F12" s="99"/>
      <c r="G12" s="104" t="s">
        <v>131</v>
      </c>
      <c r="H12" s="97">
        <v>30</v>
      </c>
      <c r="I12" s="97">
        <v>40</v>
      </c>
      <c r="J12" s="204"/>
      <c r="K12" s="204"/>
      <c r="L12" s="204"/>
      <c r="M12" s="204"/>
      <c r="N12" s="204"/>
      <c r="O12" s="204"/>
    </row>
    <row r="13" spans="2:15" ht="24.75" customHeight="1">
      <c r="B13" s="89" t="s">
        <v>149</v>
      </c>
      <c r="C13" s="83">
        <v>40</v>
      </c>
      <c r="D13" s="83">
        <v>50</v>
      </c>
      <c r="E13" s="110"/>
      <c r="G13" s="104" t="s">
        <v>149</v>
      </c>
      <c r="H13" s="97">
        <v>40</v>
      </c>
      <c r="I13" s="97">
        <v>50</v>
      </c>
      <c r="J13" s="204"/>
      <c r="K13" s="204"/>
      <c r="L13" s="204"/>
      <c r="M13" s="204"/>
      <c r="N13" s="204"/>
      <c r="O13" s="204"/>
    </row>
    <row r="14" spans="2:15" ht="24" customHeight="1">
      <c r="B14" s="102" t="s">
        <v>150</v>
      </c>
      <c r="C14" s="34">
        <v>50</v>
      </c>
      <c r="D14" s="34">
        <v>60</v>
      </c>
      <c r="E14" s="109"/>
      <c r="G14" s="104" t="s">
        <v>150</v>
      </c>
      <c r="H14" s="97">
        <v>50</v>
      </c>
      <c r="I14" s="97">
        <v>60</v>
      </c>
      <c r="J14" s="204"/>
      <c r="K14" s="204"/>
      <c r="L14" s="204"/>
      <c r="M14" s="204"/>
      <c r="N14" s="204"/>
      <c r="O14" s="204"/>
    </row>
    <row r="15" spans="2:15" ht="24" customHeight="1">
      <c r="B15" s="102" t="s">
        <v>153</v>
      </c>
      <c r="C15" s="209" t="s">
        <v>133</v>
      </c>
      <c r="D15" s="210"/>
      <c r="E15" s="91"/>
      <c r="G15" s="104" t="s">
        <v>153</v>
      </c>
      <c r="H15" s="207" t="s">
        <v>133</v>
      </c>
      <c r="I15" s="208"/>
      <c r="J15" s="205"/>
      <c r="K15" s="205"/>
      <c r="L15" s="205"/>
      <c r="M15" s="205"/>
      <c r="N15" s="205"/>
      <c r="O15" s="206"/>
    </row>
    <row r="16" spans="2:15" ht="24" customHeight="1" thickBot="1">
      <c r="B16" s="199" t="s">
        <v>147</v>
      </c>
      <c r="C16" s="200"/>
      <c r="D16" s="201"/>
      <c r="E16" s="103"/>
      <c r="G16" s="216" t="s">
        <v>148</v>
      </c>
      <c r="H16" s="217"/>
      <c r="I16" s="217"/>
      <c r="J16" s="190"/>
      <c r="K16" s="190"/>
      <c r="L16" s="190"/>
      <c r="M16" s="190"/>
      <c r="N16" s="190"/>
      <c r="O16" s="191"/>
    </row>
    <row r="17" spans="7:15" ht="24" customHeight="1">
      <c r="G17" s="196" t="s">
        <v>151</v>
      </c>
      <c r="H17" s="197"/>
      <c r="I17" s="198"/>
      <c r="J17" s="190"/>
      <c r="K17" s="190"/>
      <c r="L17" s="190"/>
      <c r="M17" s="190"/>
      <c r="N17" s="190"/>
      <c r="O17" s="191"/>
    </row>
    <row r="18" spans="7:15" ht="24" customHeight="1" thickBot="1">
      <c r="G18" s="199" t="s">
        <v>152</v>
      </c>
      <c r="H18" s="200"/>
      <c r="I18" s="201"/>
      <c r="J18" s="195"/>
      <c r="K18" s="192"/>
      <c r="L18" s="195"/>
      <c r="M18" s="192"/>
      <c r="N18" s="192"/>
      <c r="O18" s="193"/>
    </row>
    <row r="21" spans="7:15" ht="24" customHeight="1">
      <c r="N21" s="194"/>
      <c r="O21" s="194"/>
    </row>
  </sheetData>
  <sheetProtection sheet="1" objects="1" scenarios="1" selectLockedCells="1"/>
  <mergeCells count="42">
    <mergeCell ref="N13:O13"/>
    <mergeCell ref="J14:K14"/>
    <mergeCell ref="L14:M14"/>
    <mergeCell ref="N14:O14"/>
    <mergeCell ref="G16:I16"/>
    <mergeCell ref="J16:K16"/>
    <mergeCell ref="L12:M12"/>
    <mergeCell ref="L15:M15"/>
    <mergeCell ref="B8:B9"/>
    <mergeCell ref="C8:D8"/>
    <mergeCell ref="C4:D4"/>
    <mergeCell ref="G8:G9"/>
    <mergeCell ref="H8:I8"/>
    <mergeCell ref="J13:K13"/>
    <mergeCell ref="L13:M13"/>
    <mergeCell ref="B16:D16"/>
    <mergeCell ref="N8:O8"/>
    <mergeCell ref="N10:O10"/>
    <mergeCell ref="N11:O11"/>
    <mergeCell ref="N12:O12"/>
    <mergeCell ref="N15:O15"/>
    <mergeCell ref="J8:K8"/>
    <mergeCell ref="L8:M8"/>
    <mergeCell ref="J10:K10"/>
    <mergeCell ref="J11:K11"/>
    <mergeCell ref="J12:K12"/>
    <mergeCell ref="H15:I15"/>
    <mergeCell ref="C15:D15"/>
    <mergeCell ref="J15:K15"/>
    <mergeCell ref="L10:M10"/>
    <mergeCell ref="L11:M11"/>
    <mergeCell ref="J17:K17"/>
    <mergeCell ref="J18:K18"/>
    <mergeCell ref="L17:M17"/>
    <mergeCell ref="L18:M18"/>
    <mergeCell ref="G17:I17"/>
    <mergeCell ref="G18:I18"/>
    <mergeCell ref="N17:O17"/>
    <mergeCell ref="N18:O18"/>
    <mergeCell ref="L16:M16"/>
    <mergeCell ref="N16:O16"/>
    <mergeCell ref="N21:O21"/>
  </mergeCells>
  <phoneticPr fontId="1"/>
  <dataValidations count="1">
    <dataValidation imeMode="off" allowBlank="1" showInputMessage="1" showErrorMessage="1" sqref="C5:D5 E10:E15"/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D105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10" sqref="A10"/>
    </sheetView>
  </sheetViews>
  <sheetFormatPr defaultRowHeight="14.25"/>
  <cols>
    <col min="1" max="1" width="10" style="120" customWidth="1"/>
    <col min="2" max="2" width="18.25" style="120" customWidth="1"/>
    <col min="3" max="3" width="68.5" style="120" customWidth="1"/>
    <col min="4" max="4" width="13.375" style="120" customWidth="1"/>
    <col min="5" max="26" width="2.75" style="120" customWidth="1"/>
    <col min="27" max="219" width="9" style="120"/>
    <col min="220" max="282" width="2.75" style="120" customWidth="1"/>
    <col min="283" max="475" width="9" style="120"/>
    <col min="476" max="538" width="2.75" style="120" customWidth="1"/>
    <col min="539" max="731" width="9" style="120"/>
    <col min="732" max="794" width="2.75" style="120" customWidth="1"/>
    <col min="795" max="987" width="9" style="120"/>
    <col min="988" max="1050" width="2.75" style="120" customWidth="1"/>
    <col min="1051" max="1243" width="9" style="120"/>
    <col min="1244" max="1306" width="2.75" style="120" customWidth="1"/>
    <col min="1307" max="1499" width="9" style="120"/>
    <col min="1500" max="1562" width="2.75" style="120" customWidth="1"/>
    <col min="1563" max="1755" width="9" style="120"/>
    <col min="1756" max="1818" width="2.75" style="120" customWidth="1"/>
    <col min="1819" max="2011" width="9" style="120"/>
    <col min="2012" max="2074" width="2.75" style="120" customWidth="1"/>
    <col min="2075" max="2267" width="9" style="120"/>
    <col min="2268" max="2330" width="2.75" style="120" customWidth="1"/>
    <col min="2331" max="2523" width="9" style="120"/>
    <col min="2524" max="2586" width="2.75" style="120" customWidth="1"/>
    <col min="2587" max="2779" width="9" style="120"/>
    <col min="2780" max="2842" width="2.75" style="120" customWidth="1"/>
    <col min="2843" max="3035" width="9" style="120"/>
    <col min="3036" max="3098" width="2.75" style="120" customWidth="1"/>
    <col min="3099" max="3291" width="9" style="120"/>
    <col min="3292" max="3354" width="2.75" style="120" customWidth="1"/>
    <col min="3355" max="3547" width="9" style="120"/>
    <col min="3548" max="3610" width="2.75" style="120" customWidth="1"/>
    <col min="3611" max="3803" width="9" style="120"/>
    <col min="3804" max="3866" width="2.75" style="120" customWidth="1"/>
    <col min="3867" max="4059" width="9" style="120"/>
    <col min="4060" max="4122" width="2.75" style="120" customWidth="1"/>
    <col min="4123" max="4315" width="9" style="120"/>
    <col min="4316" max="4378" width="2.75" style="120" customWidth="1"/>
    <col min="4379" max="4571" width="9" style="120"/>
    <col min="4572" max="4634" width="2.75" style="120" customWidth="1"/>
    <col min="4635" max="4827" width="9" style="120"/>
    <col min="4828" max="4890" width="2.75" style="120" customWidth="1"/>
    <col min="4891" max="5083" width="9" style="120"/>
    <col min="5084" max="5146" width="2.75" style="120" customWidth="1"/>
    <col min="5147" max="5339" width="9" style="120"/>
    <col min="5340" max="5402" width="2.75" style="120" customWidth="1"/>
    <col min="5403" max="5595" width="9" style="120"/>
    <col min="5596" max="5658" width="2.75" style="120" customWidth="1"/>
    <col min="5659" max="5851" width="9" style="120"/>
    <col min="5852" max="5914" width="2.75" style="120" customWidth="1"/>
    <col min="5915" max="6107" width="9" style="120"/>
    <col min="6108" max="6170" width="2.75" style="120" customWidth="1"/>
    <col min="6171" max="6363" width="9" style="120"/>
    <col min="6364" max="6426" width="2.75" style="120" customWidth="1"/>
    <col min="6427" max="6619" width="9" style="120"/>
    <col min="6620" max="6682" width="2.75" style="120" customWidth="1"/>
    <col min="6683" max="6875" width="9" style="120"/>
    <col min="6876" max="6938" width="2.75" style="120" customWidth="1"/>
    <col min="6939" max="7131" width="9" style="120"/>
    <col min="7132" max="7194" width="2.75" style="120" customWidth="1"/>
    <col min="7195" max="7387" width="9" style="120"/>
    <col min="7388" max="7450" width="2.75" style="120" customWidth="1"/>
    <col min="7451" max="7643" width="9" style="120"/>
    <col min="7644" max="7706" width="2.75" style="120" customWidth="1"/>
    <col min="7707" max="7899" width="9" style="120"/>
    <col min="7900" max="7962" width="2.75" style="120" customWidth="1"/>
    <col min="7963" max="8155" width="9" style="120"/>
    <col min="8156" max="8218" width="2.75" style="120" customWidth="1"/>
    <col min="8219" max="8411" width="9" style="120"/>
    <col min="8412" max="8474" width="2.75" style="120" customWidth="1"/>
    <col min="8475" max="8667" width="9" style="120"/>
    <col min="8668" max="8730" width="2.75" style="120" customWidth="1"/>
    <col min="8731" max="8923" width="9" style="120"/>
    <col min="8924" max="8986" width="2.75" style="120" customWidth="1"/>
    <col min="8987" max="9179" width="9" style="120"/>
    <col min="9180" max="9242" width="2.75" style="120" customWidth="1"/>
    <col min="9243" max="9435" width="9" style="120"/>
    <col min="9436" max="9498" width="2.75" style="120" customWidth="1"/>
    <col min="9499" max="9691" width="9" style="120"/>
    <col min="9692" max="9754" width="2.75" style="120" customWidth="1"/>
    <col min="9755" max="9947" width="9" style="120"/>
    <col min="9948" max="10010" width="2.75" style="120" customWidth="1"/>
    <col min="10011" max="10203" width="9" style="120"/>
    <col min="10204" max="10266" width="2.75" style="120" customWidth="1"/>
    <col min="10267" max="10459" width="9" style="120"/>
    <col min="10460" max="10522" width="2.75" style="120" customWidth="1"/>
    <col min="10523" max="10715" width="9" style="120"/>
    <col min="10716" max="10778" width="2.75" style="120" customWidth="1"/>
    <col min="10779" max="10971" width="9" style="120"/>
    <col min="10972" max="11034" width="2.75" style="120" customWidth="1"/>
    <col min="11035" max="11227" width="9" style="120"/>
    <col min="11228" max="11290" width="2.75" style="120" customWidth="1"/>
    <col min="11291" max="11483" width="9" style="120"/>
    <col min="11484" max="11546" width="2.75" style="120" customWidth="1"/>
    <col min="11547" max="11739" width="9" style="120"/>
    <col min="11740" max="11802" width="2.75" style="120" customWidth="1"/>
    <col min="11803" max="11995" width="9" style="120"/>
    <col min="11996" max="12058" width="2.75" style="120" customWidth="1"/>
    <col min="12059" max="12251" width="9" style="120"/>
    <col min="12252" max="12314" width="2.75" style="120" customWidth="1"/>
    <col min="12315" max="12507" width="9" style="120"/>
    <col min="12508" max="12570" width="2.75" style="120" customWidth="1"/>
    <col min="12571" max="12763" width="9" style="120"/>
    <col min="12764" max="12826" width="2.75" style="120" customWidth="1"/>
    <col min="12827" max="13019" width="9" style="120"/>
    <col min="13020" max="13082" width="2.75" style="120" customWidth="1"/>
    <col min="13083" max="13275" width="9" style="120"/>
    <col min="13276" max="13338" width="2.75" style="120" customWidth="1"/>
    <col min="13339" max="13531" width="9" style="120"/>
    <col min="13532" max="13594" width="2.75" style="120" customWidth="1"/>
    <col min="13595" max="13787" width="9" style="120"/>
    <col min="13788" max="13850" width="2.75" style="120" customWidth="1"/>
    <col min="13851" max="14043" width="9" style="120"/>
    <col min="14044" max="14106" width="2.75" style="120" customWidth="1"/>
    <col min="14107" max="14299" width="9" style="120"/>
    <col min="14300" max="14362" width="2.75" style="120" customWidth="1"/>
    <col min="14363" max="14555" width="9" style="120"/>
    <col min="14556" max="14618" width="2.75" style="120" customWidth="1"/>
    <col min="14619" max="14811" width="9" style="120"/>
    <col min="14812" max="14874" width="2.75" style="120" customWidth="1"/>
    <col min="14875" max="15067" width="9" style="120"/>
    <col min="15068" max="15130" width="2.75" style="120" customWidth="1"/>
    <col min="15131" max="15323" width="9" style="120"/>
    <col min="15324" max="15386" width="2.75" style="120" customWidth="1"/>
    <col min="15387" max="15579" width="9" style="120"/>
    <col min="15580" max="15642" width="2.75" style="120" customWidth="1"/>
    <col min="15643" max="15835" width="9" style="120"/>
    <col min="15836" max="15898" width="2.75" style="120" customWidth="1"/>
    <col min="15899" max="16091" width="9" style="120"/>
    <col min="16092" max="16154" width="2.75" style="120" customWidth="1"/>
    <col min="16155" max="16384" width="9" style="120"/>
  </cols>
  <sheetData>
    <row r="1" spans="1:4" ht="36" customHeight="1">
      <c r="A1" s="218" t="str">
        <f>"様式"&amp;YousikiNo&amp;"の改訂履歴"</f>
        <v>様式G1-25の改訂履歴</v>
      </c>
      <c r="B1" s="218"/>
      <c r="C1" s="218"/>
      <c r="D1" s="218"/>
    </row>
    <row r="2" spans="1:4" ht="15" customHeight="1"/>
    <row r="3" spans="1:4" ht="15" customHeight="1">
      <c r="A3" s="121" t="s">
        <v>167</v>
      </c>
      <c r="B3" s="121"/>
      <c r="D3" s="122" t="s">
        <v>168</v>
      </c>
    </row>
    <row r="4" spans="1:4" ht="15" customHeight="1">
      <c r="A4" s="129" t="s">
        <v>173</v>
      </c>
      <c r="B4" s="129"/>
      <c r="C4" s="130"/>
      <c r="D4" s="123" t="s">
        <v>177</v>
      </c>
    </row>
    <row r="5" spans="1:4" ht="30" customHeight="1">
      <c r="A5" s="124" t="s">
        <v>169</v>
      </c>
      <c r="B5" s="124" t="s">
        <v>170</v>
      </c>
      <c r="C5" s="125" t="s">
        <v>171</v>
      </c>
      <c r="D5" s="124" t="s">
        <v>172</v>
      </c>
    </row>
    <row r="6" spans="1:4" ht="30" customHeight="1">
      <c r="A6" s="124">
        <v>0</v>
      </c>
      <c r="B6" s="126">
        <v>41886</v>
      </c>
      <c r="C6" s="125" t="s">
        <v>176</v>
      </c>
      <c r="D6" s="124" t="s">
        <v>179</v>
      </c>
    </row>
    <row r="7" spans="1:4" ht="30" customHeight="1">
      <c r="A7" s="124">
        <v>1</v>
      </c>
      <c r="B7" s="127" t="s">
        <v>184</v>
      </c>
      <c r="C7" s="125" t="s">
        <v>181</v>
      </c>
      <c r="D7" s="124" t="s">
        <v>179</v>
      </c>
    </row>
    <row r="8" spans="1:4" ht="30" customHeight="1">
      <c r="A8" s="124">
        <v>2</v>
      </c>
      <c r="B8" s="127" t="s">
        <v>174</v>
      </c>
      <c r="C8" s="128" t="s">
        <v>182</v>
      </c>
      <c r="D8" s="124" t="s">
        <v>179</v>
      </c>
    </row>
    <row r="9" spans="1:4" ht="30" customHeight="1">
      <c r="A9" s="124">
        <v>3</v>
      </c>
      <c r="B9" s="127" t="s">
        <v>175</v>
      </c>
      <c r="C9" s="125" t="s">
        <v>183</v>
      </c>
      <c r="D9" s="124" t="s">
        <v>180</v>
      </c>
    </row>
    <row r="10" spans="1:4" ht="30" customHeight="1">
      <c r="A10" s="124"/>
      <c r="B10" s="127" t="s">
        <v>178</v>
      </c>
      <c r="C10" s="125"/>
      <c r="D10" s="124"/>
    </row>
    <row r="11" spans="1:4" ht="30" customHeight="1">
      <c r="A11" s="124"/>
      <c r="B11" s="127"/>
      <c r="C11" s="125"/>
      <c r="D11" s="124"/>
    </row>
    <row r="12" spans="1:4" ht="30" customHeight="1">
      <c r="A12" s="124"/>
      <c r="B12" s="127"/>
      <c r="C12" s="125"/>
      <c r="D12" s="124"/>
    </row>
    <row r="13" spans="1:4" ht="30" customHeight="1">
      <c r="A13" s="124"/>
      <c r="B13" s="127"/>
      <c r="C13" s="125"/>
      <c r="D13" s="124"/>
    </row>
    <row r="14" spans="1:4" ht="30" customHeight="1">
      <c r="A14" s="124"/>
      <c r="B14" s="127"/>
      <c r="C14" s="128"/>
      <c r="D14" s="124"/>
    </row>
    <row r="15" spans="1:4" ht="30" customHeight="1">
      <c r="A15" s="124"/>
      <c r="B15" s="127"/>
      <c r="C15" s="125"/>
      <c r="D15" s="124"/>
    </row>
    <row r="16" spans="1:4" ht="30" customHeight="1">
      <c r="A16" s="124"/>
      <c r="B16" s="127"/>
      <c r="C16" s="125"/>
      <c r="D16" s="124"/>
    </row>
    <row r="17" spans="1:4" ht="30" customHeight="1">
      <c r="A17" s="124"/>
      <c r="B17" s="127"/>
      <c r="C17" s="125"/>
      <c r="D17" s="124"/>
    </row>
    <row r="18" spans="1:4" ht="30" customHeight="1">
      <c r="A18" s="124"/>
      <c r="B18" s="127"/>
      <c r="C18" s="125"/>
      <c r="D18" s="124"/>
    </row>
    <row r="19" spans="1:4" ht="30" customHeight="1">
      <c r="A19" s="124"/>
      <c r="B19" s="127"/>
      <c r="C19" s="125"/>
      <c r="D19" s="124"/>
    </row>
    <row r="20" spans="1:4" ht="30" customHeight="1">
      <c r="A20" s="124"/>
      <c r="B20" s="127"/>
      <c r="C20" s="125"/>
      <c r="D20" s="124"/>
    </row>
    <row r="21" spans="1:4" ht="30" customHeight="1">
      <c r="A21" s="124"/>
      <c r="B21" s="127"/>
      <c r="C21" s="125"/>
      <c r="D21" s="124"/>
    </row>
    <row r="22" spans="1:4" ht="30" customHeight="1">
      <c r="A22" s="124"/>
      <c r="B22" s="127"/>
      <c r="C22" s="125"/>
      <c r="D22" s="124"/>
    </row>
    <row r="23" spans="1:4" ht="30" customHeight="1">
      <c r="A23" s="124"/>
      <c r="B23" s="127"/>
      <c r="C23" s="125"/>
      <c r="D23" s="124"/>
    </row>
    <row r="24" spans="1:4" ht="30" customHeight="1">
      <c r="A24" s="124"/>
      <c r="B24" s="127"/>
      <c r="C24" s="125"/>
      <c r="D24" s="124"/>
    </row>
    <row r="25" spans="1:4" ht="30" customHeight="1">
      <c r="A25" s="124"/>
      <c r="B25" s="127"/>
      <c r="C25" s="125"/>
      <c r="D25" s="124"/>
    </row>
    <row r="26" spans="1:4" ht="30" customHeight="1">
      <c r="A26" s="124"/>
      <c r="B26" s="127"/>
      <c r="C26" s="125"/>
      <c r="D26" s="124"/>
    </row>
    <row r="27" spans="1:4" ht="30" customHeight="1">
      <c r="A27" s="124"/>
      <c r="B27" s="127"/>
      <c r="C27" s="125"/>
      <c r="D27" s="124"/>
    </row>
    <row r="28" spans="1:4" ht="30" customHeight="1">
      <c r="A28" s="124"/>
      <c r="B28" s="127"/>
      <c r="C28" s="125"/>
      <c r="D28" s="124"/>
    </row>
    <row r="29" spans="1:4" ht="30" customHeight="1">
      <c r="A29" s="124"/>
      <c r="B29" s="127"/>
      <c r="C29" s="125"/>
      <c r="D29" s="124"/>
    </row>
    <row r="30" spans="1:4" ht="30" customHeight="1">
      <c r="A30" s="124"/>
      <c r="B30" s="127"/>
      <c r="C30" s="125"/>
      <c r="D30" s="124"/>
    </row>
    <row r="31" spans="1:4" ht="30" customHeight="1">
      <c r="A31" s="124"/>
      <c r="B31" s="127"/>
      <c r="C31" s="125"/>
      <c r="D31" s="124"/>
    </row>
    <row r="32" spans="1:4" ht="30" customHeight="1">
      <c r="A32" s="124"/>
      <c r="B32" s="127"/>
      <c r="C32" s="125"/>
      <c r="D32" s="124"/>
    </row>
    <row r="33" spans="1:4" ht="30" customHeight="1">
      <c r="A33" s="124"/>
      <c r="B33" s="127"/>
      <c r="C33" s="125"/>
      <c r="D33" s="124"/>
    </row>
    <row r="34" spans="1:4" ht="30" customHeight="1">
      <c r="A34" s="124"/>
      <c r="B34" s="127"/>
      <c r="C34" s="125"/>
      <c r="D34" s="124"/>
    </row>
    <row r="35" spans="1:4" ht="30" customHeight="1">
      <c r="A35" s="124"/>
      <c r="B35" s="127"/>
      <c r="C35" s="125"/>
      <c r="D35" s="124"/>
    </row>
    <row r="36" spans="1:4" ht="30" customHeight="1">
      <c r="A36" s="124"/>
      <c r="B36" s="127"/>
      <c r="C36" s="125"/>
      <c r="D36" s="124"/>
    </row>
    <row r="37" spans="1:4" ht="30" customHeight="1">
      <c r="A37" s="124"/>
      <c r="B37" s="127"/>
      <c r="C37" s="125"/>
      <c r="D37" s="124"/>
    </row>
    <row r="38" spans="1:4" ht="30" customHeight="1">
      <c r="A38" s="124"/>
      <c r="B38" s="127"/>
      <c r="C38" s="125"/>
      <c r="D38" s="124"/>
    </row>
    <row r="39" spans="1:4" ht="30" customHeight="1">
      <c r="A39" s="124"/>
      <c r="B39" s="127"/>
      <c r="C39" s="125"/>
      <c r="D39" s="124"/>
    </row>
    <row r="40" spans="1:4" ht="30" customHeight="1">
      <c r="A40" s="124"/>
      <c r="B40" s="127"/>
      <c r="C40" s="125"/>
      <c r="D40" s="124"/>
    </row>
    <row r="41" spans="1:4" ht="30" customHeight="1">
      <c r="A41" s="124"/>
      <c r="B41" s="127"/>
      <c r="C41" s="125"/>
      <c r="D41" s="124"/>
    </row>
    <row r="42" spans="1:4" ht="30" customHeight="1">
      <c r="A42" s="124"/>
      <c r="B42" s="127"/>
      <c r="C42" s="125"/>
      <c r="D42" s="124"/>
    </row>
    <row r="43" spans="1:4" ht="30" customHeight="1">
      <c r="A43" s="124"/>
      <c r="B43" s="127"/>
      <c r="C43" s="125"/>
      <c r="D43" s="124"/>
    </row>
    <row r="44" spans="1:4" ht="30" customHeight="1">
      <c r="A44" s="124"/>
      <c r="B44" s="127"/>
      <c r="C44" s="125"/>
      <c r="D44" s="124"/>
    </row>
    <row r="45" spans="1:4" ht="30" customHeight="1">
      <c r="A45" s="124"/>
      <c r="B45" s="127"/>
      <c r="C45" s="125"/>
      <c r="D45" s="124"/>
    </row>
    <row r="46" spans="1:4" ht="30" customHeight="1">
      <c r="A46" s="124"/>
      <c r="B46" s="127"/>
      <c r="C46" s="125"/>
      <c r="D46" s="124"/>
    </row>
    <row r="47" spans="1:4" ht="30" customHeight="1">
      <c r="A47" s="124"/>
      <c r="B47" s="127"/>
      <c r="C47" s="125"/>
      <c r="D47" s="124"/>
    </row>
    <row r="48" spans="1:4" ht="30" customHeight="1">
      <c r="A48" s="124"/>
      <c r="B48" s="127"/>
      <c r="C48" s="125"/>
      <c r="D48" s="124"/>
    </row>
    <row r="49" spans="1:4" ht="30" customHeight="1">
      <c r="A49" s="124"/>
      <c r="B49" s="127"/>
      <c r="C49" s="125"/>
      <c r="D49" s="124"/>
    </row>
    <row r="50" spans="1:4" ht="30" customHeight="1">
      <c r="A50" s="124"/>
      <c r="B50" s="127"/>
      <c r="C50" s="125"/>
      <c r="D50" s="124"/>
    </row>
    <row r="51" spans="1:4" ht="30" customHeight="1">
      <c r="A51" s="124"/>
      <c r="B51" s="127"/>
      <c r="C51" s="125"/>
      <c r="D51" s="124"/>
    </row>
    <row r="52" spans="1:4" ht="30" customHeight="1">
      <c r="A52" s="124"/>
      <c r="B52" s="127"/>
      <c r="C52" s="125"/>
      <c r="D52" s="124"/>
    </row>
    <row r="53" spans="1:4" ht="30" customHeight="1">
      <c r="A53" s="124"/>
      <c r="B53" s="127"/>
      <c r="C53" s="125"/>
      <c r="D53" s="124"/>
    </row>
    <row r="54" spans="1:4" ht="30" customHeight="1">
      <c r="A54" s="124"/>
      <c r="B54" s="127"/>
      <c r="C54" s="125"/>
      <c r="D54" s="124"/>
    </row>
    <row r="55" spans="1:4" ht="30" customHeight="1">
      <c r="A55" s="124"/>
      <c r="B55" s="127"/>
      <c r="C55" s="125"/>
      <c r="D55" s="124"/>
    </row>
    <row r="56" spans="1:4" ht="30" customHeight="1">
      <c r="A56" s="124"/>
      <c r="B56" s="127"/>
      <c r="C56" s="125"/>
      <c r="D56" s="124"/>
    </row>
    <row r="57" spans="1:4" ht="30" customHeight="1">
      <c r="A57" s="124"/>
      <c r="B57" s="127"/>
      <c r="C57" s="125"/>
      <c r="D57" s="124"/>
    </row>
    <row r="58" spans="1:4" ht="30" customHeight="1">
      <c r="A58" s="124"/>
      <c r="B58" s="127"/>
      <c r="C58" s="125"/>
      <c r="D58" s="124"/>
    </row>
    <row r="59" spans="1:4" ht="30" customHeight="1">
      <c r="A59" s="124"/>
      <c r="B59" s="127"/>
      <c r="C59" s="125"/>
      <c r="D59" s="124"/>
    </row>
    <row r="60" spans="1:4" ht="30" customHeight="1">
      <c r="A60" s="124"/>
      <c r="B60" s="127"/>
      <c r="C60" s="125"/>
      <c r="D60" s="124"/>
    </row>
    <row r="61" spans="1:4" ht="30" customHeight="1">
      <c r="A61" s="124"/>
      <c r="B61" s="127"/>
      <c r="C61" s="125"/>
      <c r="D61" s="124"/>
    </row>
    <row r="62" spans="1:4" ht="30" customHeight="1">
      <c r="A62" s="124"/>
      <c r="B62" s="127"/>
      <c r="C62" s="125"/>
      <c r="D62" s="124"/>
    </row>
    <row r="63" spans="1:4" ht="30" customHeight="1">
      <c r="A63" s="124"/>
      <c r="B63" s="127"/>
      <c r="C63" s="125"/>
      <c r="D63" s="124"/>
    </row>
    <row r="64" spans="1:4" ht="30" customHeight="1">
      <c r="A64" s="124"/>
      <c r="B64" s="127"/>
      <c r="C64" s="125"/>
      <c r="D64" s="124"/>
    </row>
    <row r="65" spans="1:4" ht="30" customHeight="1">
      <c r="A65" s="124"/>
      <c r="B65" s="127"/>
      <c r="C65" s="125"/>
      <c r="D65" s="124"/>
    </row>
    <row r="66" spans="1:4" ht="30" customHeight="1">
      <c r="A66" s="124"/>
      <c r="B66" s="127"/>
      <c r="C66" s="125"/>
      <c r="D66" s="124"/>
    </row>
    <row r="67" spans="1:4" ht="30" customHeight="1">
      <c r="A67" s="124"/>
      <c r="B67" s="127"/>
      <c r="C67" s="125"/>
      <c r="D67" s="124"/>
    </row>
    <row r="68" spans="1:4" ht="30" customHeight="1">
      <c r="A68" s="124"/>
      <c r="B68" s="127"/>
      <c r="C68" s="125"/>
      <c r="D68" s="124"/>
    </row>
    <row r="69" spans="1:4" ht="30" customHeight="1">
      <c r="A69" s="124"/>
      <c r="B69" s="127"/>
      <c r="C69" s="125"/>
      <c r="D69" s="124"/>
    </row>
    <row r="70" spans="1:4" ht="30" customHeight="1">
      <c r="A70" s="124"/>
      <c r="B70" s="127"/>
      <c r="C70" s="125"/>
      <c r="D70" s="124"/>
    </row>
    <row r="71" spans="1:4" ht="30" customHeight="1">
      <c r="A71" s="124"/>
      <c r="B71" s="127"/>
      <c r="C71" s="125"/>
      <c r="D71" s="124"/>
    </row>
    <row r="72" spans="1:4" ht="30" customHeight="1">
      <c r="A72" s="124"/>
      <c r="B72" s="127"/>
      <c r="C72" s="125"/>
      <c r="D72" s="124"/>
    </row>
    <row r="73" spans="1:4" ht="30" customHeight="1">
      <c r="A73" s="124"/>
      <c r="B73" s="127"/>
      <c r="C73" s="125"/>
      <c r="D73" s="124"/>
    </row>
    <row r="74" spans="1:4" ht="30" customHeight="1">
      <c r="A74" s="124"/>
      <c r="B74" s="127"/>
      <c r="C74" s="125"/>
      <c r="D74" s="124"/>
    </row>
    <row r="75" spans="1:4" ht="30" customHeight="1">
      <c r="A75" s="124"/>
      <c r="B75" s="127"/>
      <c r="C75" s="125"/>
      <c r="D75" s="124"/>
    </row>
    <row r="76" spans="1:4" ht="30" customHeight="1">
      <c r="A76" s="124"/>
      <c r="B76" s="127"/>
      <c r="C76" s="125"/>
      <c r="D76" s="124"/>
    </row>
    <row r="77" spans="1:4" ht="30" customHeight="1">
      <c r="A77" s="124"/>
      <c r="B77" s="127"/>
      <c r="C77" s="125"/>
      <c r="D77" s="124"/>
    </row>
    <row r="78" spans="1:4" ht="30" customHeight="1">
      <c r="A78" s="124"/>
      <c r="B78" s="127"/>
      <c r="C78" s="125"/>
      <c r="D78" s="124"/>
    </row>
    <row r="79" spans="1:4" ht="30" customHeight="1">
      <c r="A79" s="124"/>
      <c r="B79" s="127"/>
      <c r="C79" s="125"/>
      <c r="D79" s="124"/>
    </row>
    <row r="80" spans="1:4" ht="30" customHeight="1">
      <c r="A80" s="124"/>
      <c r="B80" s="127"/>
      <c r="C80" s="125"/>
      <c r="D80" s="124"/>
    </row>
    <row r="81" spans="1:4" ht="30" customHeight="1">
      <c r="A81" s="124"/>
      <c r="B81" s="127"/>
      <c r="C81" s="125"/>
      <c r="D81" s="124"/>
    </row>
    <row r="82" spans="1:4" ht="30" customHeight="1">
      <c r="A82" s="124"/>
      <c r="B82" s="127"/>
      <c r="C82" s="125"/>
      <c r="D82" s="124"/>
    </row>
    <row r="83" spans="1:4" ht="30" customHeight="1">
      <c r="A83" s="124"/>
      <c r="B83" s="127"/>
      <c r="C83" s="125"/>
      <c r="D83" s="124"/>
    </row>
    <row r="84" spans="1:4" ht="30" customHeight="1">
      <c r="A84" s="124"/>
      <c r="B84" s="127"/>
      <c r="C84" s="125"/>
      <c r="D84" s="124"/>
    </row>
    <row r="85" spans="1:4" ht="30" customHeight="1">
      <c r="A85" s="124"/>
      <c r="B85" s="127"/>
      <c r="C85" s="125"/>
      <c r="D85" s="124"/>
    </row>
    <row r="86" spans="1:4" ht="30" customHeight="1">
      <c r="A86" s="124"/>
      <c r="B86" s="127"/>
      <c r="C86" s="125"/>
      <c r="D86" s="124"/>
    </row>
    <row r="87" spans="1:4" ht="30" customHeight="1">
      <c r="A87" s="124"/>
      <c r="B87" s="127"/>
      <c r="C87" s="125"/>
      <c r="D87" s="124"/>
    </row>
    <row r="88" spans="1:4" ht="30" customHeight="1">
      <c r="A88" s="124"/>
      <c r="B88" s="127"/>
      <c r="C88" s="125"/>
      <c r="D88" s="124"/>
    </row>
    <row r="89" spans="1:4" ht="30" customHeight="1">
      <c r="A89" s="124"/>
      <c r="B89" s="127"/>
      <c r="C89" s="125"/>
      <c r="D89" s="124"/>
    </row>
    <row r="90" spans="1:4" ht="30" customHeight="1">
      <c r="A90" s="124"/>
      <c r="B90" s="127"/>
      <c r="C90" s="125"/>
      <c r="D90" s="124"/>
    </row>
    <row r="91" spans="1:4" ht="30" customHeight="1">
      <c r="A91" s="124"/>
      <c r="B91" s="127"/>
      <c r="C91" s="125"/>
      <c r="D91" s="124"/>
    </row>
    <row r="92" spans="1:4" ht="30" customHeight="1">
      <c r="A92" s="124"/>
      <c r="B92" s="127"/>
      <c r="C92" s="125"/>
      <c r="D92" s="124"/>
    </row>
    <row r="93" spans="1:4" ht="30" customHeight="1">
      <c r="A93" s="124"/>
      <c r="B93" s="127"/>
      <c r="C93" s="125"/>
      <c r="D93" s="124"/>
    </row>
    <row r="94" spans="1:4" ht="30" customHeight="1">
      <c r="A94" s="124"/>
      <c r="B94" s="127"/>
      <c r="C94" s="125"/>
      <c r="D94" s="124"/>
    </row>
    <row r="95" spans="1:4" ht="30" customHeight="1">
      <c r="A95" s="124"/>
      <c r="B95" s="127"/>
      <c r="C95" s="125"/>
      <c r="D95" s="124"/>
    </row>
    <row r="96" spans="1:4" ht="30" customHeight="1">
      <c r="A96" s="124"/>
      <c r="B96" s="127"/>
      <c r="C96" s="125"/>
      <c r="D96" s="124"/>
    </row>
    <row r="97" spans="1:4" ht="30" customHeight="1">
      <c r="A97" s="124"/>
      <c r="B97" s="127"/>
      <c r="C97" s="125"/>
      <c r="D97" s="124"/>
    </row>
    <row r="98" spans="1:4" ht="30" customHeight="1">
      <c r="A98" s="124"/>
      <c r="B98" s="127"/>
      <c r="C98" s="125"/>
      <c r="D98" s="124"/>
    </row>
    <row r="99" spans="1:4" ht="30" customHeight="1">
      <c r="A99" s="124"/>
      <c r="B99" s="127"/>
      <c r="C99" s="125"/>
      <c r="D99" s="124"/>
    </row>
    <row r="100" spans="1:4" ht="30" customHeight="1">
      <c r="A100" s="124"/>
      <c r="B100" s="127"/>
      <c r="C100" s="125"/>
      <c r="D100" s="124"/>
    </row>
    <row r="101" spans="1:4" ht="30" customHeight="1">
      <c r="A101" s="124"/>
      <c r="B101" s="127"/>
      <c r="C101" s="125"/>
      <c r="D101" s="124"/>
    </row>
    <row r="102" spans="1:4" ht="30" customHeight="1">
      <c r="A102" s="124"/>
      <c r="B102" s="127"/>
      <c r="C102" s="125"/>
      <c r="D102" s="124"/>
    </row>
    <row r="103" spans="1:4" ht="30" customHeight="1">
      <c r="A103" s="124"/>
      <c r="B103" s="127"/>
      <c r="C103" s="125"/>
      <c r="D103" s="124"/>
    </row>
    <row r="104" spans="1:4" ht="30" customHeight="1">
      <c r="A104" s="124"/>
      <c r="B104" s="127"/>
      <c r="C104" s="125"/>
      <c r="D104" s="124"/>
    </row>
    <row r="105" spans="1:4" ht="30" customHeight="1">
      <c r="A105" s="124"/>
      <c r="B105" s="127"/>
      <c r="C105" s="125"/>
      <c r="D105" s="124"/>
    </row>
  </sheetData>
  <mergeCells count="1">
    <mergeCell ref="A1:D1"/>
  </mergeCells>
  <phoneticPr fontId="1"/>
  <pageMargins left="0.7" right="0.7" top="0.75" bottom="0.75" header="0.3" footer="0.3"/>
  <pageSetup paperSize="9" scale="72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B1:R50"/>
  <sheetViews>
    <sheetView zoomScale="80" zoomScaleNormal="80" workbookViewId="0">
      <selection activeCell="B4" sqref="B4"/>
    </sheetView>
  </sheetViews>
  <sheetFormatPr defaultRowHeight="13.5"/>
  <cols>
    <col min="1" max="1" width="1.375" customWidth="1"/>
    <col min="2" max="2" width="15.375" customWidth="1"/>
    <col min="3" max="3" width="14.75" customWidth="1"/>
    <col min="4" max="5" width="13.625" customWidth="1"/>
    <col min="6" max="6" width="17.875" customWidth="1"/>
    <col min="7" max="7" width="16.625" customWidth="1"/>
    <col min="8" max="8" width="13.875" customWidth="1"/>
    <col min="9" max="9" width="11.5" customWidth="1"/>
    <col min="10" max="10" width="9.375" customWidth="1"/>
    <col min="11" max="11" width="11.75" customWidth="1"/>
    <col min="12" max="12" width="10.375" customWidth="1"/>
    <col min="14" max="14" width="14.25" customWidth="1"/>
    <col min="15" max="15" width="14.125" customWidth="1"/>
    <col min="16" max="16" width="11.875" customWidth="1"/>
  </cols>
  <sheetData>
    <row r="1" spans="2:18" ht="33" customHeight="1">
      <c r="B1" t="s">
        <v>115</v>
      </c>
    </row>
    <row r="2" spans="2:18" ht="31.5" customHeight="1">
      <c r="B2" s="225" t="s">
        <v>50</v>
      </c>
      <c r="C2" s="225" t="s">
        <v>55</v>
      </c>
      <c r="D2" s="221" t="s">
        <v>51</v>
      </c>
      <c r="E2" s="225" t="s">
        <v>52</v>
      </c>
      <c r="F2" s="225"/>
      <c r="G2" s="221" t="s">
        <v>156</v>
      </c>
      <c r="H2" s="222"/>
      <c r="I2" s="226"/>
      <c r="J2" s="223"/>
      <c r="K2" s="45" t="s">
        <v>53</v>
      </c>
      <c r="L2" s="45" t="s">
        <v>54</v>
      </c>
      <c r="M2" s="45" t="s">
        <v>58</v>
      </c>
      <c r="N2" s="45" t="s">
        <v>59</v>
      </c>
      <c r="O2" s="46" t="s">
        <v>83</v>
      </c>
      <c r="P2" s="46" t="s">
        <v>60</v>
      </c>
      <c r="Q2" s="46" t="s">
        <v>61</v>
      </c>
      <c r="R2" s="46" t="s">
        <v>62</v>
      </c>
    </row>
    <row r="3" spans="2:18" ht="31.5" customHeight="1">
      <c r="B3" s="225"/>
      <c r="C3" s="225"/>
      <c r="D3" s="225"/>
      <c r="E3" s="47" t="s">
        <v>137</v>
      </c>
      <c r="F3" s="47" t="s">
        <v>138</v>
      </c>
      <c r="G3" s="225"/>
      <c r="H3" s="222"/>
      <c r="I3" s="226"/>
      <c r="J3" s="224"/>
      <c r="K3" s="75">
        <f>SUM(K4:K7)</f>
        <v>0</v>
      </c>
      <c r="L3" s="75">
        <f>SUM(L4:L6)</f>
        <v>0</v>
      </c>
      <c r="M3" s="75">
        <f t="shared" ref="M3:R3" si="0">SUM(M4:M5)</f>
        <v>0</v>
      </c>
      <c r="N3" s="75">
        <f t="shared" si="0"/>
        <v>0</v>
      </c>
      <c r="O3" s="75">
        <f t="shared" si="0"/>
        <v>0</v>
      </c>
      <c r="P3" s="75">
        <f t="shared" si="0"/>
        <v>0</v>
      </c>
      <c r="Q3" s="75">
        <f t="shared" si="0"/>
        <v>0</v>
      </c>
      <c r="R3" s="75">
        <f t="shared" si="0"/>
        <v>0</v>
      </c>
    </row>
    <row r="4" spans="2:18" ht="19.5" customHeight="1">
      <c r="B4" s="72">
        <f>C20</f>
        <v>0</v>
      </c>
      <c r="C4" s="30" t="s">
        <v>56</v>
      </c>
      <c r="D4" s="28">
        <v>10</v>
      </c>
      <c r="E4" s="28">
        <v>50</v>
      </c>
      <c r="F4" s="28">
        <v>60</v>
      </c>
      <c r="G4" s="114"/>
      <c r="H4" s="107"/>
      <c r="I4" s="54"/>
      <c r="J4" s="111"/>
      <c r="K4" s="74">
        <f>IF(SetHouhou="■",1,0)</f>
        <v>0</v>
      </c>
      <c r="L4" s="74">
        <f>IF(HanJyouGe="■",1,0)</f>
        <v>0</v>
      </c>
      <c r="M4" s="74">
        <f>IF(SenAri="■",1,0)</f>
        <v>0</v>
      </c>
      <c r="N4" s="74">
        <f>IF(SenItiNaka="■",1,0)</f>
        <v>0</v>
      </c>
      <c r="O4" s="74">
        <f>IF(RadiW="■",1,0)</f>
        <v>0</v>
      </c>
      <c r="P4" s="74">
        <f>IF(LabAri="■",1,0)</f>
        <v>0</v>
      </c>
      <c r="Q4" s="74">
        <f>IF(CiAri="■",1,0)</f>
        <v>0</v>
      </c>
      <c r="R4" s="74">
        <f>IF(TokSujiAri="■",1,0)</f>
        <v>0</v>
      </c>
    </row>
    <row r="5" spans="2:18" ht="19.5" customHeight="1">
      <c r="C5" s="30" t="s">
        <v>57</v>
      </c>
      <c r="D5" s="28">
        <v>15</v>
      </c>
      <c r="E5" s="28">
        <v>40</v>
      </c>
      <c r="F5" s="28">
        <v>50</v>
      </c>
      <c r="G5" s="114"/>
      <c r="H5" s="107"/>
      <c r="I5" s="54"/>
      <c r="J5" s="112"/>
      <c r="K5" s="74">
        <f>IF(SetSonota="■",1,0)</f>
        <v>0</v>
      </c>
      <c r="L5" s="74">
        <f>IF(HanSayuu="■",1,0)</f>
        <v>0</v>
      </c>
      <c r="M5" s="74">
        <f>IF(SenNasi="■",1,0)</f>
        <v>0</v>
      </c>
      <c r="N5" s="74">
        <f>IF(SenItiHoka="■",1,0)</f>
        <v>0</v>
      </c>
      <c r="O5" s="74">
        <f>IF(AE132A="■",1,0)</f>
        <v>0</v>
      </c>
      <c r="P5" s="74">
        <f>IF(LabNasi="■",1,0)</f>
        <v>0</v>
      </c>
      <c r="Q5" s="74">
        <f>IF(CiNasi="■",1,0)</f>
        <v>0</v>
      </c>
      <c r="R5" s="74">
        <f>IF(TokSijNasi="■",1,0)</f>
        <v>0</v>
      </c>
    </row>
    <row r="6" spans="2:18" ht="19.5" customHeight="1">
      <c r="D6" s="28">
        <v>20</v>
      </c>
      <c r="E6" s="28">
        <v>30</v>
      </c>
      <c r="F6" s="28">
        <v>40</v>
      </c>
      <c r="G6" s="114"/>
      <c r="H6" s="107"/>
      <c r="I6" s="54"/>
      <c r="J6" s="112"/>
      <c r="K6" s="74">
        <f>IF(SetRitu="■",1,0)</f>
        <v>0</v>
      </c>
      <c r="L6" s="74">
        <f>IF(HanSonota="■",1,0)</f>
        <v>0</v>
      </c>
    </row>
    <row r="7" spans="2:18" ht="19.5" customHeight="1">
      <c r="D7" s="28">
        <v>30</v>
      </c>
      <c r="E7" s="28">
        <v>20</v>
      </c>
      <c r="F7" s="28">
        <v>30</v>
      </c>
      <c r="G7" s="114"/>
      <c r="H7" s="107"/>
      <c r="I7" s="54"/>
      <c r="J7" s="112"/>
      <c r="K7" s="74">
        <f>IF(SheetCal="■",1,0)</f>
        <v>0</v>
      </c>
    </row>
    <row r="8" spans="2:18" ht="27.75" customHeight="1">
      <c r="D8" s="28">
        <v>30</v>
      </c>
      <c r="E8" s="31">
        <v>0</v>
      </c>
      <c r="F8" s="28">
        <v>20</v>
      </c>
      <c r="G8" s="114"/>
      <c r="H8" s="107"/>
      <c r="I8" s="54"/>
      <c r="J8" s="112"/>
      <c r="K8" s="46" t="s">
        <v>84</v>
      </c>
    </row>
    <row r="9" spans="2:18" ht="19.5" customHeight="1">
      <c r="B9" s="221" t="s">
        <v>67</v>
      </c>
      <c r="C9" s="44"/>
      <c r="D9" s="82"/>
      <c r="E9" s="227" t="s">
        <v>112</v>
      </c>
      <c r="F9" s="227"/>
      <c r="G9" s="77"/>
      <c r="H9" s="107"/>
      <c r="I9" s="54"/>
      <c r="J9" s="108"/>
      <c r="K9" s="74">
        <f>SUM(K10:K11)</f>
        <v>0</v>
      </c>
    </row>
    <row r="10" spans="2:18" ht="19.5" customHeight="1">
      <c r="B10" s="221"/>
      <c r="C10" s="42"/>
      <c r="D10" s="66" t="s">
        <v>85</v>
      </c>
      <c r="E10" s="43"/>
      <c r="F10" s="43"/>
      <c r="K10" s="74">
        <f>IF(RadixWW="■",1,0)</f>
        <v>0</v>
      </c>
    </row>
    <row r="11" spans="2:18" ht="41.25" customHeight="1">
      <c r="B11" s="31">
        <v>25</v>
      </c>
      <c r="C11" s="42"/>
      <c r="D11" s="219" t="s">
        <v>126</v>
      </c>
      <c r="E11" s="220"/>
      <c r="F11" s="76" t="s">
        <v>157</v>
      </c>
      <c r="G11" s="27" t="s">
        <v>111</v>
      </c>
      <c r="H11" s="106">
        <f>DoseR50*DoseR40*DoseR30*DoseR20*DoseR0*SheetHr</f>
        <v>0</v>
      </c>
      <c r="K11" s="74">
        <f>IF(AE132AA="■",1,0)</f>
        <v>0</v>
      </c>
    </row>
    <row r="12" spans="2:18" ht="28.5" customHeight="1"/>
    <row r="13" spans="2:18">
      <c r="B13" t="s">
        <v>77</v>
      </c>
    </row>
    <row r="14" spans="2:18">
      <c r="B14" s="47" t="s">
        <v>76</v>
      </c>
      <c r="C14" s="47" t="s">
        <v>75</v>
      </c>
    </row>
    <row r="15" spans="2:18">
      <c r="B15" s="34">
        <v>1</v>
      </c>
      <c r="C15" s="34">
        <v>1</v>
      </c>
    </row>
    <row r="18" spans="2:18" ht="21" customHeight="1">
      <c r="B18" t="s">
        <v>110</v>
      </c>
      <c r="E18" s="65"/>
      <c r="F18" s="65"/>
      <c r="G18" s="66" t="s">
        <v>108</v>
      </c>
      <c r="H18" s="65"/>
    </row>
    <row r="19" spans="2:18" ht="37.5" customHeight="1">
      <c r="B19" s="67" t="s">
        <v>109</v>
      </c>
      <c r="C19" s="67" t="s">
        <v>103</v>
      </c>
      <c r="D19" s="67" t="s">
        <v>154</v>
      </c>
      <c r="E19" s="67" t="s">
        <v>155</v>
      </c>
      <c r="F19" s="67" t="s">
        <v>106</v>
      </c>
      <c r="G19" s="67" t="s">
        <v>105</v>
      </c>
      <c r="H19" s="67" t="s">
        <v>104</v>
      </c>
      <c r="I19" s="68" t="s">
        <v>107</v>
      </c>
      <c r="J19" s="68">
        <f>MIN(J20:J50)</f>
        <v>99</v>
      </c>
      <c r="K19" s="54"/>
      <c r="N19" s="70"/>
      <c r="O19" s="70"/>
      <c r="Q19" s="70"/>
      <c r="R19" s="70"/>
    </row>
    <row r="20" spans="2:18" ht="18" customHeight="1">
      <c r="B20" s="29">
        <v>0</v>
      </c>
      <c r="C20" s="135"/>
      <c r="D20" s="135"/>
      <c r="E20" s="135"/>
      <c r="F20" s="135"/>
      <c r="G20" s="135"/>
      <c r="H20" s="135"/>
      <c r="I20" s="135"/>
      <c r="J20" s="73">
        <f>IF(AND(C20&lt;&gt;"",C21=""),0,99)</f>
        <v>99</v>
      </c>
      <c r="K20" s="54"/>
      <c r="N20" s="69"/>
      <c r="O20" s="69"/>
      <c r="Q20" s="69"/>
      <c r="R20" s="69"/>
    </row>
    <row r="21" spans="2:18" ht="18" customHeight="1">
      <c r="B21" s="29">
        <v>1</v>
      </c>
      <c r="C21" s="135"/>
      <c r="D21" s="135"/>
      <c r="E21" s="135"/>
      <c r="F21" s="135"/>
      <c r="G21" s="135"/>
      <c r="H21" s="135"/>
      <c r="I21" s="135"/>
      <c r="J21" s="73">
        <f t="shared" ref="J21:J50" si="1">IF(C21="",99,IF(OR(F21&lt;&gt;F20,G21&lt;&gt;G20,H21&lt;&gt;H20,I21&lt;&gt;I20),B21,99))</f>
        <v>99</v>
      </c>
      <c r="K21" s="54"/>
      <c r="N21" s="69"/>
      <c r="O21" s="69"/>
      <c r="P21" s="69"/>
      <c r="Q21" s="69"/>
      <c r="R21" s="69"/>
    </row>
    <row r="22" spans="2:18" ht="18" customHeight="1">
      <c r="B22" s="29">
        <v>2</v>
      </c>
      <c r="C22" s="135"/>
      <c r="D22" s="135"/>
      <c r="E22" s="135"/>
      <c r="F22" s="135"/>
      <c r="G22" s="135"/>
      <c r="H22" s="135"/>
      <c r="I22" s="135"/>
      <c r="J22" s="73">
        <f t="shared" si="1"/>
        <v>99</v>
      </c>
      <c r="K22" s="54"/>
      <c r="N22" s="69"/>
      <c r="O22" s="69"/>
      <c r="P22" s="69"/>
      <c r="Q22" s="69"/>
      <c r="R22" s="69"/>
    </row>
    <row r="23" spans="2:18">
      <c r="B23" s="29">
        <v>3</v>
      </c>
      <c r="C23" s="135"/>
      <c r="D23" s="135"/>
      <c r="E23" s="135"/>
      <c r="F23" s="134"/>
      <c r="G23" s="134"/>
      <c r="H23" s="134"/>
      <c r="I23" s="134"/>
      <c r="J23" s="73">
        <f t="shared" si="1"/>
        <v>99</v>
      </c>
      <c r="N23" s="69"/>
      <c r="O23" s="69"/>
      <c r="P23" s="69"/>
      <c r="Q23" s="69"/>
      <c r="R23" s="69"/>
    </row>
    <row r="24" spans="2:18">
      <c r="B24" s="29">
        <v>4</v>
      </c>
      <c r="C24" s="135"/>
      <c r="D24" s="135"/>
      <c r="E24" s="135"/>
      <c r="F24" s="134"/>
      <c r="G24" s="134"/>
      <c r="H24" s="134"/>
      <c r="I24" s="134"/>
      <c r="J24" s="73">
        <f t="shared" si="1"/>
        <v>99</v>
      </c>
      <c r="N24" s="69"/>
      <c r="O24" s="69"/>
      <c r="P24" s="69"/>
      <c r="Q24" s="69"/>
      <c r="R24" s="69"/>
    </row>
    <row r="25" spans="2:18">
      <c r="B25" s="29">
        <v>5</v>
      </c>
      <c r="C25" s="135"/>
      <c r="D25" s="135"/>
      <c r="E25" s="135"/>
      <c r="F25" s="134"/>
      <c r="G25" s="134"/>
      <c r="H25" s="134"/>
      <c r="I25" s="134"/>
      <c r="J25" s="73">
        <f t="shared" si="1"/>
        <v>99</v>
      </c>
      <c r="N25" s="69"/>
      <c r="O25" s="69"/>
      <c r="P25" s="69"/>
      <c r="Q25" s="69"/>
      <c r="R25" s="69"/>
    </row>
    <row r="26" spans="2:18">
      <c r="B26" s="29">
        <v>6</v>
      </c>
      <c r="C26" s="135"/>
      <c r="D26" s="135"/>
      <c r="E26" s="135"/>
      <c r="F26" s="134"/>
      <c r="G26" s="134"/>
      <c r="H26" s="134"/>
      <c r="I26" s="134"/>
      <c r="J26" s="73">
        <f t="shared" si="1"/>
        <v>99</v>
      </c>
      <c r="N26" s="69"/>
      <c r="O26" s="69"/>
      <c r="P26" s="69"/>
      <c r="Q26" s="69"/>
      <c r="R26" s="69"/>
    </row>
    <row r="27" spans="2:18">
      <c r="B27" s="29">
        <v>7</v>
      </c>
      <c r="C27" s="135"/>
      <c r="D27" s="135"/>
      <c r="E27" s="135"/>
      <c r="F27" s="134"/>
      <c r="G27" s="134"/>
      <c r="H27" s="134"/>
      <c r="I27" s="134"/>
      <c r="J27" s="73">
        <f t="shared" si="1"/>
        <v>99</v>
      </c>
      <c r="N27" s="69"/>
      <c r="O27" s="69"/>
      <c r="P27" s="69"/>
      <c r="Q27" s="69"/>
      <c r="R27" s="69"/>
    </row>
    <row r="28" spans="2:18">
      <c r="B28" s="29">
        <v>8</v>
      </c>
      <c r="C28" s="135"/>
      <c r="D28" s="135"/>
      <c r="E28" s="135"/>
      <c r="F28" s="134"/>
      <c r="G28" s="134"/>
      <c r="H28" s="134"/>
      <c r="I28" s="134"/>
      <c r="J28" s="73">
        <f t="shared" si="1"/>
        <v>99</v>
      </c>
      <c r="N28" s="69"/>
      <c r="O28" s="69"/>
      <c r="P28" s="69"/>
      <c r="Q28" s="69"/>
      <c r="R28" s="69"/>
    </row>
    <row r="29" spans="2:18">
      <c r="B29" s="29">
        <v>9</v>
      </c>
      <c r="C29" s="135"/>
      <c r="D29" s="135"/>
      <c r="E29" s="135"/>
      <c r="F29" s="134"/>
      <c r="G29" s="134"/>
      <c r="H29" s="134"/>
      <c r="I29" s="134"/>
      <c r="J29" s="73">
        <f t="shared" si="1"/>
        <v>99</v>
      </c>
      <c r="N29" s="69"/>
      <c r="O29" s="69"/>
      <c r="P29" s="69"/>
      <c r="Q29" s="69"/>
      <c r="R29" s="69"/>
    </row>
    <row r="30" spans="2:18">
      <c r="B30" s="29">
        <v>10</v>
      </c>
      <c r="C30" s="135"/>
      <c r="D30" s="135"/>
      <c r="E30" s="135"/>
      <c r="F30" s="134"/>
      <c r="G30" s="134"/>
      <c r="H30" s="134"/>
      <c r="I30" s="134"/>
      <c r="J30" s="73">
        <f t="shared" si="1"/>
        <v>99</v>
      </c>
      <c r="N30" s="69"/>
      <c r="O30" s="69"/>
      <c r="P30" s="69"/>
      <c r="Q30" s="69"/>
      <c r="R30" s="69"/>
    </row>
    <row r="31" spans="2:18">
      <c r="B31" s="29">
        <v>11</v>
      </c>
      <c r="C31" s="135"/>
      <c r="D31" s="135"/>
      <c r="E31" s="135"/>
      <c r="F31" s="134"/>
      <c r="G31" s="134"/>
      <c r="H31" s="134"/>
      <c r="I31" s="134"/>
      <c r="J31" s="73">
        <f t="shared" si="1"/>
        <v>99</v>
      </c>
      <c r="N31" s="69"/>
      <c r="O31" s="69"/>
      <c r="P31" s="69"/>
      <c r="Q31" s="69"/>
      <c r="R31" s="69"/>
    </row>
    <row r="32" spans="2:18">
      <c r="B32" s="29">
        <v>12</v>
      </c>
      <c r="C32" s="135"/>
      <c r="D32" s="135"/>
      <c r="E32" s="135"/>
      <c r="F32" s="134"/>
      <c r="G32" s="134"/>
      <c r="H32" s="134"/>
      <c r="I32" s="134"/>
      <c r="J32" s="73">
        <f t="shared" si="1"/>
        <v>99</v>
      </c>
      <c r="N32" s="69"/>
      <c r="O32" s="69"/>
      <c r="P32" s="69"/>
      <c r="Q32" s="69"/>
      <c r="R32" s="69"/>
    </row>
    <row r="33" spans="2:18">
      <c r="B33" s="29">
        <v>13</v>
      </c>
      <c r="C33" s="135"/>
      <c r="D33" s="135"/>
      <c r="E33" s="135"/>
      <c r="F33" s="134"/>
      <c r="G33" s="134"/>
      <c r="H33" s="134"/>
      <c r="I33" s="134"/>
      <c r="J33" s="73">
        <f t="shared" si="1"/>
        <v>99</v>
      </c>
      <c r="N33" s="69"/>
      <c r="O33" s="69"/>
      <c r="P33" s="69"/>
      <c r="Q33" s="69"/>
      <c r="R33" s="69"/>
    </row>
    <row r="34" spans="2:18">
      <c r="B34" s="29">
        <v>14</v>
      </c>
      <c r="C34" s="135"/>
      <c r="D34" s="135"/>
      <c r="E34" s="135"/>
      <c r="F34" s="134"/>
      <c r="G34" s="134"/>
      <c r="H34" s="134"/>
      <c r="I34" s="134"/>
      <c r="J34" s="73">
        <f t="shared" si="1"/>
        <v>99</v>
      </c>
      <c r="N34" s="69"/>
      <c r="O34" s="69"/>
      <c r="P34" s="69"/>
      <c r="Q34" s="69"/>
      <c r="R34" s="69"/>
    </row>
    <row r="35" spans="2:18">
      <c r="B35" s="29">
        <v>15</v>
      </c>
      <c r="C35" s="135"/>
      <c r="D35" s="135"/>
      <c r="E35" s="135"/>
      <c r="F35" s="134"/>
      <c r="G35" s="134"/>
      <c r="H35" s="134"/>
      <c r="I35" s="134"/>
      <c r="J35" s="73">
        <f t="shared" si="1"/>
        <v>99</v>
      </c>
      <c r="N35" s="69"/>
      <c r="O35" s="69"/>
      <c r="P35" s="69"/>
      <c r="Q35" s="69"/>
      <c r="R35" s="69"/>
    </row>
    <row r="36" spans="2:18">
      <c r="B36" s="29">
        <v>16</v>
      </c>
      <c r="C36" s="135"/>
      <c r="D36" s="135"/>
      <c r="E36" s="135"/>
      <c r="F36" s="134"/>
      <c r="G36" s="134"/>
      <c r="H36" s="134"/>
      <c r="I36" s="134"/>
      <c r="J36" s="73">
        <f t="shared" si="1"/>
        <v>99</v>
      </c>
      <c r="N36" s="69"/>
      <c r="O36" s="69"/>
      <c r="P36" s="69"/>
      <c r="Q36" s="69"/>
      <c r="R36" s="69"/>
    </row>
    <row r="37" spans="2:18">
      <c r="B37" s="29">
        <v>17</v>
      </c>
      <c r="C37" s="135"/>
      <c r="D37" s="135"/>
      <c r="E37" s="135"/>
      <c r="F37" s="134"/>
      <c r="G37" s="134"/>
      <c r="H37" s="134"/>
      <c r="I37" s="134"/>
      <c r="J37" s="73">
        <f t="shared" si="1"/>
        <v>99</v>
      </c>
      <c r="N37" s="69"/>
      <c r="O37" s="69"/>
      <c r="P37" s="69"/>
      <c r="Q37" s="69"/>
      <c r="R37" s="69"/>
    </row>
    <row r="38" spans="2:18">
      <c r="B38" s="29">
        <v>18</v>
      </c>
      <c r="C38" s="135"/>
      <c r="D38" s="135"/>
      <c r="E38" s="135"/>
      <c r="F38" s="134"/>
      <c r="G38" s="134"/>
      <c r="H38" s="134"/>
      <c r="I38" s="134"/>
      <c r="J38" s="73">
        <f t="shared" si="1"/>
        <v>99</v>
      </c>
      <c r="N38" s="69"/>
      <c r="O38" s="69"/>
      <c r="P38" s="69"/>
      <c r="Q38" s="69"/>
      <c r="R38" s="69"/>
    </row>
    <row r="39" spans="2:18">
      <c r="B39" s="29">
        <v>19</v>
      </c>
      <c r="C39" s="135"/>
      <c r="D39" s="135"/>
      <c r="E39" s="135"/>
      <c r="F39" s="134"/>
      <c r="G39" s="134"/>
      <c r="H39" s="134"/>
      <c r="I39" s="134"/>
      <c r="J39" s="73">
        <f t="shared" si="1"/>
        <v>99</v>
      </c>
      <c r="N39" s="69"/>
      <c r="O39" s="69"/>
      <c r="P39" s="69"/>
      <c r="Q39" s="69"/>
      <c r="R39" s="69"/>
    </row>
    <row r="40" spans="2:18">
      <c r="B40" s="29">
        <v>20</v>
      </c>
      <c r="C40" s="132"/>
      <c r="D40" s="132"/>
      <c r="E40" s="132"/>
      <c r="F40" s="131"/>
      <c r="G40" s="131"/>
      <c r="H40" s="131"/>
      <c r="I40" s="131"/>
      <c r="J40" s="73">
        <f t="shared" si="1"/>
        <v>99</v>
      </c>
      <c r="N40" s="69"/>
      <c r="O40" s="69"/>
      <c r="P40" s="69"/>
      <c r="Q40" s="69"/>
      <c r="R40" s="69"/>
    </row>
    <row r="41" spans="2:18">
      <c r="B41" s="29">
        <v>21</v>
      </c>
      <c r="C41" s="119"/>
      <c r="D41" s="119"/>
      <c r="E41" s="119"/>
      <c r="F41" s="118"/>
      <c r="G41" s="118"/>
      <c r="H41" s="118"/>
      <c r="I41" s="118"/>
      <c r="J41" s="73">
        <f t="shared" si="1"/>
        <v>99</v>
      </c>
      <c r="N41" s="69"/>
      <c r="O41" s="69"/>
      <c r="P41" s="69"/>
      <c r="Q41" s="69"/>
      <c r="R41" s="69"/>
    </row>
    <row r="42" spans="2:18">
      <c r="B42" s="29">
        <v>22</v>
      </c>
      <c r="C42" s="119"/>
      <c r="D42" s="119"/>
      <c r="E42" s="119"/>
      <c r="F42" s="118"/>
      <c r="G42" s="118"/>
      <c r="H42" s="118"/>
      <c r="I42" s="118"/>
      <c r="J42" s="73">
        <f t="shared" si="1"/>
        <v>99</v>
      </c>
      <c r="N42" s="69"/>
      <c r="O42" s="69"/>
      <c r="P42" s="69"/>
      <c r="Q42" s="69"/>
      <c r="R42" s="69"/>
    </row>
    <row r="43" spans="2:18">
      <c r="B43" s="29">
        <v>23</v>
      </c>
      <c r="C43" s="119"/>
      <c r="D43" s="119"/>
      <c r="E43" s="119"/>
      <c r="F43" s="118"/>
      <c r="G43" s="118"/>
      <c r="H43" s="118"/>
      <c r="I43" s="118"/>
      <c r="J43" s="73">
        <f t="shared" si="1"/>
        <v>99</v>
      </c>
      <c r="N43" s="69"/>
      <c r="O43" s="69"/>
      <c r="P43" s="69"/>
      <c r="Q43" s="69"/>
      <c r="R43" s="69"/>
    </row>
    <row r="44" spans="2:18">
      <c r="B44" s="29">
        <v>24</v>
      </c>
      <c r="C44" s="119"/>
      <c r="D44" s="119"/>
      <c r="E44" s="119"/>
      <c r="F44" s="118"/>
      <c r="G44" s="118"/>
      <c r="H44" s="118"/>
      <c r="I44" s="118"/>
      <c r="J44" s="73">
        <f t="shared" si="1"/>
        <v>99</v>
      </c>
      <c r="N44" s="69"/>
      <c r="O44" s="69"/>
      <c r="P44" s="69"/>
      <c r="Q44" s="69"/>
      <c r="R44" s="69"/>
    </row>
    <row r="45" spans="2:18">
      <c r="B45" s="29">
        <v>25</v>
      </c>
      <c r="C45" s="119"/>
      <c r="D45" s="119"/>
      <c r="E45" s="119"/>
      <c r="F45" s="118"/>
      <c r="G45" s="118"/>
      <c r="H45" s="118"/>
      <c r="I45" s="118"/>
      <c r="J45" s="73">
        <f t="shared" si="1"/>
        <v>99</v>
      </c>
      <c r="N45" s="69"/>
      <c r="O45" s="69"/>
      <c r="P45" s="69"/>
      <c r="Q45" s="69"/>
      <c r="R45" s="69"/>
    </row>
    <row r="46" spans="2:18">
      <c r="B46" s="29">
        <v>26</v>
      </c>
      <c r="C46" s="119"/>
      <c r="D46" s="119"/>
      <c r="E46" s="119"/>
      <c r="F46" s="118"/>
      <c r="G46" s="118"/>
      <c r="H46" s="118"/>
      <c r="I46" s="118"/>
      <c r="J46" s="73">
        <f t="shared" si="1"/>
        <v>99</v>
      </c>
      <c r="N46" s="69"/>
      <c r="O46" s="69"/>
      <c r="P46" s="69"/>
      <c r="Q46" s="69"/>
      <c r="R46" s="69"/>
    </row>
    <row r="47" spans="2:18">
      <c r="B47" s="29">
        <v>27</v>
      </c>
      <c r="C47" s="29"/>
      <c r="D47" s="105"/>
      <c r="E47" s="105"/>
      <c r="F47" s="34"/>
      <c r="G47" s="34"/>
      <c r="H47" s="34"/>
      <c r="I47" s="34"/>
      <c r="J47" s="73">
        <f t="shared" si="1"/>
        <v>99</v>
      </c>
      <c r="N47" s="69"/>
      <c r="O47" s="69"/>
      <c r="P47" s="69"/>
      <c r="Q47" s="69"/>
      <c r="R47" s="69"/>
    </row>
    <row r="48" spans="2:18">
      <c r="B48" s="29">
        <v>28</v>
      </c>
      <c r="C48" s="29"/>
      <c r="D48" s="105"/>
      <c r="E48" s="105"/>
      <c r="F48" s="34"/>
      <c r="G48" s="34"/>
      <c r="H48" s="34"/>
      <c r="I48" s="34"/>
      <c r="J48" s="73">
        <f t="shared" si="1"/>
        <v>99</v>
      </c>
      <c r="N48" s="69"/>
      <c r="O48" s="69"/>
      <c r="P48" s="69"/>
      <c r="Q48" s="69"/>
      <c r="R48" s="69"/>
    </row>
    <row r="49" spans="2:18">
      <c r="B49" s="29">
        <v>29</v>
      </c>
      <c r="C49" s="29"/>
      <c r="D49" s="105"/>
      <c r="E49" s="105"/>
      <c r="F49" s="34"/>
      <c r="G49" s="34"/>
      <c r="H49" s="34"/>
      <c r="I49" s="34"/>
      <c r="J49" s="73">
        <f t="shared" si="1"/>
        <v>99</v>
      </c>
      <c r="N49" s="69"/>
      <c r="O49" s="69"/>
      <c r="P49" s="69"/>
      <c r="Q49" s="69"/>
      <c r="R49" s="69"/>
    </row>
    <row r="50" spans="2:18">
      <c r="B50" s="29">
        <v>30</v>
      </c>
      <c r="C50" s="29"/>
      <c r="D50" s="105"/>
      <c r="E50" s="105"/>
      <c r="F50" s="34"/>
      <c r="G50" s="34"/>
      <c r="H50" s="34"/>
      <c r="I50" s="34"/>
      <c r="J50" s="73">
        <f t="shared" si="1"/>
        <v>99</v>
      </c>
      <c r="N50" s="69"/>
      <c r="O50" s="69"/>
      <c r="P50" s="69"/>
      <c r="Q50" s="69"/>
      <c r="R50" s="69"/>
    </row>
  </sheetData>
  <sheetProtection sheet="1" objects="1" scenarios="1" selectLockedCells="1"/>
  <sortState ref="L17:L21">
    <sortCondition ref="L17"/>
  </sortState>
  <mergeCells count="11">
    <mergeCell ref="D11:E11"/>
    <mergeCell ref="B9:B10"/>
    <mergeCell ref="H2:H3"/>
    <mergeCell ref="J2:J3"/>
    <mergeCell ref="E2:F2"/>
    <mergeCell ref="B2:B3"/>
    <mergeCell ref="D2:D3"/>
    <mergeCell ref="G2:G3"/>
    <mergeCell ref="I2:I3"/>
    <mergeCell ref="C2:C3"/>
    <mergeCell ref="E9:F9"/>
  </mergeCells>
  <phoneticPr fontId="1"/>
  <pageMargins left="0.7" right="0.7" top="0.75" bottom="0.75" header="0.3" footer="0.3"/>
  <pageSetup paperSize="9" orientation="landscape" horizontalDpi="429496729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D43"/>
  <sheetViews>
    <sheetView workbookViewId="0">
      <selection activeCell="A9" sqref="A9"/>
    </sheetView>
  </sheetViews>
  <sheetFormatPr defaultRowHeight="13.5"/>
  <cols>
    <col min="1" max="1" width="11.75" style="78" customWidth="1"/>
    <col min="2" max="2" width="14.875" style="78" customWidth="1"/>
    <col min="3" max="3" width="49.625" customWidth="1"/>
    <col min="4" max="4" width="16.75" customWidth="1"/>
  </cols>
  <sheetData>
    <row r="1" spans="1:4" ht="18.75" customHeight="1">
      <c r="A1" s="78" t="s">
        <v>166</v>
      </c>
    </row>
    <row r="2" spans="1:4" ht="18.75" customHeight="1">
      <c r="A2" s="68" t="s">
        <v>117</v>
      </c>
      <c r="B2" s="68" t="s">
        <v>125</v>
      </c>
      <c r="C2" s="68" t="s">
        <v>116</v>
      </c>
      <c r="D2" s="68" t="s">
        <v>119</v>
      </c>
    </row>
    <row r="3" spans="1:4" ht="45.75" customHeight="1">
      <c r="A3" s="81" t="s">
        <v>118</v>
      </c>
      <c r="B3" s="79">
        <v>41800</v>
      </c>
      <c r="C3" s="76" t="s">
        <v>120</v>
      </c>
      <c r="D3" s="76" t="s">
        <v>122</v>
      </c>
    </row>
    <row r="4" spans="1:4" ht="47.25" customHeight="1">
      <c r="A4" s="81" t="s">
        <v>121</v>
      </c>
      <c r="B4" s="80">
        <v>42375</v>
      </c>
      <c r="C4" s="76" t="s">
        <v>123</v>
      </c>
      <c r="D4" s="76" t="s">
        <v>124</v>
      </c>
    </row>
    <row r="5" spans="1:4" ht="177" customHeight="1">
      <c r="A5" s="81" t="s">
        <v>121</v>
      </c>
      <c r="B5" s="93" t="s">
        <v>144</v>
      </c>
      <c r="C5" s="76" t="s">
        <v>142</v>
      </c>
      <c r="D5" s="76" t="s">
        <v>143</v>
      </c>
    </row>
    <row r="6" spans="1:4" ht="72" customHeight="1">
      <c r="A6" s="81" t="s">
        <v>145</v>
      </c>
      <c r="B6" s="101">
        <v>42636</v>
      </c>
      <c r="C6" s="76" t="s">
        <v>159</v>
      </c>
      <c r="D6" s="76" t="s">
        <v>146</v>
      </c>
    </row>
    <row r="7" spans="1:4" ht="36" customHeight="1">
      <c r="A7" s="81" t="s">
        <v>158</v>
      </c>
      <c r="B7" s="101">
        <v>42740</v>
      </c>
      <c r="C7" s="76" t="s">
        <v>160</v>
      </c>
      <c r="D7" s="76" t="s">
        <v>161</v>
      </c>
    </row>
    <row r="8" spans="1:4" ht="18.75" customHeight="1">
      <c r="A8" s="81" t="s">
        <v>185</v>
      </c>
      <c r="B8" s="79">
        <v>43962</v>
      </c>
      <c r="C8" s="76" t="s">
        <v>186</v>
      </c>
      <c r="D8" s="76" t="s">
        <v>122</v>
      </c>
    </row>
    <row r="9" spans="1:4" ht="18.75" customHeight="1">
      <c r="A9" s="81"/>
      <c r="B9" s="81"/>
      <c r="C9" s="76"/>
      <c r="D9" s="76"/>
    </row>
    <row r="10" spans="1:4" ht="18.75" customHeight="1">
      <c r="A10" s="81"/>
      <c r="B10" s="81"/>
      <c r="C10" s="76"/>
      <c r="D10" s="76"/>
    </row>
    <row r="11" spans="1:4" ht="18.75" customHeight="1">
      <c r="A11" s="81"/>
      <c r="B11" s="81"/>
      <c r="C11" s="76"/>
      <c r="D11" s="76"/>
    </row>
    <row r="12" spans="1:4" ht="18.75" customHeight="1">
      <c r="A12" s="81"/>
      <c r="B12" s="81"/>
      <c r="C12" s="76"/>
      <c r="D12" s="76"/>
    </row>
    <row r="13" spans="1:4" ht="18.75" customHeight="1">
      <c r="A13" s="81"/>
      <c r="B13" s="81"/>
      <c r="C13" s="76"/>
      <c r="D13" s="76"/>
    </row>
    <row r="14" spans="1:4" ht="18.75" customHeight="1">
      <c r="A14" s="81"/>
      <c r="B14" s="81"/>
      <c r="C14" s="76"/>
      <c r="D14" s="76"/>
    </row>
    <row r="15" spans="1:4" ht="18.75" customHeight="1">
      <c r="A15" s="81"/>
      <c r="B15" s="81"/>
      <c r="C15" s="76"/>
      <c r="D15" s="76"/>
    </row>
    <row r="16" spans="1:4" ht="18.75" customHeight="1">
      <c r="A16" s="81"/>
      <c r="B16" s="81"/>
      <c r="C16" s="76"/>
      <c r="D16" s="76"/>
    </row>
    <row r="17" spans="1:4" ht="18.75" customHeight="1">
      <c r="A17" s="81"/>
      <c r="B17" s="81"/>
      <c r="C17" s="76"/>
      <c r="D17" s="76"/>
    </row>
    <row r="18" spans="1:4" ht="18.75" customHeight="1">
      <c r="A18" s="81"/>
      <c r="B18" s="81"/>
      <c r="C18" s="76"/>
      <c r="D18" s="76"/>
    </row>
    <row r="19" spans="1:4" ht="18.75" customHeight="1">
      <c r="A19" s="81"/>
      <c r="B19" s="81"/>
      <c r="C19" s="76"/>
      <c r="D19" s="76"/>
    </row>
    <row r="20" spans="1:4" ht="18.75" customHeight="1">
      <c r="A20" s="81"/>
      <c r="B20" s="81"/>
      <c r="C20" s="76"/>
      <c r="D20" s="76"/>
    </row>
    <row r="21" spans="1:4" ht="18.75" customHeight="1"/>
    <row r="22" spans="1:4" ht="18.75" customHeight="1"/>
    <row r="23" spans="1:4" ht="18.75" customHeight="1"/>
    <row r="24" spans="1:4" ht="18.75" customHeight="1"/>
    <row r="25" spans="1:4" ht="18.75" customHeight="1"/>
    <row r="26" spans="1:4" ht="18.75" customHeight="1"/>
    <row r="27" spans="1:4" ht="18.75" customHeight="1"/>
    <row r="28" spans="1:4" ht="18.75" customHeight="1"/>
    <row r="29" spans="1:4" ht="18.75" customHeight="1"/>
    <row r="30" spans="1:4" ht="18.75" customHeight="1"/>
    <row r="31" spans="1:4" ht="18.75" customHeight="1"/>
    <row r="32" spans="1:4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104</vt:i4>
      </vt:variant>
    </vt:vector>
  </HeadingPairs>
  <TitlesOfParts>
    <vt:vector size="109" baseType="lpstr">
      <vt:lpstr>指図書</vt:lpstr>
      <vt:lpstr>線量率登録</vt:lpstr>
      <vt:lpstr>改訂履歴</vt:lpstr>
      <vt:lpstr>設定値</vt:lpstr>
      <vt:lpstr>ソフト変更履歴</vt:lpstr>
      <vt:lpstr>AE132A</vt:lpstr>
      <vt:lpstr>AE132AA</vt:lpstr>
      <vt:lpstr>Bikou</vt:lpstr>
      <vt:lpstr>Bikou2</vt:lpstr>
      <vt:lpstr>Ceff</vt:lpstr>
      <vt:lpstr>CiAri</vt:lpstr>
      <vt:lpstr>CiNasi</vt:lpstr>
      <vt:lpstr>CIumu</vt:lpstr>
      <vt:lpstr>Coeff</vt:lpstr>
      <vt:lpstr>ColN</vt:lpstr>
      <vt:lpstr>DaiTakasa</vt:lpstr>
      <vt:lpstr>DBTourokuUMU</vt:lpstr>
      <vt:lpstr>Debug</vt:lpstr>
      <vt:lpstr>DoseR0</vt:lpstr>
      <vt:lpstr>DoseR20</vt:lpstr>
      <vt:lpstr>DoseR30</vt:lpstr>
      <vt:lpstr>DoseR40</vt:lpstr>
      <vt:lpstr>DoseR50</vt:lpstr>
      <vt:lpstr>Eday</vt:lpstr>
      <vt:lpstr>Haba</vt:lpstr>
      <vt:lpstr>HakoHaba</vt:lpstr>
      <vt:lpstr>HakoMin</vt:lpstr>
      <vt:lpstr>HakoNagasa</vt:lpstr>
      <vt:lpstr>HakoTakasa</vt:lpstr>
      <vt:lpstr>HanJyouGe</vt:lpstr>
      <vt:lpstr>HanSayuu</vt:lpstr>
      <vt:lpstr>HanSonota</vt:lpstr>
      <vt:lpstr>Hanten</vt:lpstr>
      <vt:lpstr>HantenSu</vt:lpstr>
      <vt:lpstr>Hennkou</vt:lpstr>
      <vt:lpstr>Hogobann</vt:lpstr>
      <vt:lpstr>HogobannR</vt:lpstr>
      <vt:lpstr>Horei</vt:lpstr>
      <vt:lpstr>HoreiHou</vt:lpstr>
      <vt:lpstr>HoreiMu</vt:lpstr>
      <vt:lpstr>JyougSn</vt:lpstr>
      <vt:lpstr>KagenSn</vt:lpstr>
      <vt:lpstr>Kainame</vt:lpstr>
      <vt:lpstr>KaisiBi</vt:lpstr>
      <vt:lpstr>KaisiCell</vt:lpstr>
      <vt:lpstr>KikanE</vt:lpstr>
      <vt:lpstr>KikanS</vt:lpstr>
      <vt:lpstr>KokyakuSiji</vt:lpstr>
      <vt:lpstr>LabAri</vt:lpstr>
      <vt:lpstr>Label</vt:lpstr>
      <vt:lpstr>LabNasi</vt:lpstr>
      <vt:lpstr>LabTenIti</vt:lpstr>
      <vt:lpstr>List</vt:lpstr>
      <vt:lpstr>Nagasa</vt:lpstr>
      <vt:lpstr>NyukaBi</vt:lpstr>
      <vt:lpstr>NyukaSuu</vt:lpstr>
      <vt:lpstr>Omosa</vt:lpstr>
      <vt:lpstr>OmosaMin</vt:lpstr>
      <vt:lpstr>指図書!Print_Area</vt:lpstr>
      <vt:lpstr>設定値!Print_Area</vt:lpstr>
      <vt:lpstr>RaDataUp</vt:lpstr>
      <vt:lpstr>RaDateE</vt:lpstr>
      <vt:lpstr>RaDateS</vt:lpstr>
      <vt:lpstr>RaDbData</vt:lpstr>
      <vt:lpstr>RadiW</vt:lpstr>
      <vt:lpstr>RadixWW</vt:lpstr>
      <vt:lpstr>RateData</vt:lpstr>
      <vt:lpstr>RateTBL</vt:lpstr>
      <vt:lpstr>Rireki</vt:lpstr>
      <vt:lpstr>RituSenKei</vt:lpstr>
      <vt:lpstr>RowN</vt:lpstr>
      <vt:lpstr>SakuseiBi</vt:lpstr>
      <vt:lpstr>SeiH0I</vt:lpstr>
      <vt:lpstr>SeiH20I</vt:lpstr>
      <vt:lpstr>SeiH20M</vt:lpstr>
      <vt:lpstr>SeiH30I</vt:lpstr>
      <vt:lpstr>SeiH30M</vt:lpstr>
      <vt:lpstr>SeiH40I</vt:lpstr>
      <vt:lpstr>SeiH40M</vt:lpstr>
      <vt:lpstr>SeiH50I</vt:lpstr>
      <vt:lpstr>SeiH50M</vt:lpstr>
      <vt:lpstr>SeiH60M</vt:lpstr>
      <vt:lpstr>SenAri</vt:lpstr>
      <vt:lpstr>SenIti</vt:lpstr>
      <vt:lpstr>SenItiHoka</vt:lpstr>
      <vt:lpstr>SenItiNaka</vt:lpstr>
      <vt:lpstr>SenKei</vt:lpstr>
      <vt:lpstr>SenNasi</vt:lpstr>
      <vt:lpstr>SenRitu</vt:lpstr>
      <vt:lpstr>SenRituS</vt:lpstr>
      <vt:lpstr>SenSyu</vt:lpstr>
      <vt:lpstr>SetHouhou</vt:lpstr>
      <vt:lpstr>SetJikan</vt:lpstr>
      <vt:lpstr>SetJikanS</vt:lpstr>
      <vt:lpstr>SetRitu</vt:lpstr>
      <vt:lpstr>SetSentaku</vt:lpstr>
      <vt:lpstr>SetSonota</vt:lpstr>
      <vt:lpstr>SetSuu</vt:lpstr>
      <vt:lpstr>SheetCal</vt:lpstr>
      <vt:lpstr>SheetHr</vt:lpstr>
      <vt:lpstr>SiteiSn</vt:lpstr>
      <vt:lpstr>SpkFolder</vt:lpstr>
      <vt:lpstr>Takasa</vt:lpstr>
      <vt:lpstr>TokSijNasi</vt:lpstr>
      <vt:lpstr>TokSujiAri</vt:lpstr>
      <vt:lpstr>Uno</vt:lpstr>
      <vt:lpstr>YousikiName</vt:lpstr>
      <vt:lpstr>YousikiNo</vt:lpstr>
      <vt:lpstr>作成者</vt:lpstr>
    </vt:vector>
  </TitlesOfParts>
  <Company>ラジエ工業株式会社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RIC-205</dc:creator>
  <cp:lastModifiedBy>Admin</cp:lastModifiedBy>
  <cp:lastPrinted>2017-01-05T05:23:41Z</cp:lastPrinted>
  <dcterms:created xsi:type="dcterms:W3CDTF">2014-05-02T07:48:22Z</dcterms:created>
  <dcterms:modified xsi:type="dcterms:W3CDTF">2020-05-12T02:42:14Z</dcterms:modified>
</cp:coreProperties>
</file>