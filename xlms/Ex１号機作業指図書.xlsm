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D1B749D8-0F71-49EA-BB54-7E4730EF0D3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指図書" sheetId="1" r:id="rId1"/>
    <sheet name="線量率登録" sheetId="4" r:id="rId2"/>
    <sheet name="改訂履歴" sheetId="6" r:id="rId3"/>
    <sheet name="設定値" sheetId="2" r:id="rId4"/>
    <sheet name="ソフト変更履歴" sheetId="3" r:id="rId5"/>
    <sheet name="Sheet1" sheetId="7" r:id="rId6"/>
  </sheets>
  <functionGroups builtInGroupCount="19"/>
  <definedNames>
    <definedName name="_xlnm._FilterDatabase" localSheetId="5" hidden="1">Sheet1!$A$1:$G$1281</definedName>
    <definedName name="AE132A">指図書!$S$50</definedName>
    <definedName name="AE132AA">指図書!$T$42</definedName>
    <definedName name="Bikou">指図書!$B$59</definedName>
    <definedName name="Bikou2">指図書!$C$59</definedName>
    <definedName name="Ceff">指図書!$S$39</definedName>
    <definedName name="CiAri">指図書!$P$53</definedName>
    <definedName name="CiNasi">指図書!$R$53</definedName>
    <definedName name="CIumu">設定値!$Q$3</definedName>
    <definedName name="Coeff">指図書!$S$39</definedName>
    <definedName name="ColN">設定値!$C$15</definedName>
    <definedName name="DaiTakasa">指図書!$N$34</definedName>
    <definedName name="DBTourokuUMU">設定値!$H$11</definedName>
    <definedName name="Debug">指図書!$A$1</definedName>
    <definedName name="DoseR0">設定値!$G$8</definedName>
    <definedName name="DoseR20">設定値!$G$7</definedName>
    <definedName name="DoseR30">設定値!$G$6</definedName>
    <definedName name="DoseR40">設定値!$G$5</definedName>
    <definedName name="DoseR50">設定値!$G$4</definedName>
    <definedName name="Eday">指図書!$AA$4</definedName>
    <definedName name="Haba">指図書!$L$30</definedName>
    <definedName name="HakoHaba">指図書!$J$10</definedName>
    <definedName name="HakoMax">設定値!#REF!</definedName>
    <definedName name="HakoMin">設定値!$C$11</definedName>
    <definedName name="HakoNagasa">指図書!$N$10</definedName>
    <definedName name="HakoTakasa">指図書!$R$10</definedName>
    <definedName name="HanJyouGe">指図書!$K$45</definedName>
    <definedName name="HanSayuu">指図書!$O$45</definedName>
    <definedName name="HanSonota">指図書!$S$45</definedName>
    <definedName name="Hanten">設定値!$L$3</definedName>
    <definedName name="HantenSu">指図書!$J$44</definedName>
    <definedName name="Hennkou">設定値!$J$19</definedName>
    <definedName name="Hogobann">指図書!$J$21</definedName>
    <definedName name="HogobannR">設定値!$B$11</definedName>
    <definedName name="Horei">指図書!$I$55</definedName>
    <definedName name="HoreiHou">指図書!$K$55</definedName>
    <definedName name="HoreiMu">指図書!$Q$55</definedName>
    <definedName name="JyougSn">指図書!$N$49</definedName>
    <definedName name="KagenSn">指図書!$S$49</definedName>
    <definedName name="Kainame">指図書!$E$5</definedName>
    <definedName name="KaisiBi">指図書!$N$8</definedName>
    <definedName name="KaisiCell">指図書!$B$3</definedName>
    <definedName name="KikanE">指図書!$S$8</definedName>
    <definedName name="KikanS">設定値!$B$4</definedName>
    <definedName name="KokyakuSiji">設定値!$R$3</definedName>
    <definedName name="LabAri">指図書!$I$53</definedName>
    <definedName name="Label">設定値!$P$3</definedName>
    <definedName name="LabNasi">指図書!$U$53</definedName>
    <definedName name="LabTenIti">指図書!$M$53</definedName>
    <definedName name="List">設定値!$C$4:$C$5</definedName>
    <definedName name="Nagasa">指図書!$P$28</definedName>
    <definedName name="NyukaBi">指図書!$AA$5</definedName>
    <definedName name="NyukaSuu">指図書!$U$19</definedName>
    <definedName name="Omosa">指図書!$J$11</definedName>
    <definedName name="OmosaMax">設定値!#REF!</definedName>
    <definedName name="OmosaMin">設定値!$E$11</definedName>
    <definedName name="_xlnm.Print_Area" localSheetId="0">指図書!$B$1:$X$58</definedName>
    <definedName name="_xlnm.Print_Area" localSheetId="3">設定値!$A$1:$J$8</definedName>
    <definedName name="RaDataUp">線量率登録!$E$10:$E$16</definedName>
    <definedName name="RaDateE">線量率登録!$D$5</definedName>
    <definedName name="RaDateS">線量率登録!$C$5</definedName>
    <definedName name="RaDbData">線量率登録!$J$9:$O$18</definedName>
    <definedName name="RadiW">指図書!$O$50</definedName>
    <definedName name="RadixWW">指図書!$P$42</definedName>
    <definedName name="RateData">設定値!$G$4:$G$9</definedName>
    <definedName name="RateTBL">設定値!$C$20:$I$50</definedName>
    <definedName name="Rireki">改訂履歴!$A$6:$D$105</definedName>
    <definedName name="RituSenKei">設定値!$K$9</definedName>
    <definedName name="RowN">設定値!$B$15</definedName>
    <definedName name="SakuseiBi">指図書!$E$3</definedName>
    <definedName name="SeiH0I">設定値!$E$8</definedName>
    <definedName name="SeiH20I">設定値!$E$7</definedName>
    <definedName name="SeiH20M">設定値!$F$8</definedName>
    <definedName name="SeiH30I">設定値!$E$6</definedName>
    <definedName name="SeiH30M">設定値!$F$7</definedName>
    <definedName name="SeiH40I">設定値!$E$5</definedName>
    <definedName name="SeiH40M">設定値!$F$6</definedName>
    <definedName name="SeiH50I">設定値!$E$4</definedName>
    <definedName name="SeiH50M">設定値!$F$5</definedName>
    <definedName name="SeiH60M">設定値!$F$4</definedName>
    <definedName name="SenAri">指図書!$I$47</definedName>
    <definedName name="SenIti">設定値!$N$3</definedName>
    <definedName name="SenItiHoka">指図書!$S$47</definedName>
    <definedName name="SenItiNaka">指図書!$O$47</definedName>
    <definedName name="SenKei">設定値!$M$3</definedName>
    <definedName name="SenNasi">指図書!$I$51</definedName>
    <definedName name="SenRitu">指図書!$R$41</definedName>
    <definedName name="SenRituS">指図書!$R$38</definedName>
    <definedName name="SenSyu">設定値!$O$3</definedName>
    <definedName name="SetHouhou">指図書!$I$38</definedName>
    <definedName name="SetJikan">指図書!$U$41</definedName>
    <definedName name="SetJikanS">指図書!$U$38</definedName>
    <definedName name="SetRitu">指図書!$I$41</definedName>
    <definedName name="SetSentaku">設定値!$K$3</definedName>
    <definedName name="SetSonota">指図書!$I$40</definedName>
    <definedName name="SetSuu">指図書!$P$19</definedName>
    <definedName name="SheetCal">指図書!$I$39</definedName>
    <definedName name="SheetHr">設定値!$G$9</definedName>
    <definedName name="SiteiSn">指図書!$N$48</definedName>
    <definedName name="SpkFolder">設定値!$F$11</definedName>
    <definedName name="Takasa">指図書!$S$26</definedName>
    <definedName name="TokSijNasi">指図書!$L$57</definedName>
    <definedName name="TokSujiAri">指図書!$I$57</definedName>
    <definedName name="Uno">指図書!$E$4</definedName>
    <definedName name="YousikiName">改訂履歴!$A$4</definedName>
    <definedName name="YousikiNo">改訂履歴!$D$4</definedName>
    <definedName name="作成者">指図書!$V$4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6" l="1"/>
  <c r="B2" i="1"/>
  <c r="H11" i="2" l="1"/>
  <c r="B4" i="2" l="1"/>
  <c r="U39" i="1" l="1"/>
  <c r="N8" i="4" l="1"/>
  <c r="L8" i="4"/>
  <c r="J8" i="4"/>
  <c r="J20" i="2" l="1"/>
  <c r="J50" i="2" l="1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AA3" i="1"/>
  <c r="J19" i="2" l="1"/>
  <c r="K7" i="2"/>
  <c r="R10" i="1" l="1"/>
  <c r="N10" i="1"/>
  <c r="J10" i="1"/>
  <c r="AA4" i="1" l="1"/>
  <c r="T31" i="1" l="1"/>
  <c r="R5" i="2" l="1"/>
  <c r="R4" i="2"/>
  <c r="Q5" i="2"/>
  <c r="Q4" i="2"/>
  <c r="P5" i="2"/>
  <c r="P4" i="2"/>
  <c r="O5" i="2"/>
  <c r="O4" i="2"/>
  <c r="N5" i="2"/>
  <c r="N4" i="2"/>
  <c r="M5" i="2"/>
  <c r="M4" i="2"/>
  <c r="L6" i="2"/>
  <c r="L5" i="2"/>
  <c r="L4" i="2"/>
  <c r="K6" i="2"/>
  <c r="K5" i="2"/>
  <c r="K4" i="2"/>
  <c r="K3" i="2" l="1"/>
  <c r="M3" i="2"/>
  <c r="R3" i="2"/>
  <c r="P3" i="2"/>
  <c r="Q3" i="2"/>
  <c r="O3" i="2"/>
  <c r="N3" i="2"/>
  <c r="L3" i="2"/>
  <c r="K11" i="2"/>
  <c r="K10" i="2"/>
  <c r="U32" i="1"/>
  <c r="K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A5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入荷日は箱寸法測定日で検索時ファイル名指定に使用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C5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登録又は表示する始の年月日を入力</t>
        </r>
      </text>
    </comment>
    <comment ref="D5" authorId="0" shapeId="0" xr:uid="{00000000-0006-0000-01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登録又は表示する終の年月日を入力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H1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0の場合DB
（RATETBL)未登録</t>
        </r>
      </text>
    </comment>
    <comment ref="J19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99は日付期間中に変更無
99以下は変更があったNo</t>
        </r>
      </text>
    </comment>
  </commentList>
</comments>
</file>

<file path=xl/sharedStrings.xml><?xml version="1.0" encoding="utf-8"?>
<sst xmlns="http://schemas.openxmlformats.org/spreadsheetml/2006/main" count="2944" uniqueCount="1505">
  <si>
    <t>受付番号</t>
    <rPh sb="0" eb="2">
      <t>ウケツケ</t>
    </rPh>
    <rPh sb="2" eb="4">
      <t>バンゴウ</t>
    </rPh>
    <phoneticPr fontId="1"/>
  </si>
  <si>
    <t>顧客名</t>
    <rPh sb="0" eb="2">
      <t>コキャク</t>
    </rPh>
    <rPh sb="2" eb="3">
      <t>メイ</t>
    </rPh>
    <phoneticPr fontId="1"/>
  </si>
  <si>
    <t>確認者</t>
    <rPh sb="0" eb="2">
      <t>カクニン</t>
    </rPh>
    <rPh sb="2" eb="3">
      <t>シャ</t>
    </rPh>
    <phoneticPr fontId="1"/>
  </si>
  <si>
    <t>作成者</t>
    <rPh sb="0" eb="3">
      <t>サクセイシャ</t>
    </rPh>
    <phoneticPr fontId="1"/>
  </si>
  <si>
    <t>No.</t>
    <phoneticPr fontId="1"/>
  </si>
  <si>
    <t>製品寸法</t>
    <rPh sb="0" eb="2">
      <t>セイヒン</t>
    </rPh>
    <rPh sb="2" eb="4">
      <t>スンポウ</t>
    </rPh>
    <phoneticPr fontId="1"/>
  </si>
  <si>
    <t>重量</t>
    <rPh sb="0" eb="2">
      <t>ジュウリョウ</t>
    </rPh>
    <phoneticPr fontId="1"/>
  </si>
  <si>
    <t>セット方法</t>
    <rPh sb="3" eb="5">
      <t>ホウホウ</t>
    </rPh>
    <phoneticPr fontId="1"/>
  </si>
  <si>
    <t>　位置</t>
    <rPh sb="1" eb="3">
      <t>イチ</t>
    </rPh>
    <phoneticPr fontId="1"/>
  </si>
  <si>
    <t>北西</t>
    <rPh sb="0" eb="1">
      <t>キタ</t>
    </rPh>
    <rPh sb="1" eb="2">
      <t>ニシ</t>
    </rPh>
    <phoneticPr fontId="1"/>
  </si>
  <si>
    <t>北中</t>
    <rPh sb="0" eb="1">
      <t>キタ</t>
    </rPh>
    <rPh sb="1" eb="2">
      <t>チュウ</t>
    </rPh>
    <phoneticPr fontId="1"/>
  </si>
  <si>
    <t>北東</t>
    <rPh sb="0" eb="1">
      <t>キタ</t>
    </rPh>
    <rPh sb="1" eb="2">
      <t>ヒガシ</t>
    </rPh>
    <phoneticPr fontId="1"/>
  </si>
  <si>
    <t>南西</t>
    <rPh sb="0" eb="1">
      <t>ミナミ</t>
    </rPh>
    <rPh sb="1" eb="2">
      <t>ニシ</t>
    </rPh>
    <phoneticPr fontId="1"/>
  </si>
  <si>
    <t>南中</t>
    <rPh sb="0" eb="1">
      <t>ミナミ</t>
    </rPh>
    <rPh sb="1" eb="2">
      <t>ナカ</t>
    </rPh>
    <phoneticPr fontId="1"/>
  </si>
  <si>
    <t>kg</t>
    <phoneticPr fontId="1"/>
  </si>
  <si>
    <t>cm</t>
    <phoneticPr fontId="1"/>
  </si>
  <si>
    <t>セット図</t>
    <rPh sb="3" eb="4">
      <t>ズ</t>
    </rPh>
    <phoneticPr fontId="1"/>
  </si>
  <si>
    <t>照射時間または</t>
    <rPh sb="0" eb="2">
      <t>ショウシャ</t>
    </rPh>
    <rPh sb="2" eb="4">
      <t>ジカン</t>
    </rPh>
    <phoneticPr fontId="1"/>
  </si>
  <si>
    <t>線量率（どちらも小数点</t>
    <rPh sb="0" eb="3">
      <t>センリョウリツ</t>
    </rPh>
    <rPh sb="8" eb="11">
      <t>ショウスウテン</t>
    </rPh>
    <phoneticPr fontId="1"/>
  </si>
  <si>
    <t>以下第４位切り上げ）</t>
    <rPh sb="0" eb="2">
      <t>イカ</t>
    </rPh>
    <rPh sb="2" eb="3">
      <t>ダイ</t>
    </rPh>
    <rPh sb="4" eb="5">
      <t>イ</t>
    </rPh>
    <rPh sb="5" eb="6">
      <t>キ</t>
    </rPh>
    <rPh sb="7" eb="8">
      <t>ア</t>
    </rPh>
    <phoneticPr fontId="1"/>
  </si>
  <si>
    <t>時間</t>
    <rPh sb="0" eb="2">
      <t>ジカン</t>
    </rPh>
    <phoneticPr fontId="1"/>
  </si>
  <si>
    <t>反転</t>
    <rPh sb="0" eb="2">
      <t>ハンテン</t>
    </rPh>
    <phoneticPr fontId="1"/>
  </si>
  <si>
    <t>回転</t>
    <rPh sb="0" eb="2">
      <t>カイテン</t>
    </rPh>
    <phoneticPr fontId="1"/>
  </si>
  <si>
    <t>回転：</t>
    <rPh sb="0" eb="2">
      <t>カイテン</t>
    </rPh>
    <phoneticPr fontId="1"/>
  </si>
  <si>
    <t>回反転（無は０）</t>
    <rPh sb="0" eb="1">
      <t>カイ</t>
    </rPh>
    <rPh sb="1" eb="3">
      <t>ハンテン</t>
    </rPh>
    <rPh sb="4" eb="5">
      <t>ナシ</t>
    </rPh>
    <phoneticPr fontId="1"/>
  </si>
  <si>
    <t>上下反転</t>
    <rPh sb="0" eb="2">
      <t>ジョウゲ</t>
    </rPh>
    <rPh sb="2" eb="4">
      <t>ハンテン</t>
    </rPh>
    <phoneticPr fontId="1"/>
  </si>
  <si>
    <t>左右反転</t>
    <rPh sb="0" eb="2">
      <t>サユウ</t>
    </rPh>
    <rPh sb="2" eb="4">
      <t>ハンテン</t>
    </rPh>
    <phoneticPr fontId="1"/>
  </si>
  <si>
    <t>有</t>
    <rPh sb="0" eb="1">
      <t>ユウ</t>
    </rPh>
    <phoneticPr fontId="1"/>
  </si>
  <si>
    <t>照射管理ラベル</t>
    <rPh sb="0" eb="2">
      <t>ショウシャ</t>
    </rPh>
    <rPh sb="2" eb="4">
      <t>カンリ</t>
    </rPh>
    <phoneticPr fontId="1"/>
  </si>
  <si>
    <t>有（貼付位置：</t>
    <rPh sb="0" eb="1">
      <t>ユウ</t>
    </rPh>
    <rPh sb="2" eb="4">
      <t>テンプ</t>
    </rPh>
    <rPh sb="4" eb="6">
      <t>イチ</t>
    </rPh>
    <phoneticPr fontId="1"/>
  </si>
  <si>
    <t>ＣＩ：</t>
    <phoneticPr fontId="1"/>
  </si>
  <si>
    <t>無）</t>
    <rPh sb="0" eb="1">
      <t>ム</t>
    </rPh>
    <phoneticPr fontId="1"/>
  </si>
  <si>
    <t>無</t>
    <rPh sb="0" eb="1">
      <t>ム</t>
    </rPh>
    <phoneticPr fontId="1"/>
  </si>
  <si>
    <t>その他（温度管理等）</t>
    <rPh sb="2" eb="3">
      <t>タ</t>
    </rPh>
    <rPh sb="4" eb="6">
      <t>オンド</t>
    </rPh>
    <rPh sb="6" eb="8">
      <t>カンリ</t>
    </rPh>
    <rPh sb="8" eb="9">
      <t>トウ</t>
    </rPh>
    <phoneticPr fontId="1"/>
  </si>
  <si>
    <t>寸法：</t>
    <rPh sb="0" eb="2">
      <t>スンポウ</t>
    </rPh>
    <phoneticPr fontId="1"/>
  </si>
  <si>
    <t>重量：</t>
    <rPh sb="0" eb="2">
      <t>ジュウリョウ</t>
    </rPh>
    <phoneticPr fontId="1"/>
  </si>
  <si>
    <t>方法：</t>
    <rPh sb="0" eb="2">
      <t>ホウホウ</t>
    </rPh>
    <phoneticPr fontId="1"/>
  </si>
  <si>
    <t>貼付位置：</t>
    <rPh sb="0" eb="2">
      <t>テンプ</t>
    </rPh>
    <rPh sb="2" eb="4">
      <t>イチ</t>
    </rPh>
    <phoneticPr fontId="1"/>
  </si>
  <si>
    <t>最下部中央</t>
  </si>
  <si>
    <t>指定線量：</t>
    <rPh sb="0" eb="2">
      <t>シテイ</t>
    </rPh>
    <rPh sb="2" eb="4">
      <t>センリョウ</t>
    </rPh>
    <phoneticPr fontId="1"/>
  </si>
  <si>
    <t>ｋGy</t>
    <phoneticPr fontId="1"/>
  </si>
  <si>
    <t>合格範囲：上限</t>
    <rPh sb="0" eb="2">
      <t>ゴウカク</t>
    </rPh>
    <rPh sb="2" eb="4">
      <t>ハンイ</t>
    </rPh>
    <rPh sb="5" eb="7">
      <t>ジョウゲン</t>
    </rPh>
    <phoneticPr fontId="1"/>
  </si>
  <si>
    <t>下限</t>
    <rPh sb="0" eb="2">
      <t>カゲン</t>
    </rPh>
    <phoneticPr fontId="1"/>
  </si>
  <si>
    <t>RadixW</t>
    <phoneticPr fontId="1"/>
  </si>
  <si>
    <t>AE-132a</t>
    <phoneticPr fontId="1"/>
  </si>
  <si>
    <t>確認者
ﾁｪｯｸ</t>
    <rPh sb="0" eb="2">
      <t>カクニン</t>
    </rPh>
    <rPh sb="2" eb="3">
      <t>シャ</t>
    </rPh>
    <phoneticPr fontId="1"/>
  </si>
  <si>
    <t>□</t>
    <phoneticPr fontId="1"/>
  </si>
  <si>
    <t>顧客先の指示書等</t>
    <rPh sb="0" eb="2">
      <t>コキャク</t>
    </rPh>
    <rPh sb="2" eb="3">
      <t>サキ</t>
    </rPh>
    <rPh sb="4" eb="7">
      <t>シジショ</t>
    </rPh>
    <rPh sb="7" eb="8">
      <t>トウ</t>
    </rPh>
    <phoneticPr fontId="1"/>
  </si>
  <si>
    <t>有</t>
    <rPh sb="0" eb="1">
      <t>ユウ</t>
    </rPh>
    <phoneticPr fontId="1"/>
  </si>
  <si>
    <t>無</t>
    <rPh sb="0" eb="1">
      <t>ム</t>
    </rPh>
    <phoneticPr fontId="1"/>
  </si>
  <si>
    <t>開始日</t>
    <rPh sb="0" eb="3">
      <t>カイシビ</t>
    </rPh>
    <phoneticPr fontId="1"/>
  </si>
  <si>
    <t>台高さ
(cm)</t>
    <rPh sb="0" eb="1">
      <t>ダイ</t>
    </rPh>
    <rPh sb="1" eb="2">
      <t>タカ</t>
    </rPh>
    <phoneticPr fontId="1"/>
  </si>
  <si>
    <t>製品高さ範囲(cm)</t>
    <rPh sb="0" eb="2">
      <t>セイヒン</t>
    </rPh>
    <rPh sb="2" eb="3">
      <t>タカ</t>
    </rPh>
    <rPh sb="4" eb="6">
      <t>ハンイ</t>
    </rPh>
    <phoneticPr fontId="1"/>
  </si>
  <si>
    <t>③の選択</t>
    <rPh sb="2" eb="4">
      <t>センタク</t>
    </rPh>
    <phoneticPr fontId="1"/>
  </si>
  <si>
    <t>④反転方法</t>
    <rPh sb="1" eb="3">
      <t>ハンテン</t>
    </rPh>
    <rPh sb="3" eb="5">
      <t>ホウホウ</t>
    </rPh>
    <phoneticPr fontId="1"/>
  </si>
  <si>
    <t>選択リスト</t>
    <rPh sb="0" eb="2">
      <t>センタク</t>
    </rPh>
    <phoneticPr fontId="1"/>
  </si>
  <si>
    <t>■</t>
    <phoneticPr fontId="1"/>
  </si>
  <si>
    <t>□</t>
    <phoneticPr fontId="1"/>
  </si>
  <si>
    <t>⑤線量計</t>
    <rPh sb="1" eb="3">
      <t>センリョウ</t>
    </rPh>
    <rPh sb="3" eb="4">
      <t>ケイ</t>
    </rPh>
    <phoneticPr fontId="1"/>
  </si>
  <si>
    <t>線量計添付位置</t>
    <rPh sb="0" eb="2">
      <t>センリョウ</t>
    </rPh>
    <rPh sb="2" eb="3">
      <t>ケイ</t>
    </rPh>
    <rPh sb="3" eb="5">
      <t>テンプ</t>
    </rPh>
    <rPh sb="5" eb="7">
      <t>イチ</t>
    </rPh>
    <phoneticPr fontId="1"/>
  </si>
  <si>
    <t>⑥管理ラベル</t>
    <rPh sb="1" eb="3">
      <t>カンリ</t>
    </rPh>
    <phoneticPr fontId="1"/>
  </si>
  <si>
    <t>⑥CI貼付</t>
    <rPh sb="3" eb="5">
      <t>テンプ</t>
    </rPh>
    <phoneticPr fontId="1"/>
  </si>
  <si>
    <t>⑧顧客指示</t>
    <rPh sb="1" eb="3">
      <t>コキャク</t>
    </rPh>
    <rPh sb="3" eb="5">
      <t>シジ</t>
    </rPh>
    <phoneticPr fontId="1"/>
  </si>
  <si>
    <t>線量率</t>
    <rPh sb="0" eb="2">
      <t>センリョウ</t>
    </rPh>
    <rPh sb="2" eb="3">
      <t>リツ</t>
    </rPh>
    <phoneticPr fontId="1"/>
  </si>
  <si>
    <t>ｋGy/h</t>
    <phoneticPr fontId="1"/>
  </si>
  <si>
    <t>線量率</t>
    <rPh sb="0" eb="3">
      <t>センリョウリツ</t>
    </rPh>
    <phoneticPr fontId="1"/>
  </si>
  <si>
    <t>「１号機ｾｯﾄ方法」から算出</t>
    <rPh sb="2" eb="4">
      <t>ゴウキ</t>
    </rPh>
    <rPh sb="7" eb="9">
      <t>ホウホウ</t>
    </rPh>
    <rPh sb="12" eb="14">
      <t>サンシュツ</t>
    </rPh>
    <phoneticPr fontId="1"/>
  </si>
  <si>
    <t>保護板からの距離(cm)</t>
    <rPh sb="0" eb="2">
      <t>ホゴ</t>
    </rPh>
    <rPh sb="2" eb="3">
      <t>バン</t>
    </rPh>
    <rPh sb="6" eb="8">
      <t>キョリ</t>
    </rPh>
    <phoneticPr fontId="1"/>
  </si>
  <si>
    <t>線量率測定結果から算出</t>
    <rPh sb="0" eb="3">
      <t>センリョウリツ</t>
    </rPh>
    <rPh sb="3" eb="5">
      <t>ソクテイ</t>
    </rPh>
    <rPh sb="5" eb="7">
      <t>ケッカ</t>
    </rPh>
    <rPh sb="9" eb="11">
      <t>サンシュツ</t>
    </rPh>
    <phoneticPr fontId="1"/>
  </si>
  <si>
    <t>　セット図　セット数</t>
    <rPh sb="4" eb="5">
      <t>ズ</t>
    </rPh>
    <rPh sb="9" eb="10">
      <t>スウ</t>
    </rPh>
    <phoneticPr fontId="1"/>
  </si>
  <si>
    <t>セット数</t>
    <rPh sb="3" eb="4">
      <t>スウ</t>
    </rPh>
    <phoneticPr fontId="1"/>
  </si>
  <si>
    <t>箱</t>
    <rPh sb="0" eb="1">
      <t>ハコ</t>
    </rPh>
    <phoneticPr fontId="1"/>
  </si>
  <si>
    <t>セット位置（ｾｯﾄ者は下図該当箇所に○印）</t>
    <rPh sb="3" eb="5">
      <t>イチ</t>
    </rPh>
    <rPh sb="9" eb="10">
      <t>シャ</t>
    </rPh>
    <rPh sb="11" eb="12">
      <t>カ</t>
    </rPh>
    <rPh sb="13" eb="15">
      <t>ガイトウ</t>
    </rPh>
    <rPh sb="15" eb="17">
      <t>カショ</t>
    </rPh>
    <rPh sb="19" eb="20">
      <t>シルシ</t>
    </rPh>
    <phoneticPr fontId="1"/>
  </si>
  <si>
    <t>箱</t>
    <rPh sb="0" eb="1">
      <t>ハコ</t>
    </rPh>
    <phoneticPr fontId="1"/>
  </si>
  <si>
    <t>受付数</t>
    <rPh sb="0" eb="2">
      <t>ウケツケ</t>
    </rPh>
    <rPh sb="2" eb="3">
      <t>スウ</t>
    </rPh>
    <phoneticPr fontId="1"/>
  </si>
  <si>
    <t>開始列</t>
    <rPh sb="0" eb="2">
      <t>カイシ</t>
    </rPh>
    <rPh sb="2" eb="3">
      <t>レツ</t>
    </rPh>
    <phoneticPr fontId="1"/>
  </si>
  <si>
    <t>開始行</t>
    <rPh sb="0" eb="2">
      <t>カイシ</t>
    </rPh>
    <rPh sb="2" eb="3">
      <t>ギョウ</t>
    </rPh>
    <phoneticPr fontId="1"/>
  </si>
  <si>
    <t>指示書印刷先頭セル位置(この機能無）</t>
    <rPh sb="0" eb="3">
      <t>シジショ</t>
    </rPh>
    <rPh sb="3" eb="5">
      <t>インサツ</t>
    </rPh>
    <rPh sb="5" eb="7">
      <t>セントウ</t>
    </rPh>
    <rPh sb="9" eb="11">
      <t>イチ</t>
    </rPh>
    <rPh sb="14" eb="16">
      <t>キノウ</t>
    </rPh>
    <rPh sb="16" eb="17">
      <t>ナシ</t>
    </rPh>
    <phoneticPr fontId="1"/>
  </si>
  <si>
    <t>貼付する線量計種類</t>
    <rPh sb="0" eb="2">
      <t>テンプ</t>
    </rPh>
    <rPh sb="4" eb="6">
      <t>センリョウ</t>
    </rPh>
    <rPh sb="6" eb="7">
      <t>ケイ</t>
    </rPh>
    <rPh sb="7" eb="9">
      <t>シュルイ</t>
    </rPh>
    <phoneticPr fontId="1"/>
  </si>
  <si>
    <t>使用する線量計の種類</t>
    <rPh sb="0" eb="2">
      <t>シヨウ</t>
    </rPh>
    <rPh sb="4" eb="6">
      <t>センリョウ</t>
    </rPh>
    <rPh sb="6" eb="7">
      <t>ケイ</t>
    </rPh>
    <rPh sb="8" eb="10">
      <t>シュルイ</t>
    </rPh>
    <phoneticPr fontId="1"/>
  </si>
  <si>
    <t>RadixW</t>
    <phoneticPr fontId="1"/>
  </si>
  <si>
    <t/>
  </si>
  <si>
    <t>照射時線量計貼付</t>
    <rPh sb="0" eb="2">
      <t>ショウシャ</t>
    </rPh>
    <rPh sb="2" eb="3">
      <t>ジ</t>
    </rPh>
    <rPh sb="3" eb="5">
      <t>センリョウ</t>
    </rPh>
    <rPh sb="5" eb="6">
      <t>ケイ</t>
    </rPh>
    <rPh sb="6" eb="8">
      <t>テンプ</t>
    </rPh>
    <phoneticPr fontId="1"/>
  </si>
  <si>
    <t>⑤の貼付
線量計</t>
    <rPh sb="2" eb="4">
      <t>テンプ</t>
    </rPh>
    <rPh sb="5" eb="7">
      <t>センリョウ</t>
    </rPh>
    <rPh sb="7" eb="8">
      <t>ケイ</t>
    </rPh>
    <phoneticPr fontId="1"/>
  </si>
  <si>
    <t>③の使用する線量計</t>
    <rPh sb="2" eb="4">
      <t>シヨウ</t>
    </rPh>
    <rPh sb="6" eb="8">
      <t>センリョウ</t>
    </rPh>
    <rPh sb="8" eb="9">
      <t>ケイ</t>
    </rPh>
    <phoneticPr fontId="1"/>
  </si>
  <si>
    <t>注）製品重量5kg未満で製品高さが50cm未満の場合の計算用線量率は0.9で除した値とする。</t>
    <rPh sb="0" eb="1">
      <t>チュウ</t>
    </rPh>
    <rPh sb="2" eb="4">
      <t>セイヒン</t>
    </rPh>
    <rPh sb="4" eb="6">
      <t>ジュウリョウ</t>
    </rPh>
    <rPh sb="9" eb="11">
      <t>ミマン</t>
    </rPh>
    <rPh sb="12" eb="14">
      <t>セイヒン</t>
    </rPh>
    <rPh sb="14" eb="15">
      <t>タカ</t>
    </rPh>
    <rPh sb="21" eb="23">
      <t>ミマン</t>
    </rPh>
    <rPh sb="24" eb="26">
      <t>バアイ</t>
    </rPh>
    <rPh sb="27" eb="30">
      <t>ケイサンヨウ</t>
    </rPh>
    <rPh sb="30" eb="33">
      <t>センリョウリツ</t>
    </rPh>
    <rPh sb="38" eb="39">
      <t>ジョ</t>
    </rPh>
    <rPh sb="41" eb="42">
      <t>アタイ</t>
    </rPh>
    <phoneticPr fontId="1"/>
  </si>
  <si>
    <t>南東</t>
    <rPh sb="0" eb="1">
      <t>ミナミ</t>
    </rPh>
    <rPh sb="1" eb="2">
      <t>トウ</t>
    </rPh>
    <phoneticPr fontId="1"/>
  </si>
  <si>
    <t>cm×</t>
    <phoneticPr fontId="1"/>
  </si>
  <si>
    <t>作成月日</t>
    <rPh sb="0" eb="2">
      <t>サクセイ</t>
    </rPh>
    <rPh sb="2" eb="4">
      <t>ツキヒ</t>
    </rPh>
    <rPh sb="3" eb="4">
      <t>ニチ</t>
    </rPh>
    <phoneticPr fontId="1"/>
  </si>
  <si>
    <t>厚さ２ｃｍ以下のｼｰﾄ算出</t>
    <rPh sb="0" eb="1">
      <t>アツ</t>
    </rPh>
    <rPh sb="5" eb="7">
      <t>イカ</t>
    </rPh>
    <rPh sb="11" eb="13">
      <t>サンシュツ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</si>
  <si>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</si>
  <si>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</si>
  <si>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</si>
  <si>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</si>
  <si>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</si>
  <si>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</si>
  <si>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</si>
  <si>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</si>
  <si>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</si>
  <si>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開始日確認</t>
    <rPh sb="0" eb="3">
      <t>カイシビ</t>
    </rPh>
    <rPh sb="3" eb="5">
      <t>カクニン</t>
    </rPh>
    <phoneticPr fontId="1"/>
  </si>
  <si>
    <t>１ 号 機 作 業 指 図 書
（製 品 仕 様 書 な し）
自動印字用BCR読み出し</t>
    <rPh sb="2" eb="3">
      <t>ゴウ</t>
    </rPh>
    <rPh sb="4" eb="5">
      <t>キ</t>
    </rPh>
    <rPh sb="6" eb="7">
      <t>サク</t>
    </rPh>
    <rPh sb="8" eb="9">
      <t>ギョウ</t>
    </rPh>
    <rPh sb="10" eb="11">
      <t>ユビ</t>
    </rPh>
    <rPh sb="12" eb="13">
      <t>ズ</t>
    </rPh>
    <rPh sb="14" eb="15">
      <t>ショ</t>
    </rPh>
    <rPh sb="17" eb="18">
      <t>セイ</t>
    </rPh>
    <rPh sb="19" eb="20">
      <t>ヒン</t>
    </rPh>
    <rPh sb="21" eb="22">
      <t>シ</t>
    </rPh>
    <rPh sb="23" eb="24">
      <t>サマ</t>
    </rPh>
    <rPh sb="25" eb="26">
      <t>ショ</t>
    </rPh>
    <rPh sb="32" eb="34">
      <t>ジドウ</t>
    </rPh>
    <rPh sb="34" eb="36">
      <t>インジ</t>
    </rPh>
    <rPh sb="36" eb="37">
      <t>ヨウ</t>
    </rPh>
    <rPh sb="40" eb="41">
      <t>ヨ</t>
    </rPh>
    <rPh sb="42" eb="43">
      <t>ダ</t>
    </rPh>
    <phoneticPr fontId="1"/>
  </si>
  <si>
    <t>照射開始期間</t>
    <rPh sb="0" eb="2">
      <t>ショウシャ</t>
    </rPh>
    <rPh sb="2" eb="4">
      <t>カイシ</t>
    </rPh>
    <rPh sb="4" eb="6">
      <t>キカン</t>
    </rPh>
    <phoneticPr fontId="1"/>
  </si>
  <si>
    <t>から</t>
    <phoneticPr fontId="1"/>
  </si>
  <si>
    <t>日付</t>
    <rPh sb="0" eb="2">
      <t>ヒヅケ</t>
    </rPh>
    <phoneticPr fontId="1"/>
  </si>
  <si>
    <t>箱高さ20cm</t>
    <rPh sb="0" eb="1">
      <t>ハコ</t>
    </rPh>
    <rPh sb="1" eb="2">
      <t>タカ</t>
    </rPh>
    <phoneticPr fontId="1"/>
  </si>
  <si>
    <t>箱高さ30cm</t>
    <rPh sb="0" eb="1">
      <t>ハコ</t>
    </rPh>
    <rPh sb="1" eb="2">
      <t>タカ</t>
    </rPh>
    <phoneticPr fontId="1"/>
  </si>
  <si>
    <t>箱高さ40cm</t>
    <rPh sb="0" eb="1">
      <t>ハコ</t>
    </rPh>
    <rPh sb="1" eb="2">
      <t>タカ</t>
    </rPh>
    <phoneticPr fontId="1"/>
  </si>
  <si>
    <t>厚さ2cm以下
ｼｰﾄ(*)</t>
    <rPh sb="0" eb="1">
      <t>アツ</t>
    </rPh>
    <rPh sb="5" eb="7">
      <t>イカ</t>
    </rPh>
    <phoneticPr fontId="1"/>
  </si>
  <si>
    <t>(*)時間（１０ｋGy)保護版より25ｃｍ、20cm台使用</t>
    <rPh sb="3" eb="5">
      <t>ジカン</t>
    </rPh>
    <rPh sb="12" eb="14">
      <t>ホゴ</t>
    </rPh>
    <rPh sb="14" eb="15">
      <t>バン</t>
    </rPh>
    <rPh sb="26" eb="27">
      <t>ダイ</t>
    </rPh>
    <rPh sb="27" eb="29">
      <t>シヨウ</t>
    </rPh>
    <phoneticPr fontId="1"/>
  </si>
  <si>
    <t>No</t>
    <phoneticPr fontId="1"/>
  </si>
  <si>
    <t>RATETBLのDB登録データ</t>
    <rPh sb="10" eb="12">
      <t>トウロク</t>
    </rPh>
    <phoneticPr fontId="1"/>
  </si>
  <si>
    <t>登録データ有無</t>
    <rPh sb="0" eb="2">
      <t>トウロク</t>
    </rPh>
    <rPh sb="5" eb="7">
      <t>ウム</t>
    </rPh>
    <phoneticPr fontId="1"/>
  </si>
  <si>
    <t>ｼｰﾄ照射時間(h)／10kGy →</t>
    <rPh sb="3" eb="5">
      <t>ショウシャ</t>
    </rPh>
    <rPh sb="5" eb="7">
      <t>ジカン</t>
    </rPh>
    <phoneticPr fontId="1"/>
  </si>
  <si>
    <t>kGy</t>
    <phoneticPr fontId="1"/>
  </si>
  <si>
    <t>指　　図　　内　　容　　(■の項目の条件で照射）</t>
    <rPh sb="0" eb="1">
      <t>ユビ</t>
    </rPh>
    <rPh sb="3" eb="4">
      <t>ズ</t>
    </rPh>
    <rPh sb="6" eb="7">
      <t>ナイ</t>
    </rPh>
    <rPh sb="9" eb="10">
      <t>カタチ</t>
    </rPh>
    <rPh sb="15" eb="17">
      <t>コウモク</t>
    </rPh>
    <rPh sb="18" eb="20">
      <t>ジョウケン</t>
    </rPh>
    <rPh sb="21" eb="23">
      <t>ショウシャ</t>
    </rPh>
    <phoneticPr fontId="1"/>
  </si>
  <si>
    <t>注：セル色が青は式が入っている</t>
    <rPh sb="0" eb="1">
      <t>チュウ</t>
    </rPh>
    <rPh sb="4" eb="5">
      <t>ショク</t>
    </rPh>
    <rPh sb="6" eb="7">
      <t>アオ</t>
    </rPh>
    <rPh sb="8" eb="9">
      <t>シキ</t>
    </rPh>
    <rPh sb="10" eb="11">
      <t>ハイ</t>
    </rPh>
    <phoneticPr fontId="1"/>
  </si>
  <si>
    <t>内容</t>
    <rPh sb="0" eb="2">
      <t>ナイヨウ</t>
    </rPh>
    <phoneticPr fontId="1"/>
  </si>
  <si>
    <t>作成／変更</t>
    <rPh sb="0" eb="2">
      <t>サクセイ</t>
    </rPh>
    <rPh sb="3" eb="5">
      <t>ヘンコウ</t>
    </rPh>
    <phoneticPr fontId="1"/>
  </si>
  <si>
    <t>作成</t>
    <rPh sb="0" eb="2">
      <t>サクセイ</t>
    </rPh>
    <phoneticPr fontId="1"/>
  </si>
  <si>
    <t>変更者</t>
    <rPh sb="0" eb="2">
      <t>ヘンコウ</t>
    </rPh>
    <rPh sb="2" eb="3">
      <t>シャ</t>
    </rPh>
    <phoneticPr fontId="1"/>
  </si>
  <si>
    <t>手書きによる作業指図書をDBに登録されているデータを必要か所に反映するようにした</t>
    <rPh sb="6" eb="8">
      <t>サギョウ</t>
    </rPh>
    <rPh sb="8" eb="11">
      <t>サシズショ</t>
    </rPh>
    <rPh sb="15" eb="17">
      <t>トウロク</t>
    </rPh>
    <rPh sb="26" eb="28">
      <t>ヒツヨウ</t>
    </rPh>
    <rPh sb="29" eb="30">
      <t>ショ</t>
    </rPh>
    <rPh sb="31" eb="33">
      <t>ハンエイ</t>
    </rPh>
    <phoneticPr fontId="1"/>
  </si>
  <si>
    <t>変更</t>
    <rPh sb="0" eb="2">
      <t>ヘンコウ</t>
    </rPh>
    <phoneticPr fontId="1"/>
  </si>
  <si>
    <t>小池剛太郎</t>
    <rPh sb="0" eb="2">
      <t>コイケ</t>
    </rPh>
    <rPh sb="2" eb="5">
      <t>ゴウタロウ</t>
    </rPh>
    <phoneticPr fontId="1"/>
  </si>
  <si>
    <t>現品票に記載されているバーコードを読込むことによって、自動測定機による製品の箱寸法と重量の測定データを取り込むようにした。</t>
    <rPh sb="27" eb="29">
      <t>ジドウ</t>
    </rPh>
    <rPh sb="29" eb="31">
      <t>ソクテイ</t>
    </rPh>
    <rPh sb="31" eb="32">
      <t>キ</t>
    </rPh>
    <rPh sb="45" eb="47">
      <t>ソクテイ</t>
    </rPh>
    <rPh sb="51" eb="52">
      <t>ト</t>
    </rPh>
    <rPh sb="53" eb="54">
      <t>コ</t>
    </rPh>
    <phoneticPr fontId="1"/>
  </si>
  <si>
    <t>斎藤敏夫</t>
    <rPh sb="0" eb="2">
      <t>サイトウ</t>
    </rPh>
    <rPh sb="2" eb="4">
      <t>トシオ</t>
    </rPh>
    <phoneticPr fontId="1"/>
  </si>
  <si>
    <t>使用開始日</t>
    <rPh sb="0" eb="2">
      <t>シヨウ</t>
    </rPh>
    <rPh sb="2" eb="5">
      <t>カイシビ</t>
    </rPh>
    <phoneticPr fontId="1"/>
  </si>
  <si>
    <t>箱寸法測定値読込先ﾌｫﾙﾀﾞｰ</t>
    <rPh sb="0" eb="1">
      <t>ハコ</t>
    </rPh>
    <rPh sb="1" eb="3">
      <t>スンポウ</t>
    </rPh>
    <rPh sb="3" eb="5">
      <t>ソクテイ</t>
    </rPh>
    <rPh sb="5" eb="6">
      <t>チ</t>
    </rPh>
    <rPh sb="6" eb="8">
      <t>ヨミコミ</t>
    </rPh>
    <rPh sb="8" eb="9">
      <t>サキ</t>
    </rPh>
    <phoneticPr fontId="1"/>
  </si>
  <si>
    <t>試験品照射場線量率登録・変更</t>
    <rPh sb="0" eb="2">
      <t>シケン</t>
    </rPh>
    <rPh sb="2" eb="3">
      <t>ヒン</t>
    </rPh>
    <rPh sb="3" eb="5">
      <t>ショウシャ</t>
    </rPh>
    <rPh sb="5" eb="6">
      <t>バ</t>
    </rPh>
    <rPh sb="6" eb="9">
      <t>センリョウリツ</t>
    </rPh>
    <rPh sb="9" eb="11">
      <t>トウロク</t>
    </rPh>
    <rPh sb="12" eb="14">
      <t>ヘンコウ</t>
    </rPh>
    <phoneticPr fontId="1"/>
  </si>
  <si>
    <t>箱高さ範囲（ｃｍ）</t>
    <rPh sb="0" eb="1">
      <t>ハコ</t>
    </rPh>
    <rPh sb="1" eb="2">
      <t>タカ</t>
    </rPh>
    <rPh sb="3" eb="5">
      <t>ハンイ</t>
    </rPh>
    <phoneticPr fontId="1"/>
  </si>
  <si>
    <t>Rate20</t>
    <phoneticPr fontId="1"/>
  </si>
  <si>
    <t>Rate30</t>
    <phoneticPr fontId="1"/>
  </si>
  <si>
    <t>Rate40</t>
    <phoneticPr fontId="1"/>
  </si>
  <si>
    <t>呼称</t>
    <rPh sb="0" eb="2">
      <t>コショウ</t>
    </rPh>
    <phoneticPr fontId="1"/>
  </si>
  <si>
    <t>線量１０ｋGy時の
厚さ２ｃｍ以下のシート照射時間</t>
    <rPh sb="0" eb="2">
      <t>センリョウ</t>
    </rPh>
    <rPh sb="7" eb="8">
      <t>ジ</t>
    </rPh>
    <rPh sb="10" eb="11">
      <t>アツ</t>
    </rPh>
    <rPh sb="15" eb="17">
      <t>イカ</t>
    </rPh>
    <rPh sb="21" eb="23">
      <t>ショウシャ</t>
    </rPh>
    <rPh sb="23" eb="25">
      <t>ジカン</t>
    </rPh>
    <phoneticPr fontId="1"/>
  </si>
  <si>
    <t>登録済ﾃﾞｰﾀ</t>
    <rPh sb="0" eb="2">
      <t>トウロク</t>
    </rPh>
    <rPh sb="2" eb="3">
      <t>スミ</t>
    </rPh>
    <phoneticPr fontId="1"/>
  </si>
  <si>
    <t>登録用ﾃﾞｰﾀ</t>
    <rPh sb="0" eb="2">
      <t>トウロク</t>
    </rPh>
    <rPh sb="2" eb="3">
      <t>ヨウ</t>
    </rPh>
    <phoneticPr fontId="1"/>
  </si>
  <si>
    <t>ｋGy/h</t>
    <phoneticPr fontId="1"/>
  </si>
  <si>
    <t>より大きく</t>
    <rPh sb="2" eb="3">
      <t>オオ</t>
    </rPh>
    <phoneticPr fontId="1"/>
  </si>
  <si>
    <t>以下</t>
    <rPh sb="0" eb="2">
      <t>イカ</t>
    </rPh>
    <phoneticPr fontId="1"/>
  </si>
  <si>
    <t>データ有効期間（年月日）</t>
    <rPh sb="3" eb="5">
      <t>ユウコウ</t>
    </rPh>
    <rPh sb="5" eb="7">
      <t>キカン</t>
    </rPh>
    <rPh sb="8" eb="11">
      <t>ネンガッピ</t>
    </rPh>
    <phoneticPr fontId="1"/>
  </si>
  <si>
    <t>重量による係数</t>
    <rPh sb="0" eb="2">
      <t>ジュウリョウ</t>
    </rPh>
    <rPh sb="5" eb="7">
      <t>ケイスウ</t>
    </rPh>
    <phoneticPr fontId="1"/>
  </si>
  <si>
    <t>製品中心と保護板間</t>
    <rPh sb="0" eb="2">
      <t>セイヒン</t>
    </rPh>
    <rPh sb="2" eb="4">
      <t>チュウシン</t>
    </rPh>
    <rPh sb="5" eb="7">
      <t>ホゴ</t>
    </rPh>
    <rPh sb="7" eb="8">
      <t>バン</t>
    </rPh>
    <rPh sb="8" eb="9">
      <t>カン</t>
    </rPh>
    <phoneticPr fontId="1"/>
  </si>
  <si>
    <t>①厚さ２ｃｍ以下のシートの照射条件（照射時間）の計算値とｾｯﾄ方法の追加
②ｲﾝﾌﾟｯﾄBoxで現品票のバーコードを読込む方法を受付番号入力セルに直接バーコードの値を読込むようにした。
③自動測定機で測定した日以外でも箱寸法等のﾃﾞｰﾀを読込むことが出来るようにした。
④線量率ﾃﾞｰﾀﾍﾞｰｽ（ﾃｰﾌﾞﾙ名：RATETBL)の線量率とにシートの照射時間を登録と変更機能を追加した
⑤照射開始期間と確認者ﾁｪｯｸを追加した。
⑥作成日、受付番号、顧客名照射開始期間以外又は全てを白紙として（選択項目）印刷可能とした
⑦重量による係数を自動入力にした（５ｋｇ以上１、未満０．９）</t>
    <rPh sb="1" eb="2">
      <t>アツ</t>
    </rPh>
    <rPh sb="6" eb="8">
      <t>イカ</t>
    </rPh>
    <rPh sb="13" eb="15">
      <t>ショウシャ</t>
    </rPh>
    <rPh sb="15" eb="17">
      <t>ジョウケン</t>
    </rPh>
    <rPh sb="18" eb="20">
      <t>ショウシャ</t>
    </rPh>
    <rPh sb="20" eb="22">
      <t>ジカン</t>
    </rPh>
    <rPh sb="24" eb="26">
      <t>ケイサン</t>
    </rPh>
    <rPh sb="26" eb="27">
      <t>チ</t>
    </rPh>
    <rPh sb="31" eb="33">
      <t>ホウホウ</t>
    </rPh>
    <rPh sb="34" eb="36">
      <t>ツイカ</t>
    </rPh>
    <rPh sb="48" eb="51">
      <t>ゲンピンヒョウ</t>
    </rPh>
    <rPh sb="58" eb="60">
      <t>ヨミコ</t>
    </rPh>
    <rPh sb="61" eb="63">
      <t>ホウホウ</t>
    </rPh>
    <rPh sb="64" eb="66">
      <t>ウケツケ</t>
    </rPh>
    <rPh sb="66" eb="68">
      <t>バンゴウ</t>
    </rPh>
    <rPh sb="68" eb="70">
      <t>ニュウリョク</t>
    </rPh>
    <rPh sb="73" eb="75">
      <t>チョクセツ</t>
    </rPh>
    <rPh sb="81" eb="82">
      <t>アタイ</t>
    </rPh>
    <rPh sb="83" eb="85">
      <t>ヨミコミ</t>
    </rPh>
    <rPh sb="94" eb="96">
      <t>ジドウ</t>
    </rPh>
    <rPh sb="96" eb="98">
      <t>ソクテイ</t>
    </rPh>
    <rPh sb="98" eb="99">
      <t>キ</t>
    </rPh>
    <rPh sb="100" eb="102">
      <t>ソクテイ</t>
    </rPh>
    <rPh sb="104" eb="105">
      <t>ヒ</t>
    </rPh>
    <rPh sb="105" eb="107">
      <t>イガイ</t>
    </rPh>
    <rPh sb="109" eb="110">
      <t>ハコ</t>
    </rPh>
    <rPh sb="110" eb="112">
      <t>スンポウ</t>
    </rPh>
    <rPh sb="112" eb="113">
      <t>トウ</t>
    </rPh>
    <rPh sb="119" eb="121">
      <t>ヨミコ</t>
    </rPh>
    <rPh sb="125" eb="127">
      <t>デキ</t>
    </rPh>
    <rPh sb="136" eb="139">
      <t>センリョウリツ</t>
    </rPh>
    <rPh sb="153" eb="154">
      <t>メイ</t>
    </rPh>
    <rPh sb="164" eb="167">
      <t>センリョウリツ</t>
    </rPh>
    <rPh sb="173" eb="175">
      <t>ショウシャ</t>
    </rPh>
    <rPh sb="175" eb="177">
      <t>ジカン</t>
    </rPh>
    <rPh sb="178" eb="180">
      <t>トウロク</t>
    </rPh>
    <rPh sb="181" eb="183">
      <t>ヘンコウ</t>
    </rPh>
    <rPh sb="183" eb="185">
      <t>キノウ</t>
    </rPh>
    <rPh sb="186" eb="188">
      <t>ツイカ</t>
    </rPh>
    <rPh sb="192" eb="194">
      <t>ショウシャ</t>
    </rPh>
    <rPh sb="194" eb="196">
      <t>カイシ</t>
    </rPh>
    <rPh sb="196" eb="198">
      <t>キカン</t>
    </rPh>
    <rPh sb="207" eb="209">
      <t>ツイカ</t>
    </rPh>
    <rPh sb="214" eb="217">
      <t>サクセイビ</t>
    </rPh>
    <rPh sb="218" eb="220">
      <t>ウケツケ</t>
    </rPh>
    <rPh sb="220" eb="222">
      <t>バンゴウ</t>
    </rPh>
    <rPh sb="223" eb="225">
      <t>コキャク</t>
    </rPh>
    <rPh sb="225" eb="226">
      <t>メイ</t>
    </rPh>
    <rPh sb="226" eb="228">
      <t>ショウシャ</t>
    </rPh>
    <rPh sb="228" eb="230">
      <t>カイシ</t>
    </rPh>
    <rPh sb="230" eb="232">
      <t>キカン</t>
    </rPh>
    <rPh sb="232" eb="234">
      <t>イガイ</t>
    </rPh>
    <rPh sb="234" eb="235">
      <t>マタ</t>
    </rPh>
    <rPh sb="236" eb="237">
      <t>スベ</t>
    </rPh>
    <rPh sb="239" eb="241">
      <t>ハクシ</t>
    </rPh>
    <rPh sb="245" eb="247">
      <t>センタク</t>
    </rPh>
    <rPh sb="247" eb="249">
      <t>コウモク</t>
    </rPh>
    <rPh sb="250" eb="252">
      <t>インサツ</t>
    </rPh>
    <rPh sb="252" eb="254">
      <t>カノウ</t>
    </rPh>
    <rPh sb="259" eb="261">
      <t>ジュウリョウ</t>
    </rPh>
    <rPh sb="264" eb="266">
      <t>ケイスウ</t>
    </rPh>
    <rPh sb="267" eb="269">
      <t>ジドウ</t>
    </rPh>
    <rPh sb="269" eb="271">
      <t>ニュウリョク</t>
    </rPh>
    <rPh sb="278" eb="280">
      <t>イジョウ</t>
    </rPh>
    <rPh sb="282" eb="284">
      <t>ミマン</t>
    </rPh>
    <phoneticPr fontId="1"/>
  </si>
  <si>
    <t>小池剛太郎</t>
    <rPh sb="0" eb="2">
      <t>コイケ</t>
    </rPh>
    <rPh sb="2" eb="5">
      <t>ゴウタロウ</t>
    </rPh>
    <phoneticPr fontId="1"/>
  </si>
  <si>
    <t>2016年3月</t>
    <rPh sb="4" eb="5">
      <t>ネン</t>
    </rPh>
    <rPh sb="6" eb="7">
      <t>ガツ</t>
    </rPh>
    <phoneticPr fontId="1"/>
  </si>
  <si>
    <t>変更</t>
    <rPh sb="0" eb="2">
      <t>ヘンコウ</t>
    </rPh>
    <phoneticPr fontId="1"/>
  </si>
  <si>
    <t>小池剛太郎</t>
    <rPh sb="0" eb="2">
      <t>コイケ</t>
    </rPh>
    <rPh sb="2" eb="5">
      <t>ゴウタロウ</t>
    </rPh>
    <phoneticPr fontId="1"/>
  </si>
  <si>
    <t>線源量（TBｑ）</t>
    <rPh sb="0" eb="2">
      <t>センゲン</t>
    </rPh>
    <rPh sb="2" eb="3">
      <t>リョウ</t>
    </rPh>
    <phoneticPr fontId="1"/>
  </si>
  <si>
    <t>線源量(TBq)</t>
    <rPh sb="0" eb="2">
      <t>センゲン</t>
    </rPh>
    <rPh sb="2" eb="3">
      <t>リョウ</t>
    </rPh>
    <phoneticPr fontId="1"/>
  </si>
  <si>
    <t>Rate50</t>
    <phoneticPr fontId="1"/>
  </si>
  <si>
    <t>Rate60</t>
    <phoneticPr fontId="1"/>
  </si>
  <si>
    <t>登録者ID</t>
    <rPh sb="0" eb="3">
      <t>トウロクシャ</t>
    </rPh>
    <phoneticPr fontId="1"/>
  </si>
  <si>
    <t>登録日</t>
    <rPh sb="0" eb="3">
      <t>トウロクビ</t>
    </rPh>
    <phoneticPr fontId="1"/>
  </si>
  <si>
    <t>2cm以下ｼｰﾄ</t>
    <rPh sb="3" eb="5">
      <t>イカ</t>
    </rPh>
    <phoneticPr fontId="1"/>
  </si>
  <si>
    <t>箱高さ60cm</t>
    <rPh sb="0" eb="1">
      <t>ハコ</t>
    </rPh>
    <rPh sb="1" eb="2">
      <t>タカ</t>
    </rPh>
    <phoneticPr fontId="1"/>
  </si>
  <si>
    <t>箱高さ50cm</t>
    <rPh sb="0" eb="1">
      <t>ハコ</t>
    </rPh>
    <rPh sb="1" eb="2">
      <t>タカ</t>
    </rPh>
    <phoneticPr fontId="1"/>
  </si>
  <si>
    <t>DB:RATETBL
(登録ﾃﾞｰﾀ)
計算用線量率
(kGy/H)</t>
    <rPh sb="20" eb="23">
      <t>ケイサンヨウ</t>
    </rPh>
    <rPh sb="23" eb="26">
      <t>センリョウリツ</t>
    </rPh>
    <phoneticPr fontId="1"/>
  </si>
  <si>
    <t>\\163.59.144.156\spk1000</t>
    <phoneticPr fontId="1"/>
  </si>
  <si>
    <t>変更</t>
    <rPh sb="0" eb="2">
      <t>ヘンコウ</t>
    </rPh>
    <phoneticPr fontId="1"/>
  </si>
  <si>
    <t>①箱寸法・重量測定データの記録場所フォルダーが「\\cli99\SPK1000」から「\\Ricappsv1\spk1000」（\\163.59.144.156\SPK1000)に変更になった。
②バーコード表示形式が12ケタから16ケタに変更
　　[ｋuuuuuuuuuussssx] k:区分,u:受付番号s:数量,x:桁合わせ</t>
    <rPh sb="1" eb="2">
      <t>ハコ</t>
    </rPh>
    <rPh sb="2" eb="4">
      <t>スンポウ</t>
    </rPh>
    <rPh sb="5" eb="7">
      <t>ジュウリョウ</t>
    </rPh>
    <rPh sb="7" eb="9">
      <t>ソクテイ</t>
    </rPh>
    <rPh sb="13" eb="15">
      <t>キロク</t>
    </rPh>
    <rPh sb="15" eb="17">
      <t>バショ</t>
    </rPh>
    <rPh sb="90" eb="92">
      <t>ヘンコウ</t>
    </rPh>
    <rPh sb="104" eb="106">
      <t>ヒョウジ</t>
    </rPh>
    <rPh sb="106" eb="108">
      <t>ケイシキ</t>
    </rPh>
    <rPh sb="120" eb="122">
      <t>ヘンコウ</t>
    </rPh>
    <rPh sb="146" eb="148">
      <t>クブン</t>
    </rPh>
    <rPh sb="151" eb="153">
      <t>ウケツケ</t>
    </rPh>
    <rPh sb="153" eb="155">
      <t>バンゴウ</t>
    </rPh>
    <rPh sb="157" eb="159">
      <t>スウリョウ</t>
    </rPh>
    <rPh sb="162" eb="163">
      <t>ケタ</t>
    </rPh>
    <rPh sb="163" eb="164">
      <t>ア</t>
    </rPh>
    <phoneticPr fontId="1"/>
  </si>
  <si>
    <t>DBに箱高さ40cmより大きく50cm以下、50cmより大きく60cm以下の線量率、線源量（TBｑ）、登録者、登録日時の追加</t>
    <rPh sb="3" eb="4">
      <t>ハコ</t>
    </rPh>
    <rPh sb="4" eb="5">
      <t>タカ</t>
    </rPh>
    <rPh sb="12" eb="13">
      <t>オオ</t>
    </rPh>
    <rPh sb="19" eb="21">
      <t>イカ</t>
    </rPh>
    <rPh sb="38" eb="41">
      <t>センリョウリツ</t>
    </rPh>
    <rPh sb="42" eb="44">
      <t>センゲン</t>
    </rPh>
    <rPh sb="44" eb="45">
      <t>リョウ</t>
    </rPh>
    <rPh sb="51" eb="53">
      <t>トウロク</t>
    </rPh>
    <rPh sb="53" eb="54">
      <t>シャ</t>
    </rPh>
    <rPh sb="55" eb="57">
      <t>トウロク</t>
    </rPh>
    <rPh sb="57" eb="59">
      <t>ニチジ</t>
    </rPh>
    <rPh sb="60" eb="62">
      <t>ツイカ</t>
    </rPh>
    <phoneticPr fontId="1"/>
  </si>
  <si>
    <t>小池剛太郎</t>
    <rPh sb="0" eb="2">
      <t>コイケ</t>
    </rPh>
    <rPh sb="2" eb="5">
      <t>ゴウタロウ</t>
    </rPh>
    <phoneticPr fontId="1"/>
  </si>
  <si>
    <t>注：元表=文書番号G1-02
線量率計算＝元表／係数</t>
    <rPh sb="0" eb="1">
      <t>チュウ</t>
    </rPh>
    <rPh sb="2" eb="3">
      <t>モト</t>
    </rPh>
    <rPh sb="3" eb="4">
      <t>ヒョウ</t>
    </rPh>
    <rPh sb="5" eb="7">
      <t>ブンショ</t>
    </rPh>
    <rPh sb="7" eb="9">
      <t>バンゴウ</t>
    </rPh>
    <rPh sb="15" eb="18">
      <t>センリョウリツ</t>
    </rPh>
    <rPh sb="18" eb="20">
      <t>ケイサン</t>
    </rPh>
    <rPh sb="21" eb="22">
      <t>モト</t>
    </rPh>
    <rPh sb="22" eb="23">
      <t>ヒョウ</t>
    </rPh>
    <rPh sb="24" eb="26">
      <t>ケイスウ</t>
    </rPh>
    <phoneticPr fontId="1"/>
  </si>
  <si>
    <t>単位（Rate20-Rate60：ｋGy/時間，2cm以下ｼｰﾄ：時間／10kGy)</t>
    <rPh sb="0" eb="2">
      <t>タンイ</t>
    </rPh>
    <rPh sb="21" eb="22">
      <t>ジ</t>
    </rPh>
    <rPh sb="22" eb="23">
      <t>カン</t>
    </rPh>
    <rPh sb="27" eb="29">
      <t>イカ</t>
    </rPh>
    <rPh sb="33" eb="34">
      <t>ジ</t>
    </rPh>
    <rPh sb="34" eb="35">
      <t>カン</t>
    </rPh>
    <phoneticPr fontId="1"/>
  </si>
  <si>
    <t>その他（余白に記入）</t>
    <rPh sb="2" eb="3">
      <t>タ</t>
    </rPh>
    <rPh sb="4" eb="6">
      <t>ヨハク</t>
    </rPh>
    <rPh sb="7" eb="9">
      <t>キニュウ</t>
    </rPh>
    <phoneticPr fontId="1"/>
  </si>
  <si>
    <t>その他（余白に図示）</t>
    <rPh sb="2" eb="3">
      <t>タ</t>
    </rPh>
    <rPh sb="4" eb="6">
      <t>ヨハク</t>
    </rPh>
    <rPh sb="7" eb="8">
      <t>ズ</t>
    </rPh>
    <rPh sb="8" eb="9">
      <t>ジ</t>
    </rPh>
    <phoneticPr fontId="1"/>
  </si>
  <si>
    <t>ソフト変更履歴</t>
    <rPh sb="3" eb="5">
      <t>ヘンコウ</t>
    </rPh>
    <rPh sb="5" eb="7">
      <t>リレキ</t>
    </rPh>
    <phoneticPr fontId="1"/>
  </si>
  <si>
    <t>様式名</t>
    <rPh sb="0" eb="2">
      <t>ヨウシキ</t>
    </rPh>
    <rPh sb="2" eb="3">
      <t>メイ</t>
    </rPh>
    <phoneticPr fontId="22"/>
  </si>
  <si>
    <t>様式番号</t>
  </si>
  <si>
    <t>※版数</t>
    <rPh sb="1" eb="3">
      <t>ハンスウ</t>
    </rPh>
    <phoneticPr fontId="22"/>
  </si>
  <si>
    <t>制定／改定日</t>
    <rPh sb="0" eb="2">
      <t>セイテイ</t>
    </rPh>
    <rPh sb="3" eb="6">
      <t>カイテイビ</t>
    </rPh>
    <phoneticPr fontId="22"/>
  </si>
  <si>
    <t>改訂箇所／理由</t>
    <phoneticPr fontId="22"/>
  </si>
  <si>
    <t>登録者</t>
    <rPh sb="0" eb="3">
      <t>トウロクシャ</t>
    </rPh>
    <phoneticPr fontId="22"/>
  </si>
  <si>
    <t>1号機作業指図書（製品仕様書なし）自動印字用</t>
    <rPh sb="1" eb="3">
      <t>ゴウキ</t>
    </rPh>
    <rPh sb="3" eb="5">
      <t>サギョウ</t>
    </rPh>
    <rPh sb="5" eb="8">
      <t>サシズショ</t>
    </rPh>
    <rPh sb="9" eb="11">
      <t>セイヒン</t>
    </rPh>
    <rPh sb="11" eb="13">
      <t>シヨウ</t>
    </rPh>
    <rPh sb="13" eb="14">
      <t>ショ</t>
    </rPh>
    <rPh sb="17" eb="19">
      <t>ジドウ</t>
    </rPh>
    <rPh sb="19" eb="21">
      <t>インジ</t>
    </rPh>
    <rPh sb="21" eb="22">
      <t>ヨウ</t>
    </rPh>
    <phoneticPr fontId="1"/>
  </si>
  <si>
    <t>2017/1/5</t>
    <phoneticPr fontId="1"/>
  </si>
  <si>
    <t>2020/3/15</t>
    <phoneticPr fontId="1"/>
  </si>
  <si>
    <t>新規制定</t>
    <rPh sb="0" eb="2">
      <t>シンキ</t>
    </rPh>
    <rPh sb="2" eb="4">
      <t>セイテイ</t>
    </rPh>
    <phoneticPr fontId="1"/>
  </si>
  <si>
    <t>G1-25</t>
    <phoneticPr fontId="1"/>
  </si>
  <si>
    <t>以下余白</t>
    <rPh sb="0" eb="2">
      <t>イカ</t>
    </rPh>
    <rPh sb="2" eb="4">
      <t>ヨハク</t>
    </rPh>
    <phoneticPr fontId="1"/>
  </si>
  <si>
    <t>桜井</t>
    <rPh sb="0" eb="2">
      <t>サクライ</t>
    </rPh>
    <phoneticPr fontId="1"/>
  </si>
  <si>
    <t>小林</t>
    <rPh sb="0" eb="2">
      <t>コバヤシ</t>
    </rPh>
    <phoneticPr fontId="1"/>
  </si>
  <si>
    <t>係数を追加</t>
    <rPh sb="0" eb="2">
      <t>ケイスウ</t>
    </rPh>
    <rPh sb="3" eb="5">
      <t>ツイカ</t>
    </rPh>
    <phoneticPr fontId="1"/>
  </si>
  <si>
    <t>データベースに線量率・線源量・登録者・登録日時を記録</t>
    <rPh sb="7" eb="10">
      <t>センリョウリツ</t>
    </rPh>
    <rPh sb="11" eb="13">
      <t>センゲン</t>
    </rPh>
    <rPh sb="13" eb="14">
      <t>リョウ</t>
    </rPh>
    <rPh sb="15" eb="18">
      <t>トウロクシャ</t>
    </rPh>
    <rPh sb="19" eb="21">
      <t>トウロク</t>
    </rPh>
    <rPh sb="21" eb="23">
      <t>ニチジ</t>
    </rPh>
    <rPh sb="24" eb="26">
      <t>キロク</t>
    </rPh>
    <phoneticPr fontId="1"/>
  </si>
  <si>
    <t>備考欄削除</t>
    <rPh sb="0" eb="2">
      <t>ビコウ</t>
    </rPh>
    <rPh sb="2" eb="3">
      <t>ラン</t>
    </rPh>
    <rPh sb="3" eb="5">
      <t>サクジョ</t>
    </rPh>
    <phoneticPr fontId="1"/>
  </si>
  <si>
    <t>2016/1/28</t>
    <phoneticPr fontId="1"/>
  </si>
  <si>
    <t>変更</t>
    <rPh sb="0" eb="2">
      <t>ヘンコウ</t>
    </rPh>
    <phoneticPr fontId="1"/>
  </si>
  <si>
    <t>改定時の保存の仕方追加</t>
    <rPh sb="0" eb="2">
      <t>カイテイ</t>
    </rPh>
    <rPh sb="2" eb="3">
      <t>ジ</t>
    </rPh>
    <rPh sb="4" eb="6">
      <t>ホゾン</t>
    </rPh>
    <rPh sb="7" eb="9">
      <t>シカタ</t>
    </rPh>
    <rPh sb="9" eb="11">
      <t>ツイカ</t>
    </rPh>
    <phoneticPr fontId="1"/>
  </si>
  <si>
    <t>項　　目</t>
    <rPh sb="0" eb="1">
      <t>コウ</t>
    </rPh>
    <rPh sb="3" eb="4">
      <t>メ</t>
    </rPh>
    <phoneticPr fontId="1"/>
  </si>
  <si>
    <t>UNO</t>
  </si>
  <si>
    <t>HABA</t>
  </si>
  <si>
    <t>TAKASA</t>
  </si>
  <si>
    <t>NAGASA</t>
  </si>
  <si>
    <t>JYURY</t>
  </si>
  <si>
    <t>SAGYOCD</t>
  </si>
  <si>
    <t>STDATE</t>
  </si>
  <si>
    <t>2025125262</t>
  </si>
  <si>
    <t>1163</t>
  </si>
  <si>
    <t>2025125259</t>
  </si>
  <si>
    <t>2025125263</t>
  </si>
  <si>
    <t>2025125260</t>
  </si>
  <si>
    <t>2025125258</t>
  </si>
  <si>
    <t>2025125257</t>
  </si>
  <si>
    <t>2025125261</t>
  </si>
  <si>
    <t>2025125256</t>
  </si>
  <si>
    <t>2025126174</t>
  </si>
  <si>
    <t>1228</t>
  </si>
  <si>
    <t>2025126213</t>
  </si>
  <si>
    <t>2025126215</t>
  </si>
  <si>
    <t>2025126216</t>
  </si>
  <si>
    <t>2025012870</t>
  </si>
  <si>
    <t>1221</t>
  </si>
  <si>
    <t>2025012822</t>
  </si>
  <si>
    <t>2025012868</t>
  </si>
  <si>
    <t>2025012867</t>
  </si>
  <si>
    <t>2025012869</t>
  </si>
  <si>
    <t>2025012951</t>
  </si>
  <si>
    <t>1201</t>
  </si>
  <si>
    <t>2025012950</t>
  </si>
  <si>
    <t>2025012952</t>
  </si>
  <si>
    <t>2025012953</t>
  </si>
  <si>
    <t>2025013070</t>
  </si>
  <si>
    <t>2025013074</t>
  </si>
  <si>
    <t>2025013084</t>
  </si>
  <si>
    <t>2025013072</t>
  </si>
  <si>
    <t>2025013076</t>
  </si>
  <si>
    <t>2025013077</t>
  </si>
  <si>
    <t>2025013086</t>
  </si>
  <si>
    <t>2025013085</t>
  </si>
  <si>
    <t>2025013097</t>
  </si>
  <si>
    <t>2025013096</t>
  </si>
  <si>
    <t>2025013423</t>
  </si>
  <si>
    <t>1226</t>
  </si>
  <si>
    <t>2025013424</t>
  </si>
  <si>
    <t>2025013425</t>
  </si>
  <si>
    <t>2025013427</t>
  </si>
  <si>
    <t>2025013426</t>
  </si>
  <si>
    <t>2025013720</t>
  </si>
  <si>
    <t>2025014058</t>
  </si>
  <si>
    <t>2025014059</t>
  </si>
  <si>
    <t>2025024231</t>
  </si>
  <si>
    <t>2025024732</t>
  </si>
  <si>
    <t>2025024733</t>
  </si>
  <si>
    <t>2025024736</t>
  </si>
  <si>
    <t>2025024734</t>
  </si>
  <si>
    <t>2025024735</t>
  </si>
  <si>
    <t>2025025487</t>
  </si>
  <si>
    <t>2025025481</t>
  </si>
  <si>
    <t>2025025482</t>
  </si>
  <si>
    <t>2025025504</t>
  </si>
  <si>
    <t>2025025833</t>
  </si>
  <si>
    <t>2025025890</t>
  </si>
  <si>
    <t>2025025887</t>
  </si>
  <si>
    <t>2025025888</t>
  </si>
  <si>
    <t>2025025889</t>
  </si>
  <si>
    <t>2025025902</t>
  </si>
  <si>
    <t>2025025917</t>
  </si>
  <si>
    <t>2025025916</t>
  </si>
  <si>
    <t>2025025930</t>
  </si>
  <si>
    <t>2025036204</t>
  </si>
  <si>
    <t>2025036207</t>
  </si>
  <si>
    <t>2025036206</t>
  </si>
  <si>
    <t>2025036338</t>
  </si>
  <si>
    <t>2025036336</t>
  </si>
  <si>
    <t>2025036337</t>
  </si>
  <si>
    <t>2025036334</t>
  </si>
  <si>
    <t>2025036335</t>
  </si>
  <si>
    <t>2025036890</t>
  </si>
  <si>
    <t>2025036889</t>
  </si>
  <si>
    <t>2025036893</t>
  </si>
  <si>
    <t>2025037033</t>
  </si>
  <si>
    <t>2025037034</t>
  </si>
  <si>
    <t>2025037153</t>
  </si>
  <si>
    <t>2025037151</t>
  </si>
  <si>
    <t>2025037558</t>
  </si>
  <si>
    <t>2025037708</t>
  </si>
  <si>
    <t>2025037707</t>
  </si>
  <si>
    <t>2025037717</t>
  </si>
  <si>
    <t>2025037729</t>
  </si>
  <si>
    <t>2025037858</t>
  </si>
  <si>
    <t>2025037754</t>
  </si>
  <si>
    <t>2025037859</t>
  </si>
  <si>
    <t>2025037860</t>
  </si>
  <si>
    <t>2025037861</t>
  </si>
  <si>
    <t>2025037862</t>
  </si>
  <si>
    <t>2025037863</t>
  </si>
  <si>
    <t>2025037864</t>
  </si>
  <si>
    <t>2025037942</t>
  </si>
  <si>
    <t>2025037958</t>
  </si>
  <si>
    <t>2025037959</t>
  </si>
  <si>
    <t>2025037960</t>
  </si>
  <si>
    <t>2025037961</t>
  </si>
  <si>
    <t>2025038115</t>
  </si>
  <si>
    <t>2025038141</t>
  </si>
  <si>
    <t>2025038155</t>
  </si>
  <si>
    <t>2025048324</t>
  </si>
  <si>
    <t>2025048323</t>
  </si>
  <si>
    <t>2025048347</t>
  </si>
  <si>
    <t>2025048378</t>
  </si>
  <si>
    <t>2025048369</t>
  </si>
  <si>
    <t>2025048368</t>
  </si>
  <si>
    <t>2025048381</t>
  </si>
  <si>
    <t>2025048382</t>
  </si>
  <si>
    <t>2025048517</t>
  </si>
  <si>
    <t>2025048639</t>
  </si>
  <si>
    <t>2025048638</t>
  </si>
  <si>
    <t>2025048928</t>
  </si>
  <si>
    <t>2025048927</t>
  </si>
  <si>
    <t>2025048926</t>
  </si>
  <si>
    <t>2025048992</t>
  </si>
  <si>
    <t>2025113210</t>
  </si>
  <si>
    <t>1207</t>
  </si>
  <si>
    <t>2025113238</t>
  </si>
  <si>
    <t>2025113237</t>
  </si>
  <si>
    <t>2025113247</t>
  </si>
  <si>
    <t>2025114483</t>
  </si>
  <si>
    <t>2025114551</t>
  </si>
  <si>
    <t>2025114550</t>
  </si>
  <si>
    <t>2025126249</t>
  </si>
  <si>
    <t>2025126372</t>
  </si>
  <si>
    <t>2025013541</t>
  </si>
  <si>
    <t>2025013542</t>
  </si>
  <si>
    <t>2025013544</t>
  </si>
  <si>
    <t>2025013545</t>
  </si>
  <si>
    <t>2025014095</t>
  </si>
  <si>
    <t>2025013543</t>
  </si>
  <si>
    <t>2025024499</t>
  </si>
  <si>
    <t>2025024500</t>
  </si>
  <si>
    <t>2025024502</t>
  </si>
  <si>
    <t>2025025231</t>
  </si>
  <si>
    <t>2025025252</t>
  </si>
  <si>
    <t>2025025251</t>
  </si>
  <si>
    <t>2025025241</t>
  </si>
  <si>
    <t>2025025240</t>
  </si>
  <si>
    <t>2025025242</t>
  </si>
  <si>
    <t>2025025382</t>
  </si>
  <si>
    <t>2025025386</t>
  </si>
  <si>
    <t>2025025390</t>
  </si>
  <si>
    <t>2025025688</t>
  </si>
  <si>
    <t>2025036327</t>
  </si>
  <si>
    <t>2025025982</t>
  </si>
  <si>
    <t>2025036339</t>
  </si>
  <si>
    <t>2025036748</t>
  </si>
  <si>
    <t>2025036749</t>
  </si>
  <si>
    <t>2025036777</t>
  </si>
  <si>
    <t>2025036931</t>
  </si>
  <si>
    <t>2025037016</t>
  </si>
  <si>
    <t>2025037017</t>
  </si>
  <si>
    <t>2025037018</t>
  </si>
  <si>
    <t>2025037015</t>
  </si>
  <si>
    <t>2025037253</t>
  </si>
  <si>
    <t>2025037254</t>
  </si>
  <si>
    <t>2025037245</t>
  </si>
  <si>
    <t>2025037503</t>
  </si>
  <si>
    <t>2025037618</t>
  </si>
  <si>
    <t>2025037619</t>
  </si>
  <si>
    <t>2025037827</t>
  </si>
  <si>
    <t>2025037829</t>
  </si>
  <si>
    <t>2025037828</t>
  </si>
  <si>
    <t>2025037964</t>
  </si>
  <si>
    <t>2025038140</t>
  </si>
  <si>
    <t>2025038160</t>
  </si>
  <si>
    <t>2025038161</t>
  </si>
  <si>
    <t>2025048687</t>
  </si>
  <si>
    <t>2025048694</t>
  </si>
  <si>
    <t>2025048841</t>
  </si>
  <si>
    <t>2025048961</t>
  </si>
  <si>
    <t>2025048995</t>
  </si>
  <si>
    <t>2025048993</t>
  </si>
  <si>
    <t>2025048994</t>
  </si>
  <si>
    <t>2025048998</t>
  </si>
  <si>
    <t>2025049027</t>
  </si>
  <si>
    <t>2025049026</t>
  </si>
  <si>
    <t>2025049100</t>
  </si>
  <si>
    <t>2025049099</t>
  </si>
  <si>
    <t>2025049101</t>
  </si>
  <si>
    <t>2025049159</t>
  </si>
  <si>
    <t>2025049155</t>
  </si>
  <si>
    <t>2025049156</t>
  </si>
  <si>
    <t>2025049160</t>
  </si>
  <si>
    <t>2025049157</t>
  </si>
  <si>
    <t>2025049158</t>
  </si>
  <si>
    <t>2025049184</t>
  </si>
  <si>
    <t>2025049185</t>
  </si>
  <si>
    <t>2025049187</t>
  </si>
  <si>
    <t>2025049188</t>
  </si>
  <si>
    <t>2025049189</t>
  </si>
  <si>
    <t>2025049186</t>
  </si>
  <si>
    <t>2025049237</t>
  </si>
  <si>
    <t>2025049272</t>
  </si>
  <si>
    <t>2025049321</t>
  </si>
  <si>
    <t>2025049324</t>
  </si>
  <si>
    <t>2025049323</t>
  </si>
  <si>
    <t>2025049342</t>
  </si>
  <si>
    <t>2025049443</t>
  </si>
  <si>
    <t>2025049444</t>
  </si>
  <si>
    <t>2025049432</t>
  </si>
  <si>
    <t>2025049433</t>
  </si>
  <si>
    <t>2025049450</t>
  </si>
  <si>
    <t>2025049455</t>
  </si>
  <si>
    <t>2025049454</t>
  </si>
  <si>
    <t>2025049462</t>
  </si>
  <si>
    <t>2025049552</t>
  </si>
  <si>
    <t>2025049550</t>
  </si>
  <si>
    <t>2025049549</t>
  </si>
  <si>
    <t>2025049569</t>
  </si>
  <si>
    <t>2025049570</t>
  </si>
  <si>
    <t>2025049633</t>
  </si>
  <si>
    <t>2025049648</t>
  </si>
  <si>
    <t>2025049673</t>
  </si>
  <si>
    <t>2025049674</t>
  </si>
  <si>
    <t>2025049800</t>
  </si>
  <si>
    <t>2025049801</t>
  </si>
  <si>
    <t>2025049831</t>
  </si>
  <si>
    <t>2025049908</t>
  </si>
  <si>
    <t>2025049906</t>
  </si>
  <si>
    <t>2025040015</t>
  </si>
  <si>
    <t>2025049907</t>
  </si>
  <si>
    <t>2025040173</t>
  </si>
  <si>
    <t>2025040172</t>
  </si>
  <si>
    <t>2025040313</t>
  </si>
  <si>
    <t>2025050424</t>
  </si>
  <si>
    <t>2025050503</t>
  </si>
  <si>
    <t>2025050562</t>
  </si>
  <si>
    <t>2025050563</t>
  </si>
  <si>
    <t>2025050561</t>
  </si>
  <si>
    <t>2025050582</t>
  </si>
  <si>
    <t>2025050583</t>
  </si>
  <si>
    <t>2025050678</t>
  </si>
  <si>
    <t>2025050584</t>
  </si>
  <si>
    <t>2025050876</t>
  </si>
  <si>
    <t>2025050875</t>
  </si>
  <si>
    <t>2025050935</t>
  </si>
  <si>
    <t>2025050775</t>
  </si>
  <si>
    <t>2025050939</t>
  </si>
  <si>
    <t>2025050940</t>
  </si>
  <si>
    <t>2025125598</t>
  </si>
  <si>
    <t>2025125604</t>
  </si>
  <si>
    <t>2025125609</t>
  </si>
  <si>
    <t>2025125610</t>
  </si>
  <si>
    <t>2025125595</t>
  </si>
  <si>
    <t>2025125619</t>
  </si>
  <si>
    <t>2025125956</t>
  </si>
  <si>
    <t>2025125958</t>
  </si>
  <si>
    <t>2025125950</t>
  </si>
  <si>
    <t>2025125952</t>
  </si>
  <si>
    <t>2025125953</t>
  </si>
  <si>
    <t>2025125951</t>
  </si>
  <si>
    <t>2025012824</t>
  </si>
  <si>
    <t>2025013160</t>
  </si>
  <si>
    <t>2025013203</t>
  </si>
  <si>
    <t>2025013204</t>
  </si>
  <si>
    <t>2025013229</t>
  </si>
  <si>
    <t>2025013230</t>
  </si>
  <si>
    <t>2025013228</t>
  </si>
  <si>
    <t>2025013237</t>
  </si>
  <si>
    <t>2025013238</t>
  </si>
  <si>
    <t>2025013582</t>
  </si>
  <si>
    <t>2025013581</t>
  </si>
  <si>
    <t>2025013572</t>
  </si>
  <si>
    <t>2025013611</t>
  </si>
  <si>
    <t>2025013631</t>
  </si>
  <si>
    <t>2025013760</t>
  </si>
  <si>
    <t>2025013816</t>
  </si>
  <si>
    <t>2025013826</t>
  </si>
  <si>
    <t>2025013827</t>
  </si>
  <si>
    <t>2025013910</t>
  </si>
  <si>
    <t>2025013909</t>
  </si>
  <si>
    <t>2025013894</t>
  </si>
  <si>
    <t>2025013988</t>
  </si>
  <si>
    <t>2025013990</t>
  </si>
  <si>
    <t>2025024251</t>
  </si>
  <si>
    <t>2025024319</t>
  </si>
  <si>
    <t>2025024318</t>
  </si>
  <si>
    <t>2025024363</t>
  </si>
  <si>
    <t>2025024364</t>
  </si>
  <si>
    <t>2025024566</t>
  </si>
  <si>
    <t>2025024754</t>
  </si>
  <si>
    <t>2025024753</t>
  </si>
  <si>
    <t>2025024806</t>
  </si>
  <si>
    <t>2025024751</t>
  </si>
  <si>
    <t>2025024805</t>
  </si>
  <si>
    <t>2025024804</t>
  </si>
  <si>
    <t>2025024807</t>
  </si>
  <si>
    <t>2025024808</t>
  </si>
  <si>
    <t>2025024810</t>
  </si>
  <si>
    <t>2025024809</t>
  </si>
  <si>
    <t>2025024812</t>
  </si>
  <si>
    <t>2025024811</t>
  </si>
  <si>
    <t>2025024842</t>
  </si>
  <si>
    <t>2025024843</t>
  </si>
  <si>
    <t>2025025405</t>
  </si>
  <si>
    <t>2025036532</t>
  </si>
  <si>
    <t>2025036661</t>
  </si>
  <si>
    <t>2025036706</t>
  </si>
  <si>
    <t>2025036707</t>
  </si>
  <si>
    <t>2025036700</t>
  </si>
  <si>
    <t>2025036888</t>
  </si>
  <si>
    <t>2025037154</t>
  </si>
  <si>
    <t>2025037152</t>
  </si>
  <si>
    <t>2025037330</t>
  </si>
  <si>
    <t>2025037329</t>
  </si>
  <si>
    <t>2025037557</t>
  </si>
  <si>
    <t>2025037658</t>
  </si>
  <si>
    <t>2025037659</t>
  </si>
  <si>
    <t>2025037698</t>
  </si>
  <si>
    <t>2025048915</t>
  </si>
  <si>
    <t>2025048812</t>
  </si>
  <si>
    <t>2025048916</t>
  </si>
  <si>
    <t>2025048917</t>
  </si>
  <si>
    <t>2025049028</t>
  </si>
  <si>
    <t>2025049019</t>
  </si>
  <si>
    <t>2025049231</t>
  </si>
  <si>
    <t>2025049134</t>
  </si>
  <si>
    <t>2025049343</t>
  </si>
  <si>
    <t>2025049243</t>
  </si>
  <si>
    <t>2025049350</t>
  </si>
  <si>
    <t>2025049554</t>
  </si>
  <si>
    <t>2025049615</t>
  </si>
  <si>
    <t>2025049616</t>
  </si>
  <si>
    <t>2025049612</t>
  </si>
  <si>
    <t>2025049614</t>
  </si>
  <si>
    <t>2025049711</t>
  </si>
  <si>
    <t>2025040006</t>
  </si>
  <si>
    <t>2025050404</t>
  </si>
  <si>
    <t>2025050666</t>
  </si>
  <si>
    <t>2025050667</t>
  </si>
  <si>
    <t>2025050668</t>
  </si>
  <si>
    <t>2025050669</t>
  </si>
  <si>
    <t>2025050700</t>
  </si>
  <si>
    <t>2025050701</t>
  </si>
  <si>
    <t>2025050755</t>
  </si>
  <si>
    <t>2025050719</t>
  </si>
  <si>
    <t>2025050756</t>
  </si>
  <si>
    <t>2025050934</t>
  </si>
  <si>
    <t>2025051010</t>
  </si>
  <si>
    <t>2025051054</t>
  </si>
  <si>
    <t>2025051240</t>
  </si>
  <si>
    <t>2025051227</t>
  </si>
  <si>
    <t>2025051229</t>
  </si>
  <si>
    <t>2025051228</t>
  </si>
  <si>
    <t>2025051241</t>
  </si>
  <si>
    <t>2025051234</t>
  </si>
  <si>
    <t>2025051235</t>
  </si>
  <si>
    <t>2025051238</t>
  </si>
  <si>
    <t>2025051236</t>
  </si>
  <si>
    <t>2025051237</t>
  </si>
  <si>
    <t>2025051247</t>
  </si>
  <si>
    <t>2025051246</t>
  </si>
  <si>
    <t>2025051282</t>
  </si>
  <si>
    <t>2025051296</t>
  </si>
  <si>
    <t>2025051297</t>
  </si>
  <si>
    <t>2025051314</t>
  </si>
  <si>
    <t>2025051310</t>
  </si>
  <si>
    <t>2025051306</t>
  </si>
  <si>
    <t>2025051319</t>
  </si>
  <si>
    <t>2025051320</t>
  </si>
  <si>
    <t>2025051412</t>
  </si>
  <si>
    <t>2025051411</t>
  </si>
  <si>
    <t>2025051373</t>
  </si>
  <si>
    <t>2025051421</t>
  </si>
  <si>
    <t>2025051420</t>
  </si>
  <si>
    <t>2025051423</t>
  </si>
  <si>
    <t>2025126251</t>
  </si>
  <si>
    <t>2025126252</t>
  </si>
  <si>
    <t>2025012979</t>
  </si>
  <si>
    <t>2025012980</t>
  </si>
  <si>
    <t>2025013188</t>
  </si>
  <si>
    <t>2025013460</t>
  </si>
  <si>
    <t>2025013187</t>
  </si>
  <si>
    <t>2025013510</t>
  </si>
  <si>
    <t>2025013509</t>
  </si>
  <si>
    <t>2025013508</t>
  </si>
  <si>
    <t>2025013559</t>
  </si>
  <si>
    <t>2025013646</t>
  </si>
  <si>
    <t>2025013821</t>
  </si>
  <si>
    <t>2025024565</t>
  </si>
  <si>
    <t>2025025094</t>
  </si>
  <si>
    <t>2025024954</t>
  </si>
  <si>
    <t>2025024955</t>
  </si>
  <si>
    <t>2025024952</t>
  </si>
  <si>
    <t>2025024960</t>
  </si>
  <si>
    <t>2025024962</t>
  </si>
  <si>
    <t>2025024961</t>
  </si>
  <si>
    <t>2025025097</t>
  </si>
  <si>
    <t>2025025093</t>
  </si>
  <si>
    <t>2025025191</t>
  </si>
  <si>
    <t>2025025194</t>
  </si>
  <si>
    <t>2025025192</t>
  </si>
  <si>
    <t>2025025193</t>
  </si>
  <si>
    <t>2025025208</t>
  </si>
  <si>
    <t>2025025207</t>
  </si>
  <si>
    <t>2025025189</t>
  </si>
  <si>
    <t>2025025209</t>
  </si>
  <si>
    <t>2025025476</t>
  </si>
  <si>
    <t>2025025572</t>
  </si>
  <si>
    <t>2025025573</t>
  </si>
  <si>
    <t>2025025576</t>
  </si>
  <si>
    <t>2025025589</t>
  </si>
  <si>
    <t>2025025700</t>
  </si>
  <si>
    <t>2025025702</t>
  </si>
  <si>
    <t>2025025701</t>
  </si>
  <si>
    <t>2025025703</t>
  </si>
  <si>
    <t>2025025727</t>
  </si>
  <si>
    <t>2025025725</t>
  </si>
  <si>
    <t>2025025719</t>
  </si>
  <si>
    <t>2025025718</t>
  </si>
  <si>
    <t>2025025730</t>
  </si>
  <si>
    <t>2025026095</t>
  </si>
  <si>
    <t>2025026094</t>
  </si>
  <si>
    <t>2025036208</t>
  </si>
  <si>
    <t>2025036452</t>
  </si>
  <si>
    <t>2025036451</t>
  </si>
  <si>
    <t>2025036454</t>
  </si>
  <si>
    <t>2025036453</t>
  </si>
  <si>
    <t>2025036512</t>
  </si>
  <si>
    <t>2025036648</t>
  </si>
  <si>
    <t>2025036649</t>
  </si>
  <si>
    <t>2025036630</t>
  </si>
  <si>
    <t>2025036891</t>
  </si>
  <si>
    <t>2025037142</t>
  </si>
  <si>
    <t>2025037128</t>
  </si>
  <si>
    <t>2025037127</t>
  </si>
  <si>
    <t>2025037144</t>
  </si>
  <si>
    <t>2025037143</t>
  </si>
  <si>
    <t>2025037384</t>
  </si>
  <si>
    <t>2025037511</t>
  </si>
  <si>
    <t>2025037519</t>
  </si>
  <si>
    <t>2025037520</t>
  </si>
  <si>
    <t>2025037655</t>
  </si>
  <si>
    <t>2025037656</t>
  </si>
  <si>
    <t>2025038004</t>
  </si>
  <si>
    <t>2025048493</t>
  </si>
  <si>
    <t>2025048540</t>
  </si>
  <si>
    <t>2025048824</t>
  </si>
  <si>
    <t>2025048829</t>
  </si>
  <si>
    <t>2025048918</t>
  </si>
  <si>
    <t>2025048901</t>
  </si>
  <si>
    <t>2025049018</t>
  </si>
  <si>
    <t>2025049017</t>
  </si>
  <si>
    <t>2025049292</t>
  </si>
  <si>
    <t>2025049291</t>
  </si>
  <si>
    <t>2025049629</t>
  </si>
  <si>
    <t>2025049635</t>
  </si>
  <si>
    <t>2025049634</t>
  </si>
  <si>
    <t>2025049772</t>
  </si>
  <si>
    <t>2025049768</t>
  </si>
  <si>
    <t>2025049771</t>
  </si>
  <si>
    <t>2025049770</t>
  </si>
  <si>
    <t>2025049797</t>
  </si>
  <si>
    <t>2025049796</t>
  </si>
  <si>
    <t>2025049839</t>
  </si>
  <si>
    <t>2025049996</t>
  </si>
  <si>
    <t>2025040142</t>
  </si>
  <si>
    <t>2025040141</t>
  </si>
  <si>
    <t>2025040131</t>
  </si>
  <si>
    <t>2025040130</t>
  </si>
  <si>
    <t>2025040129</t>
  </si>
  <si>
    <t>2025040132</t>
  </si>
  <si>
    <t>2025050386</t>
  </si>
  <si>
    <t>2025050380</t>
  </si>
  <si>
    <t>2025050455</t>
  </si>
  <si>
    <t>2025050454</t>
  </si>
  <si>
    <t>2025050453</t>
  </si>
  <si>
    <t>2025050679</t>
  </si>
  <si>
    <t>2025051123</t>
  </si>
  <si>
    <t>2025051124</t>
  </si>
  <si>
    <t>2025051138</t>
  </si>
  <si>
    <t>2025051141</t>
  </si>
  <si>
    <t>2025051140</t>
  </si>
  <si>
    <t>2025051142</t>
  </si>
  <si>
    <t>2025051277</t>
  </si>
  <si>
    <t>2025051275</t>
  </si>
  <si>
    <t>2025051276</t>
  </si>
  <si>
    <t>2025051424</t>
  </si>
  <si>
    <t>2025051426</t>
  </si>
  <si>
    <t>2025051425</t>
  </si>
  <si>
    <t>2025051496</t>
  </si>
  <si>
    <t>2025051498</t>
  </si>
  <si>
    <t>2025051546</t>
  </si>
  <si>
    <t>2025051545</t>
  </si>
  <si>
    <t>2025051548</t>
  </si>
  <si>
    <t>2025051549</t>
  </si>
  <si>
    <t>2025051550</t>
  </si>
  <si>
    <t>2025051563</t>
  </si>
  <si>
    <t>2025051555</t>
  </si>
  <si>
    <t>2025051564</t>
  </si>
  <si>
    <t>2025051572</t>
  </si>
  <si>
    <t>2025051570</t>
  </si>
  <si>
    <t>2025051569</t>
  </si>
  <si>
    <t>2025113560</t>
  </si>
  <si>
    <t>2025113404</t>
  </si>
  <si>
    <t>2025113561</t>
  </si>
  <si>
    <t>2025113562</t>
  </si>
  <si>
    <t>2025113563</t>
  </si>
  <si>
    <t>2025113722</t>
  </si>
  <si>
    <t>1230</t>
  </si>
  <si>
    <t>2025113725</t>
  </si>
  <si>
    <t>2025113724</t>
  </si>
  <si>
    <t>2025113772</t>
  </si>
  <si>
    <t>2025113723</t>
  </si>
  <si>
    <t>2025113777</t>
  </si>
  <si>
    <t>2025113986</t>
  </si>
  <si>
    <t>2025113992</t>
  </si>
  <si>
    <t>2025114186</t>
  </si>
  <si>
    <t>2025114185</t>
  </si>
  <si>
    <t>2025114187</t>
  </si>
  <si>
    <t>2025114279</t>
  </si>
  <si>
    <t>2025114368</t>
  </si>
  <si>
    <t>2025114379</t>
  </si>
  <si>
    <t>2025114380</t>
  </si>
  <si>
    <t>2025114378</t>
  </si>
  <si>
    <t>2025114376</t>
  </si>
  <si>
    <t>2025114377</t>
  </si>
  <si>
    <t>2025114389</t>
  </si>
  <si>
    <t>2025114607</t>
  </si>
  <si>
    <t>2025124973</t>
  </si>
  <si>
    <t>2025124974</t>
  </si>
  <si>
    <t>2025124972</t>
  </si>
  <si>
    <t>2025125467</t>
  </si>
  <si>
    <t>2025125466</t>
  </si>
  <si>
    <t>2025125465</t>
  </si>
  <si>
    <t>2025125517</t>
  </si>
  <si>
    <t>2025125518</t>
  </si>
  <si>
    <t>2025125519</t>
  </si>
  <si>
    <t>2025125520</t>
  </si>
  <si>
    <t>2025125507</t>
  </si>
  <si>
    <t>2025126234</t>
  </si>
  <si>
    <t>2025126236</t>
  </si>
  <si>
    <t>2025126235</t>
  </si>
  <si>
    <t>2025013129</t>
  </si>
  <si>
    <t>2025013184</t>
  </si>
  <si>
    <t>2025013264</t>
  </si>
  <si>
    <t>2025013269</t>
  </si>
  <si>
    <t>2025013270</t>
  </si>
  <si>
    <t>2025013273</t>
  </si>
  <si>
    <t>2025013334</t>
  </si>
  <si>
    <t>2025013414</t>
  </si>
  <si>
    <t>2025013416</t>
  </si>
  <si>
    <t>2025013417</t>
  </si>
  <si>
    <t>2025013418</t>
  </si>
  <si>
    <t>2025013614</t>
  </si>
  <si>
    <t>2025013783</t>
  </si>
  <si>
    <t>2025013914</t>
  </si>
  <si>
    <t>2025013915</t>
  </si>
  <si>
    <t>2025013921</t>
  </si>
  <si>
    <t>2025013922</t>
  </si>
  <si>
    <t>2025014053</t>
  </si>
  <si>
    <t>2025014108</t>
  </si>
  <si>
    <t>2025014189</t>
  </si>
  <si>
    <t>2025014188</t>
  </si>
  <si>
    <t>2025014183</t>
  </si>
  <si>
    <t>2025014190</t>
  </si>
  <si>
    <t>2025024278</t>
  </si>
  <si>
    <t>2025024275</t>
  </si>
  <si>
    <t>2025024277</t>
  </si>
  <si>
    <t>2025024276</t>
  </si>
  <si>
    <t>2025024279</t>
  </si>
  <si>
    <t>2025024280</t>
  </si>
  <si>
    <t>2025024284</t>
  </si>
  <si>
    <t>2025024609</t>
  </si>
  <si>
    <t>2025024608</t>
  </si>
  <si>
    <t>2025024675</t>
  </si>
  <si>
    <t>2025024691</t>
  </si>
  <si>
    <t>2025024701</t>
  </si>
  <si>
    <t>2025024656</t>
  </si>
  <si>
    <t>2025024655</t>
  </si>
  <si>
    <t>2025024702</t>
  </si>
  <si>
    <t>2025024716</t>
  </si>
  <si>
    <t>2025024717</t>
  </si>
  <si>
    <t>2025025300</t>
  </si>
  <si>
    <t>2025024951</t>
  </si>
  <si>
    <t>2025025297</t>
  </si>
  <si>
    <t>2025025392</t>
  </si>
  <si>
    <t>2025025391</t>
  </si>
  <si>
    <t>2025025399</t>
  </si>
  <si>
    <t>2025025398</t>
  </si>
  <si>
    <t>2025025793</t>
  </si>
  <si>
    <t>2025025791</t>
  </si>
  <si>
    <t>2025026021</t>
  </si>
  <si>
    <t>2025025789</t>
  </si>
  <si>
    <t>2025026023</t>
  </si>
  <si>
    <t>2025026020</t>
  </si>
  <si>
    <t>2025036164</t>
  </si>
  <si>
    <t>2025036153</t>
  </si>
  <si>
    <t>2025036155</t>
  </si>
  <si>
    <t>2025036154</t>
  </si>
  <si>
    <t>2025036162</t>
  </si>
  <si>
    <t>2025036175</t>
  </si>
  <si>
    <t>2025036267</t>
  </si>
  <si>
    <t>2025036296</t>
  </si>
  <si>
    <t>2025036293</t>
  </si>
  <si>
    <t>2025036438</t>
  </si>
  <si>
    <t>2025036441</t>
  </si>
  <si>
    <t>2025036440</t>
  </si>
  <si>
    <t>2025036439</t>
  </si>
  <si>
    <t>2025036696</t>
  </si>
  <si>
    <t>2025036703</t>
  </si>
  <si>
    <t>2025037122</t>
  </si>
  <si>
    <t>2025037156</t>
  </si>
  <si>
    <t>2025037266</t>
  </si>
  <si>
    <t>2025037265</t>
  </si>
  <si>
    <t>2025037286</t>
  </si>
  <si>
    <t>2025037288</t>
  </si>
  <si>
    <t>2025037289</t>
  </si>
  <si>
    <t>2025037456</t>
  </si>
  <si>
    <t>2025037699</t>
  </si>
  <si>
    <t>2025037700</t>
  </si>
  <si>
    <t>2025037706</t>
  </si>
  <si>
    <t>2025051691</t>
  </si>
  <si>
    <t>2025051700</t>
  </si>
  <si>
    <t>2025051733</t>
  </si>
  <si>
    <t>2025051734</t>
  </si>
  <si>
    <t>2025051736</t>
  </si>
  <si>
    <t>2025062314</t>
  </si>
  <si>
    <t>2025051737</t>
  </si>
  <si>
    <t>2025062316</t>
  </si>
  <si>
    <t>2025062516</t>
  </si>
  <si>
    <t>2025062564</t>
  </si>
  <si>
    <t>2025062565</t>
  </si>
  <si>
    <t>2025062561</t>
  </si>
  <si>
    <t>2025062560</t>
  </si>
  <si>
    <t>2025062563</t>
  </si>
  <si>
    <t>2025062562</t>
  </si>
  <si>
    <t>2025062566</t>
  </si>
  <si>
    <t>2025062583</t>
  </si>
  <si>
    <t>2025062567</t>
  </si>
  <si>
    <t>2025063035</t>
  </si>
  <si>
    <t>2025062956</t>
  </si>
  <si>
    <t>2025063743</t>
  </si>
  <si>
    <t>2025063779</t>
  </si>
  <si>
    <t>2025064196</t>
  </si>
  <si>
    <t>2025076395</t>
  </si>
  <si>
    <t>2025074659</t>
  </si>
  <si>
    <t>2025076396</t>
  </si>
  <si>
    <t>2025076404</t>
  </si>
  <si>
    <t>2025076406</t>
  </si>
  <si>
    <t>2025076405</t>
  </si>
  <si>
    <t>2025087424</t>
  </si>
  <si>
    <t>2025087759</t>
  </si>
  <si>
    <t>2025088069</t>
  </si>
  <si>
    <t>2025088071</t>
  </si>
  <si>
    <t>2025088068</t>
  </si>
  <si>
    <t>2025088070</t>
  </si>
  <si>
    <t>2025088368</t>
  </si>
  <si>
    <t>2025088369</t>
  </si>
  <si>
    <t>2025099732</t>
  </si>
  <si>
    <t>2025099731</t>
  </si>
  <si>
    <t>2025099733</t>
  </si>
  <si>
    <t>2025099958</t>
  </si>
  <si>
    <t>2025099959</t>
  </si>
  <si>
    <t>2025090081</t>
  </si>
  <si>
    <t>2025100500</t>
  </si>
  <si>
    <t>2025100649</t>
  </si>
  <si>
    <t>2025100797</t>
  </si>
  <si>
    <t>2025100798</t>
  </si>
  <si>
    <t>2025100794</t>
  </si>
  <si>
    <t>2025100796</t>
  </si>
  <si>
    <t>2025100795</t>
  </si>
  <si>
    <t>2024107169</t>
  </si>
  <si>
    <t>2025101035</t>
  </si>
  <si>
    <t>2025101140</t>
  </si>
  <si>
    <t>2025101141</t>
  </si>
  <si>
    <t>2025101570</t>
  </si>
  <si>
    <t>2025101974</t>
  </si>
  <si>
    <t>2025102119</t>
  </si>
  <si>
    <t>2025102120</t>
  </si>
  <si>
    <t>2025102192</t>
  </si>
  <si>
    <t>2025102191</t>
  </si>
  <si>
    <t>2025102497</t>
  </si>
  <si>
    <t>2025102662</t>
  </si>
  <si>
    <t>2025102644</t>
  </si>
  <si>
    <t>2025113132</t>
  </si>
  <si>
    <t>2025113118</t>
  </si>
  <si>
    <t>2025113120</t>
  </si>
  <si>
    <t>2025113122</t>
  </si>
  <si>
    <t>2025113124</t>
  </si>
  <si>
    <t>2025113119</t>
  </si>
  <si>
    <t>2025113123</t>
  </si>
  <si>
    <t>2025113121</t>
  </si>
  <si>
    <t>2025113045</t>
  </si>
  <si>
    <t>2025113314</t>
  </si>
  <si>
    <t>2025114083</t>
  </si>
  <si>
    <t>2025114082</t>
  </si>
  <si>
    <t>2025114094</t>
  </si>
  <si>
    <t>2025114095</t>
  </si>
  <si>
    <t>2025114096</t>
  </si>
  <si>
    <t>2025114296</t>
  </si>
  <si>
    <t>2025114295</t>
  </si>
  <si>
    <t>2025114297</t>
  </si>
  <si>
    <t>2025114324</t>
  </si>
  <si>
    <t>2025114325</t>
  </si>
  <si>
    <t>2025114326</t>
  </si>
  <si>
    <t>2025114327</t>
  </si>
  <si>
    <t>2025124858</t>
  </si>
  <si>
    <t>2025124929</t>
  </si>
  <si>
    <t>2025124911</t>
  </si>
  <si>
    <t>2025124930</t>
  </si>
  <si>
    <t>2025124932</t>
  </si>
  <si>
    <t>2025125116</t>
  </si>
  <si>
    <t>2025124931</t>
  </si>
  <si>
    <t>2025125124</t>
  </si>
  <si>
    <t>2025125115</t>
  </si>
  <si>
    <t>2025125133</t>
  </si>
  <si>
    <t>2025125117</t>
  </si>
  <si>
    <t>2025125191</t>
  </si>
  <si>
    <t>2025125231</t>
  </si>
  <si>
    <t>2025125232</t>
  </si>
  <si>
    <t>2025125416</t>
  </si>
  <si>
    <t>2025125472</t>
  </si>
  <si>
    <t>2025125473</t>
  </si>
  <si>
    <t>2025125474</t>
  </si>
  <si>
    <t>2025125522</t>
  </si>
  <si>
    <t>2025125670</t>
  </si>
  <si>
    <t>2025125716</t>
  </si>
  <si>
    <t>2025125715</t>
  </si>
  <si>
    <t>2025125753</t>
  </si>
  <si>
    <t>2025125754</t>
  </si>
  <si>
    <t>2025125755</t>
  </si>
  <si>
    <t>2025125752</t>
  </si>
  <si>
    <t>2025125751</t>
  </si>
  <si>
    <t>2025125689</t>
  </si>
  <si>
    <t xml:space="preserve">202512625 </t>
  </si>
  <si>
    <t>2025051568</t>
  </si>
  <si>
    <t>2025051571</t>
  </si>
  <si>
    <t>2025051567</t>
  </si>
  <si>
    <t>2025052024</t>
  </si>
  <si>
    <t>2025052023</t>
  </si>
  <si>
    <t>2025052047</t>
  </si>
  <si>
    <t>2025062831</t>
  </si>
  <si>
    <t>2025063750</t>
  </si>
  <si>
    <t>2025063749</t>
  </si>
  <si>
    <t>2025063752</t>
  </si>
  <si>
    <t>2025063751</t>
  </si>
  <si>
    <t>2025063817</t>
  </si>
  <si>
    <t>2025063820</t>
  </si>
  <si>
    <t>2025063818</t>
  </si>
  <si>
    <t>2025063819</t>
  </si>
  <si>
    <t>2025063823</t>
  </si>
  <si>
    <t>2025063822</t>
  </si>
  <si>
    <t>2025063824</t>
  </si>
  <si>
    <t>2025064060</t>
  </si>
  <si>
    <t>2025064119</t>
  </si>
  <si>
    <t>2025064140</t>
  </si>
  <si>
    <t>2025064141</t>
  </si>
  <si>
    <t>2025064275</t>
  </si>
  <si>
    <t>2025074434</t>
  </si>
  <si>
    <t>2025074463</t>
  </si>
  <si>
    <t>2025074464</t>
  </si>
  <si>
    <t>2025074472</t>
  </si>
  <si>
    <t>2025074473</t>
  </si>
  <si>
    <t>2025074685</t>
  </si>
  <si>
    <t>2025074683</t>
  </si>
  <si>
    <t>2025074684</t>
  </si>
  <si>
    <t>2025074682</t>
  </si>
  <si>
    <t>2025076311</t>
  </si>
  <si>
    <t>2025076438</t>
  </si>
  <si>
    <t>2025087880</t>
  </si>
  <si>
    <t>2025087881</t>
  </si>
  <si>
    <t>2025088278</t>
  </si>
  <si>
    <t>2025088247</t>
  </si>
  <si>
    <t>2025088283</t>
  </si>
  <si>
    <t>2025088282</t>
  </si>
  <si>
    <t>2025088380</t>
  </si>
  <si>
    <t>2025098828</t>
  </si>
  <si>
    <t>2025098827</t>
  </si>
  <si>
    <t>2025098829</t>
  </si>
  <si>
    <t>2025098860</t>
  </si>
  <si>
    <t>2025098876</t>
  </si>
  <si>
    <t>2025098877</t>
  </si>
  <si>
    <t>2025098872</t>
  </si>
  <si>
    <t>2025098878</t>
  </si>
  <si>
    <t>2025098879</t>
  </si>
  <si>
    <t>2025098880</t>
  </si>
  <si>
    <t>2025099566</t>
  </si>
  <si>
    <t>2025099851</t>
  </si>
  <si>
    <t>2025099850</t>
  </si>
  <si>
    <t>2025090332</t>
  </si>
  <si>
    <t>2025100630</t>
  </si>
  <si>
    <t>2025100917</t>
  </si>
  <si>
    <t>2025100919</t>
  </si>
  <si>
    <t>2025100918</t>
  </si>
  <si>
    <t>2025100932</t>
  </si>
  <si>
    <t>2025100948</t>
  </si>
  <si>
    <t>2025101127</t>
  </si>
  <si>
    <t>2025101134</t>
  </si>
  <si>
    <t>2025101314</t>
  </si>
  <si>
    <t>2025101315</t>
  </si>
  <si>
    <t>2025101316</t>
  </si>
  <si>
    <t>2025101317</t>
  </si>
  <si>
    <t>2025101703</t>
  </si>
  <si>
    <t>2025101780</t>
  </si>
  <si>
    <t>2025102307</t>
  </si>
  <si>
    <t>2025102306</t>
  </si>
  <si>
    <t>2025102686</t>
  </si>
  <si>
    <t>2025102691</t>
  </si>
  <si>
    <t>2025112910</t>
  </si>
  <si>
    <t>2025112911</t>
  </si>
  <si>
    <t>2025112912</t>
  </si>
  <si>
    <t>2025112890</t>
  </si>
  <si>
    <t>2025112886</t>
  </si>
  <si>
    <t>2025125038</t>
  </si>
  <si>
    <t>2025125037</t>
  </si>
  <si>
    <t>2025125036</t>
  </si>
  <si>
    <t>2025125035</t>
  </si>
  <si>
    <t>2025126558</t>
  </si>
  <si>
    <t>2025126609</t>
  </si>
  <si>
    <t>2025051793</t>
  </si>
  <si>
    <t>2025051795</t>
  </si>
  <si>
    <t>2025051794</t>
  </si>
  <si>
    <t>2025051881</t>
  </si>
  <si>
    <t>2025062753</t>
  </si>
  <si>
    <t>2025051956</t>
  </si>
  <si>
    <t>2025062752</t>
  </si>
  <si>
    <t>2025063043</t>
  </si>
  <si>
    <t>2025063042</t>
  </si>
  <si>
    <t>2025063065</t>
  </si>
  <si>
    <t>2025063066</t>
  </si>
  <si>
    <t>2025063067</t>
  </si>
  <si>
    <t>2025063257</t>
  </si>
  <si>
    <t>2025063260</t>
  </si>
  <si>
    <t>2025063408</t>
  </si>
  <si>
    <t>2025063259</t>
  </si>
  <si>
    <t>2025063432</t>
  </si>
  <si>
    <t>2025063431</t>
  </si>
  <si>
    <t>2025063552</t>
  </si>
  <si>
    <t>2025063651</t>
  </si>
  <si>
    <t>2025063691</t>
  </si>
  <si>
    <t>2025064169</t>
  </si>
  <si>
    <t>2025064137</t>
  </si>
  <si>
    <t>2025064162</t>
  </si>
  <si>
    <t>2025064317</t>
  </si>
  <si>
    <t>2025064318</t>
  </si>
  <si>
    <t>2025064319</t>
  </si>
  <si>
    <t>2025064316</t>
  </si>
  <si>
    <t>2025064315</t>
  </si>
  <si>
    <t>2025064322</t>
  </si>
  <si>
    <t>2025064326</t>
  </si>
  <si>
    <t>2025064327</t>
  </si>
  <si>
    <t>2025064367</t>
  </si>
  <si>
    <t>2025074454</t>
  </si>
  <si>
    <t>2025074470</t>
  </si>
  <si>
    <t>2025074570</t>
  </si>
  <si>
    <t>2025074569</t>
  </si>
  <si>
    <t>2025074583</t>
  </si>
  <si>
    <t xml:space="preserve">202507457 </t>
  </si>
  <si>
    <t>2025074584</t>
  </si>
  <si>
    <t>2025074571</t>
  </si>
  <si>
    <t>2025076629</t>
  </si>
  <si>
    <t>2025076630</t>
  </si>
  <si>
    <t>2025076628</t>
  </si>
  <si>
    <t>2025076642</t>
  </si>
  <si>
    <t>2025076641</t>
  </si>
  <si>
    <t>2025087510</t>
  </si>
  <si>
    <t>2025087512</t>
  </si>
  <si>
    <t>2025087511</t>
  </si>
  <si>
    <t>2025087508</t>
  </si>
  <si>
    <t>2025087509</t>
  </si>
  <si>
    <t>2025087698</t>
  </si>
  <si>
    <t>2025087700</t>
  </si>
  <si>
    <t>2025087917</t>
  </si>
  <si>
    <t>2025087916</t>
  </si>
  <si>
    <t>2025087915</t>
  </si>
  <si>
    <t>2025087914</t>
  </si>
  <si>
    <t>2025087992</t>
  </si>
  <si>
    <t>2025087993</t>
  </si>
  <si>
    <t>2025090271</t>
  </si>
  <si>
    <t>2025099735</t>
  </si>
  <si>
    <t>2025090272</t>
  </si>
  <si>
    <t>2025100629</t>
  </si>
  <si>
    <t>2025100764</t>
  </si>
  <si>
    <t>2025101438</t>
  </si>
  <si>
    <t>2025101551</t>
  </si>
  <si>
    <t>2025101585</t>
  </si>
  <si>
    <t>2025101653</t>
  </si>
  <si>
    <t>2025101884</t>
  </si>
  <si>
    <t>2025101954</t>
  </si>
  <si>
    <t>2025102110</t>
  </si>
  <si>
    <t>2025102111</t>
  </si>
  <si>
    <t>2025102475</t>
  </si>
  <si>
    <t>2025102112</t>
  </si>
  <si>
    <t>2025113898</t>
  </si>
  <si>
    <t>2025113899</t>
  </si>
  <si>
    <t>2025113900</t>
  </si>
  <si>
    <t>2025113953</t>
  </si>
  <si>
    <t>2025114434</t>
  </si>
  <si>
    <t>2025114392</t>
  </si>
  <si>
    <t>2025114421</t>
  </si>
  <si>
    <t>2025114606</t>
  </si>
  <si>
    <t>2025114615</t>
  </si>
  <si>
    <t>2025124715</t>
  </si>
  <si>
    <t>2025124716</t>
  </si>
  <si>
    <t>2025126141</t>
  </si>
  <si>
    <t>2025126142</t>
  </si>
  <si>
    <t>2025126093</t>
  </si>
  <si>
    <t>2025126152</t>
  </si>
  <si>
    <t>2025063144</t>
  </si>
  <si>
    <t>2025063251</t>
  </si>
  <si>
    <t>2025063306</t>
  </si>
  <si>
    <t>2025063316</t>
  </si>
  <si>
    <t>2025063519</t>
  </si>
  <si>
    <t>2025063906</t>
  </si>
  <si>
    <t>2025063767</t>
  </si>
  <si>
    <t>2025074415</t>
  </si>
  <si>
    <t>2025074414</t>
  </si>
  <si>
    <t>2025074416</t>
  </si>
  <si>
    <t>2025087079</t>
  </si>
  <si>
    <t>2025087078</t>
  </si>
  <si>
    <t>2025087080</t>
  </si>
  <si>
    <t>2025087083</t>
  </si>
  <si>
    <t>2025087087</t>
  </si>
  <si>
    <t>2025087077</t>
  </si>
  <si>
    <t>2025087092</t>
  </si>
  <si>
    <t>2025087099</t>
  </si>
  <si>
    <t>2025087505</t>
  </si>
  <si>
    <t>2025087506</t>
  </si>
  <si>
    <t>2025087507</t>
  </si>
  <si>
    <t>2025087600</t>
  </si>
  <si>
    <t>2025087874</t>
  </si>
  <si>
    <t>2025088012</t>
  </si>
  <si>
    <t>2025088411</t>
  </si>
  <si>
    <t>2025088412</t>
  </si>
  <si>
    <t>2025088408</t>
  </si>
  <si>
    <t>2025088410</t>
  </si>
  <si>
    <t>2025088409</t>
  </si>
  <si>
    <t>2025099053</t>
  </si>
  <si>
    <t>2025099022</t>
  </si>
  <si>
    <t>2025099019</t>
  </si>
  <si>
    <t>2025099059</t>
  </si>
  <si>
    <t>2025099409</t>
  </si>
  <si>
    <t>2025099473</t>
  </si>
  <si>
    <t>2025099478</t>
  </si>
  <si>
    <t>2025099499</t>
  </si>
  <si>
    <t>2025099498</t>
  </si>
  <si>
    <t>2025099503</t>
  </si>
  <si>
    <t>2025099504</t>
  </si>
  <si>
    <t>2025099539</t>
  </si>
  <si>
    <t>2025099795</t>
  </si>
  <si>
    <t>2025100747</t>
  </si>
  <si>
    <t>2025100748</t>
  </si>
  <si>
    <t>2025100856</t>
  </si>
  <si>
    <t>2025101312</t>
  </si>
  <si>
    <t>2025101313</t>
  </si>
  <si>
    <t>2025101658</t>
  </si>
  <si>
    <t>2025101424</t>
  </si>
  <si>
    <t>2025101754</t>
  </si>
  <si>
    <t>2025101755</t>
  </si>
  <si>
    <t>2025101749</t>
  </si>
  <si>
    <t>2025101852</t>
  </si>
  <si>
    <t>2025101836</t>
  </si>
  <si>
    <t>2025075796</t>
  </si>
  <si>
    <t>2025101835</t>
  </si>
  <si>
    <t>2025101971</t>
  </si>
  <si>
    <t>2025102125</t>
  </si>
  <si>
    <t>2025102126</t>
  </si>
  <si>
    <t>2025102130</t>
  </si>
  <si>
    <t>2025102592</t>
  </si>
  <si>
    <t>2025102591</t>
  </si>
  <si>
    <t>2025102597</t>
  </si>
  <si>
    <t>2025112945</t>
  </si>
  <si>
    <t>2025112951</t>
  </si>
  <si>
    <t>2025112952</t>
  </si>
  <si>
    <t>2025113311</t>
  </si>
  <si>
    <t>2025113615</t>
  </si>
  <si>
    <t>2025113616</t>
  </si>
  <si>
    <t>2025113617</t>
  </si>
  <si>
    <t>2025113618</t>
  </si>
  <si>
    <t>2025113623</t>
  </si>
  <si>
    <t>2025113717</t>
  </si>
  <si>
    <t>2025113844</t>
  </si>
  <si>
    <t>2025124666</t>
  </si>
  <si>
    <t>2025124667</t>
  </si>
  <si>
    <t>2025124686</t>
  </si>
  <si>
    <t>2025125787</t>
  </si>
  <si>
    <t>2025125786</t>
  </si>
  <si>
    <t>2025062356</t>
  </si>
  <si>
    <t>2025062398</t>
  </si>
  <si>
    <t>2025062396</t>
  </si>
  <si>
    <t>2025062397</t>
  </si>
  <si>
    <t>2025062614</t>
  </si>
  <si>
    <t>2025062660</t>
  </si>
  <si>
    <t>2025062789</t>
  </si>
  <si>
    <t>2025062656</t>
  </si>
  <si>
    <t>2025062654</t>
  </si>
  <si>
    <t>2025062653</t>
  </si>
  <si>
    <t>2025062790</t>
  </si>
  <si>
    <t>2025062793</t>
  </si>
  <si>
    <t>2025062792</t>
  </si>
  <si>
    <t>2025062791</t>
  </si>
  <si>
    <t>2025062794</t>
  </si>
  <si>
    <t>2025062935</t>
  </si>
  <si>
    <t>2025063553</t>
  </si>
  <si>
    <t>2025064399</t>
  </si>
  <si>
    <t>2025076627</t>
  </si>
  <si>
    <t>2025076613</t>
  </si>
  <si>
    <t>2025087195</t>
  </si>
  <si>
    <t>2025087196</t>
  </si>
  <si>
    <t>2025087197</t>
  </si>
  <si>
    <t>2025087200</t>
  </si>
  <si>
    <t>2025087198</t>
  </si>
  <si>
    <t>2025087259</t>
  </si>
  <si>
    <t>2025087287</t>
  </si>
  <si>
    <t>2025087286</t>
  </si>
  <si>
    <t>2025087288</t>
  </si>
  <si>
    <t>2025087319</t>
  </si>
  <si>
    <t>2025087320</t>
  </si>
  <si>
    <t>2025087365</t>
  </si>
  <si>
    <t>2025087364</t>
  </si>
  <si>
    <t>2025087579</t>
  </si>
  <si>
    <t>2025087595</t>
  </si>
  <si>
    <t>2025087602</t>
  </si>
  <si>
    <t>2025087601</t>
  </si>
  <si>
    <t>2025087603</t>
  </si>
  <si>
    <t>2025087961</t>
  </si>
  <si>
    <t>2025087935</t>
  </si>
  <si>
    <t>2025087930</t>
  </si>
  <si>
    <t>2025088162</t>
  </si>
  <si>
    <t>2025088361</t>
  </si>
  <si>
    <t>2025088360</t>
  </si>
  <si>
    <t>2025098460</t>
  </si>
  <si>
    <t>2025098513</t>
  </si>
  <si>
    <t>2025098510</t>
  </si>
  <si>
    <t>2025098512</t>
  </si>
  <si>
    <t>2025098511</t>
  </si>
  <si>
    <t>2025098973</t>
  </si>
  <si>
    <t>2025099787</t>
  </si>
  <si>
    <t>2025090210</t>
  </si>
  <si>
    <t>2025090209</t>
  </si>
  <si>
    <t>2025090208</t>
  </si>
  <si>
    <t>2025090207</t>
  </si>
  <si>
    <t>2025100543</t>
  </si>
  <si>
    <t>2025100809</t>
  </si>
  <si>
    <t>2025100837</t>
  </si>
  <si>
    <t>2025101025</t>
  </si>
  <si>
    <t>2025101045</t>
  </si>
  <si>
    <t>2025102390</t>
  </si>
  <si>
    <t>2025113858</t>
  </si>
  <si>
    <t>2025114213</t>
  </si>
  <si>
    <t>2025124806</t>
  </si>
  <si>
    <t>2025124805</t>
  </si>
  <si>
    <t>2025124823</t>
  </si>
  <si>
    <t>2025125268</t>
  </si>
  <si>
    <t>2025125269</t>
  </si>
  <si>
    <t>2025125363</t>
  </si>
  <si>
    <t>2025125362</t>
  </si>
  <si>
    <t>2025125364</t>
  </si>
  <si>
    <t>2025125869</t>
  </si>
  <si>
    <t>2025125870</t>
  </si>
  <si>
    <t>2025125901</t>
  </si>
  <si>
    <t>2025125957</t>
  </si>
  <si>
    <t>2025126059</t>
  </si>
  <si>
    <t>2025126024</t>
  </si>
  <si>
    <t>2025126060</t>
  </si>
  <si>
    <t>2025126287</t>
  </si>
  <si>
    <t>2025126288</t>
  </si>
  <si>
    <t>2025126524</t>
  </si>
  <si>
    <t>2025051661</t>
  </si>
  <si>
    <t>2025051673</t>
  </si>
  <si>
    <t>2025051612</t>
  </si>
  <si>
    <t>2025051606</t>
  </si>
  <si>
    <t>2025051668</t>
  </si>
  <si>
    <t>2025051790</t>
  </si>
  <si>
    <t>2025051791</t>
  </si>
  <si>
    <t>2025062834</t>
  </si>
  <si>
    <t>2024082985</t>
  </si>
  <si>
    <t>2025062835</t>
  </si>
  <si>
    <t>2025062833</t>
  </si>
  <si>
    <t>2025063146</t>
  </si>
  <si>
    <t>2025063147</t>
  </si>
  <si>
    <t>2025063148</t>
  </si>
  <si>
    <t>2025063294</t>
  </si>
  <si>
    <t>2025063543</t>
  </si>
  <si>
    <t>2025063544</t>
  </si>
  <si>
    <t>2025063542</t>
  </si>
  <si>
    <t>2025063561</t>
  </si>
  <si>
    <t>2025063560</t>
  </si>
  <si>
    <t>2025063949</t>
  </si>
  <si>
    <t>2025063950</t>
  </si>
  <si>
    <t>2025064042</t>
  </si>
  <si>
    <t>2025064041</t>
  </si>
  <si>
    <t>2025064398</t>
  </si>
  <si>
    <t>2025074572</t>
  </si>
  <si>
    <t>2025086733</t>
  </si>
  <si>
    <t>2025086730</t>
  </si>
  <si>
    <t>2025086731</t>
  </si>
  <si>
    <t>2025086732</t>
  </si>
  <si>
    <t>2025098965</t>
  </si>
  <si>
    <t>2025098963</t>
  </si>
  <si>
    <t>2025098967</t>
  </si>
  <si>
    <t>2025098966</t>
  </si>
  <si>
    <t>2025099366</t>
  </si>
  <si>
    <t>2025099369</t>
  </si>
  <si>
    <t>2025099368</t>
  </si>
  <si>
    <t>2025099375</t>
  </si>
  <si>
    <t>2025099645</t>
  </si>
  <si>
    <t>2025099722</t>
  </si>
  <si>
    <t>2025099745</t>
  </si>
  <si>
    <t>2025099892</t>
  </si>
  <si>
    <t>2025090131</t>
  </si>
  <si>
    <t>2025090133</t>
  </si>
  <si>
    <t>2025090132</t>
  </si>
  <si>
    <t>2025090002</t>
  </si>
  <si>
    <t>2025090431</t>
  </si>
  <si>
    <t>2025100486</t>
  </si>
  <si>
    <t>2025100746</t>
  </si>
  <si>
    <t>2025100744</t>
  </si>
  <si>
    <t>2025100745</t>
  </si>
  <si>
    <t>2025100743</t>
  </si>
  <si>
    <t>2025100761</t>
  </si>
  <si>
    <t>2025100949</t>
  </si>
  <si>
    <t>2025101204</t>
  </si>
  <si>
    <t>2025101591</t>
  </si>
  <si>
    <t>2025101699</t>
  </si>
  <si>
    <t>2025101955</t>
  </si>
  <si>
    <t>2025102094</t>
  </si>
  <si>
    <t>2025102262</t>
  </si>
  <si>
    <t>2025102264</t>
  </si>
  <si>
    <t>2025102263</t>
  </si>
  <si>
    <t>2025102304</t>
  </si>
  <si>
    <t>2025102473</t>
  </si>
  <si>
    <t>2025102485</t>
  </si>
  <si>
    <t>2025102477</t>
  </si>
  <si>
    <t>2025102499</t>
  </si>
  <si>
    <t>2025102498</t>
  </si>
  <si>
    <t>2025102488</t>
  </si>
  <si>
    <t>2025102474</t>
  </si>
  <si>
    <t>2025113326</t>
  </si>
  <si>
    <t>2025113990</t>
  </si>
  <si>
    <t>2025114252</t>
  </si>
  <si>
    <t>2025125842</t>
  </si>
  <si>
    <t>2025125135</t>
  </si>
  <si>
    <t>2025125841</t>
  </si>
  <si>
    <t>2025125849</t>
  </si>
  <si>
    <t>2025125850</t>
  </si>
  <si>
    <t>2025062856</t>
  </si>
  <si>
    <t>2025062857</t>
  </si>
  <si>
    <t>2025063556</t>
  </si>
  <si>
    <t>2025063738</t>
  </si>
  <si>
    <t>2025064038</t>
  </si>
  <si>
    <t>2025064163</t>
  </si>
  <si>
    <t>2025064165</t>
  </si>
  <si>
    <t>2025064164</t>
  </si>
  <si>
    <t>2025064358</t>
  </si>
  <si>
    <t>2025074452</t>
  </si>
  <si>
    <t>2025087777</t>
  </si>
  <si>
    <t>2025087488</t>
  </si>
  <si>
    <t>2025087778</t>
  </si>
  <si>
    <t>2025087779</t>
  </si>
  <si>
    <t>2025087780</t>
  </si>
  <si>
    <t>2025088304</t>
  </si>
  <si>
    <t>2025088307</t>
  </si>
  <si>
    <t>2025088309</t>
  </si>
  <si>
    <t>2025088308</t>
  </si>
  <si>
    <t>2025088306</t>
  </si>
  <si>
    <t>2025088310</t>
  </si>
  <si>
    <t>2025088357</t>
  </si>
  <si>
    <t>2025088358</t>
  </si>
  <si>
    <t>2025099999</t>
  </si>
  <si>
    <t>2025090172</t>
  </si>
  <si>
    <t>2025100756</t>
  </si>
  <si>
    <t>2025101261</t>
  </si>
  <si>
    <t>2025101486</t>
  </si>
  <si>
    <t>2025101485</t>
  </si>
  <si>
    <t>2025101487</t>
  </si>
  <si>
    <t>2025101488</t>
  </si>
  <si>
    <t>2025101813</t>
  </si>
  <si>
    <t>2025102369</t>
  </si>
  <si>
    <t>2025102341</t>
  </si>
  <si>
    <t>2025102340</t>
  </si>
  <si>
    <t>2025112757</t>
  </si>
  <si>
    <t>2025113360</t>
  </si>
  <si>
    <t>2025113361</t>
  </si>
  <si>
    <t>2025113468</t>
  </si>
  <si>
    <t>2025113467</t>
  </si>
  <si>
    <t>2025113466</t>
  </si>
  <si>
    <t>2025113686</t>
  </si>
  <si>
    <t>2025126370</t>
  </si>
  <si>
    <t>2025126396</t>
  </si>
  <si>
    <t>2025052119</t>
  </si>
  <si>
    <t>2025052169</t>
  </si>
  <si>
    <t>2025052148</t>
  </si>
  <si>
    <t>2025052141</t>
  </si>
  <si>
    <t>2025052168</t>
  </si>
  <si>
    <t>2025052170</t>
  </si>
  <si>
    <t>2025062767</t>
  </si>
  <si>
    <t>2025062959</t>
  </si>
  <si>
    <t>2025063036</t>
  </si>
  <si>
    <t>2025063186</t>
  </si>
  <si>
    <t>2025063359</t>
  </si>
  <si>
    <t>2025063430</t>
  </si>
  <si>
    <t>2025063662</t>
  </si>
  <si>
    <t>2025063663</t>
  </si>
  <si>
    <t>2025063666</t>
  </si>
  <si>
    <t>2025063665</t>
  </si>
  <si>
    <t>2025063664</t>
  </si>
  <si>
    <t>2025063948</t>
  </si>
  <si>
    <t>2025063947</t>
  </si>
  <si>
    <t>2025063965</t>
  </si>
  <si>
    <t>2025063963</t>
  </si>
  <si>
    <t>2025063962</t>
  </si>
  <si>
    <t>2025064220</t>
  </si>
  <si>
    <t>2025064264</t>
  </si>
  <si>
    <t>2025064265</t>
  </si>
  <si>
    <t>2025064274</t>
  </si>
  <si>
    <t>2025074553</t>
  </si>
  <si>
    <t>2025074609</t>
  </si>
  <si>
    <t>2025076308</t>
  </si>
  <si>
    <t>2025087498</t>
  </si>
  <si>
    <t>2025087587</t>
  </si>
  <si>
    <t>2025087750</t>
  </si>
  <si>
    <t>2025087751</t>
  </si>
  <si>
    <t>2025088320</t>
  </si>
  <si>
    <t>2025098632</t>
  </si>
  <si>
    <t>2025098631</t>
  </si>
  <si>
    <t>2025098630</t>
  </si>
  <si>
    <t>2025099270</t>
  </si>
  <si>
    <t>2025099266</t>
  </si>
  <si>
    <t>2025099274</t>
  </si>
  <si>
    <t>2025099275</t>
  </si>
  <si>
    <t>2025099870</t>
  </si>
  <si>
    <t>2025100738</t>
  </si>
  <si>
    <t>2025100739</t>
  </si>
  <si>
    <t>2025100742</t>
  </si>
  <si>
    <t>2025101338</t>
  </si>
  <si>
    <t>2025101337</t>
  </si>
  <si>
    <t>2025101336</t>
  </si>
  <si>
    <t>2025102047</t>
  </si>
  <si>
    <t>2025102048</t>
  </si>
  <si>
    <t>2025102305</t>
  </si>
  <si>
    <t>2025112768</t>
  </si>
  <si>
    <t>2025113174</t>
  </si>
  <si>
    <t>2025113707</t>
  </si>
  <si>
    <t>2025113984</t>
  </si>
  <si>
    <t>2025113985</t>
  </si>
  <si>
    <t>2025114119</t>
  </si>
  <si>
    <t>2025114238</t>
  </si>
  <si>
    <t>2025114237</t>
  </si>
  <si>
    <t>2025114239</t>
  </si>
  <si>
    <t>2025125136</t>
  </si>
  <si>
    <t>2025125138</t>
  </si>
  <si>
    <t>2025126352</t>
  </si>
  <si>
    <t>2026016624</t>
  </si>
  <si>
    <t>2026016650</t>
  </si>
  <si>
    <t>2026016649</t>
  </si>
  <si>
    <t>2026016656</t>
  </si>
  <si>
    <t>2026016655</t>
  </si>
  <si>
    <t>2026016758</t>
  </si>
  <si>
    <t>2026016759</t>
  </si>
  <si>
    <t>2026016760</t>
  </si>
  <si>
    <t>2026016761</t>
  </si>
  <si>
    <t>2026016762</t>
  </si>
  <si>
    <t>2026016765</t>
  </si>
  <si>
    <t>2026016991</t>
  </si>
  <si>
    <t>2026017122</t>
  </si>
  <si>
    <t>2026017009</t>
  </si>
  <si>
    <t>2026017034</t>
  </si>
  <si>
    <t>2026017035</t>
  </si>
  <si>
    <t>2026017071</t>
  </si>
  <si>
    <t>2026017068</t>
  </si>
  <si>
    <t>2026017069</t>
  </si>
  <si>
    <t>2026016846</t>
  </si>
  <si>
    <t>2026016815</t>
  </si>
  <si>
    <t>2026016878</t>
  </si>
  <si>
    <t>2026016877</t>
  </si>
  <si>
    <t>2026016876</t>
  </si>
  <si>
    <t>2026016849</t>
  </si>
  <si>
    <t>2026016886</t>
  </si>
  <si>
    <t>2026016976</t>
  </si>
  <si>
    <t>2026016979</t>
  </si>
  <si>
    <t>2026017137</t>
  </si>
  <si>
    <t>2026017138</t>
  </si>
  <si>
    <t>2026017139</t>
  </si>
  <si>
    <t>2026017140</t>
  </si>
  <si>
    <t>2026017182</t>
  </si>
  <si>
    <t>2026017187</t>
  </si>
  <si>
    <t>2026017195</t>
  </si>
  <si>
    <t>2026017194</t>
  </si>
  <si>
    <t>2026017202</t>
  </si>
  <si>
    <t>2026017115</t>
  </si>
  <si>
    <t>2026017141</t>
  </si>
  <si>
    <t>?</t>
  </si>
  <si>
    <t>*</t>
    <phoneticPr fontId="1"/>
  </si>
  <si>
    <t>2026/01/14</t>
  </si>
  <si>
    <t xml:space="preserve">  5.32</t>
  </si>
  <si>
    <t xml:space="preserve">  5.49</t>
  </si>
  <si>
    <t xml:space="preserve">  5.65</t>
  </si>
  <si>
    <t xml:space="preserve">  5.95</t>
  </si>
  <si>
    <t xml:space="preserve">  6.07</t>
  </si>
  <si>
    <t xml:space="preserve"> 1.324</t>
  </si>
  <si>
    <t>2026/01/15</t>
  </si>
  <si>
    <t>2026/01/16</t>
  </si>
  <si>
    <t>2026/01/17</t>
  </si>
  <si>
    <t>2026/01/18</t>
  </si>
  <si>
    <t>2026/01/19</t>
  </si>
  <si>
    <t>2026/01/20</t>
  </si>
  <si>
    <t>2026/01/21</t>
  </si>
  <si>
    <t>2026/01/22</t>
  </si>
  <si>
    <t>2026/01/23</t>
  </si>
  <si>
    <t>2026/01/24</t>
  </si>
  <si>
    <t>2026/01/25</t>
  </si>
  <si>
    <t>2026/01/26</t>
  </si>
  <si>
    <t>2026/01/27</t>
  </si>
  <si>
    <t>2026/01/28</t>
  </si>
  <si>
    <t>2026/01/29</t>
  </si>
  <si>
    <t>2026/01/30</t>
  </si>
  <si>
    <t>2026/01/31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</si>
</sst>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&quot;年&quot;m&quot;月&quot;d&quot;日&quot;;@"/>
    <numFmt numFmtId="177" formatCode="#,##0.000_ "/>
    <numFmt numFmtId="178" formatCode="0.000_ "/>
    <numFmt numFmtId="179" formatCode="yyyy/mm/dd"/>
    <numFmt numFmtId="180" formatCode="0.000_);[Red]\(0.000\)"/>
    <numFmt numFmtId="181" formatCode="0&quot;cm&quot;"/>
    <numFmt numFmtId="182" formatCode="0.0&quot;cm&quot;"/>
    <numFmt numFmtId="183" formatCode="0.00_ "/>
    <numFmt numFmtId="184" formatCode="0.00_);[Red]\(0.00\)"/>
  </numFmts>
  <fonts count="2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sz val="14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b/>
      <sz val="16"/>
      <color theme="1"/>
      <name val="ＭＳ Ｐ明朝"/>
      <family val="1"/>
      <charset val="128"/>
    </font>
    <font>
      <b/>
      <sz val="12"/>
      <color theme="1"/>
      <name val="ＭＳ Ｐ明朝"/>
      <family val="1"/>
      <charset val="128"/>
    </font>
    <font>
      <b/>
      <sz val="14"/>
      <color theme="1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1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name val="ＭＳ ゴシック"/>
      <family val="3"/>
      <charset val="128"/>
    </font>
    <font>
      <sz val="2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2" fillId="0" borderId="0"/>
    <xf numFmtId="0" fontId="20" fillId="0" borderId="0">
      <alignment vertical="center"/>
    </xf>
  </cellStyleXfs>
  <cellXfs count="174">
    <xf numFmtId="0" fontId="0" fillId="0" borderId="0" xfId="0">
      <alignment vertical="center"/>
    </xf>
    <xf numFmtId="0" fontId="0" fillId="0" borderId="9" xfId="0" applyBorder="1">
      <alignment vertical="center"/>
    </xf>
    <xf numFmtId="0" fontId="4" fillId="0" borderId="0" xfId="0" applyFo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Alignment="1"/>
    <xf numFmtId="0" fontId="3" fillId="0" borderId="10" xfId="0" applyFont="1" applyBorder="1" applyAlignment="1">
      <alignment horizontal="center" vertical="center" wrapText="1" shrinkToFit="1"/>
    </xf>
    <xf numFmtId="0" fontId="0" fillId="0" borderId="11" xfId="0" applyBorder="1">
      <alignment vertical="center"/>
    </xf>
    <xf numFmtId="0" fontId="4" fillId="0" borderId="11" xfId="0" applyFont="1" applyBorder="1">
      <alignment vertical="center"/>
    </xf>
    <xf numFmtId="0" fontId="6" fillId="0" borderId="0" xfId="0" applyFont="1">
      <alignment vertical="center"/>
    </xf>
    <xf numFmtId="0" fontId="2" fillId="0" borderId="9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5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7" xfId="0" applyFont="1" applyBorder="1">
      <alignment vertical="center"/>
    </xf>
    <xf numFmtId="0" fontId="6" fillId="0" borderId="0" xfId="0" applyFont="1" applyAlignment="1">
      <alignment horizontal="right" vertical="center"/>
    </xf>
    <xf numFmtId="0" fontId="9" fillId="0" borderId="7" xfId="0" applyFont="1" applyBorder="1" applyAlignment="1">
      <alignment vertical="center" shrinkToFi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5" xfId="0" applyFill="1" applyBorder="1">
      <alignment vertical="center"/>
    </xf>
    <xf numFmtId="0" fontId="0" fillId="4" borderId="15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8" fillId="0" borderId="0" xfId="0" applyNumberFormat="1" applyFont="1" applyAlignment="1">
      <alignment vertical="center" shrinkToFit="1"/>
    </xf>
    <xf numFmtId="0" fontId="4" fillId="0" borderId="5" xfId="0" applyFont="1" applyBorder="1" applyAlignment="1">
      <alignment horizontal="right" vertical="center"/>
    </xf>
    <xf numFmtId="0" fontId="4" fillId="0" borderId="9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4" fillId="0" borderId="4" xfId="0" applyFont="1" applyBorder="1" applyAlignment="1"/>
    <xf numFmtId="0" fontId="7" fillId="0" borderId="0" xfId="0" applyFont="1" applyAlignment="1"/>
    <xf numFmtId="0" fontId="10" fillId="0" borderId="0" xfId="0" applyFont="1" applyAlignment="1"/>
    <xf numFmtId="179" fontId="0" fillId="5" borderId="15" xfId="0" applyNumberFormat="1" applyFill="1" applyBorder="1">
      <alignment vertical="center"/>
    </xf>
    <xf numFmtId="0" fontId="0" fillId="6" borderId="15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wrapText="1"/>
    </xf>
    <xf numFmtId="0" fontId="12" fillId="0" borderId="0" xfId="1"/>
    <xf numFmtId="0" fontId="12" fillId="0" borderId="0" xfId="1" applyAlignment="1">
      <alignment horizontal="center"/>
    </xf>
    <xf numFmtId="49" fontId="0" fillId="5" borderId="15" xfId="0" applyNumberFormat="1" applyFill="1" applyBorder="1" applyAlignment="1">
      <alignment horizontal="center" vertical="center"/>
    </xf>
    <xf numFmtId="14" fontId="0" fillId="7" borderId="15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5" xfId="0" applyFill="1" applyBorder="1">
      <alignment vertical="center"/>
    </xf>
    <xf numFmtId="0" fontId="0" fillId="0" borderId="15" xfId="0" applyBorder="1" applyAlignment="1">
      <alignment vertical="center" wrapText="1"/>
    </xf>
    <xf numFmtId="180" fontId="0" fillId="7" borderId="15" xfId="0" applyNumberFormat="1" applyFill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 wrapText="1"/>
    </xf>
    <xf numFmtId="55" fontId="0" fillId="0" borderId="15" xfId="0" applyNumberForma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6" borderId="15" xfId="0" applyFont="1" applyFill="1" applyBorder="1" applyAlignment="1">
      <alignment horizontal="center" vertical="center"/>
    </xf>
    <xf numFmtId="0" fontId="19" fillId="9" borderId="19" xfId="0" applyFont="1" applyFill="1" applyBorder="1" applyAlignment="1">
      <alignment horizontal="center" vertical="center"/>
    </xf>
    <xf numFmtId="0" fontId="19" fillId="9" borderId="22" xfId="0" applyFont="1" applyFill="1" applyBorder="1" applyAlignment="1">
      <alignment horizontal="center" vertical="center"/>
    </xf>
    <xf numFmtId="14" fontId="19" fillId="8" borderId="15" xfId="0" applyNumberFormat="1" applyFont="1" applyFill="1" applyBorder="1" applyProtection="1">
      <alignment vertical="center"/>
      <protection locked="0"/>
    </xf>
    <xf numFmtId="178" fontId="0" fillId="8" borderId="20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0" borderId="15" xfId="0" applyNumberFormat="1" applyBorder="1" applyAlignment="1">
      <alignment horizontal="center" vertical="center" wrapText="1"/>
    </xf>
    <xf numFmtId="14" fontId="19" fillId="6" borderId="15" xfId="0" applyNumberFormat="1" applyFont="1" applyFill="1" applyBorder="1" applyAlignment="1">
      <alignment horizontal="center" vertical="center" shrinkToFit="1"/>
    </xf>
    <xf numFmtId="14" fontId="19" fillId="6" borderId="20" xfId="0" applyNumberFormat="1" applyFont="1" applyFill="1" applyBorder="1" applyAlignment="1">
      <alignment horizontal="center" vertical="center" shrinkToFit="1"/>
    </xf>
    <xf numFmtId="0" fontId="19" fillId="6" borderId="20" xfId="0" applyFont="1" applyFill="1" applyBorder="1" applyAlignment="1">
      <alignment horizontal="center" vertical="center"/>
    </xf>
    <xf numFmtId="31" fontId="0" fillId="0" borderId="15" xfId="0" applyNumberFormat="1" applyBorder="1" applyAlignment="1">
      <alignment horizontal="center" vertical="center" wrapText="1"/>
    </xf>
    <xf numFmtId="178" fontId="0" fillId="8" borderId="24" xfId="0" applyNumberFormat="1" applyFill="1" applyBorder="1" applyAlignment="1" applyProtection="1">
      <alignment horizontal="center" vertical="center"/>
      <protection locked="0"/>
    </xf>
    <xf numFmtId="0" fontId="0" fillId="0" borderId="5" xfId="0" applyBorder="1">
      <alignment vertical="center"/>
    </xf>
    <xf numFmtId="183" fontId="0" fillId="8" borderId="20" xfId="0" applyNumberFormat="1" applyFill="1" applyBorder="1" applyAlignment="1" applyProtection="1">
      <alignment horizontal="center" vertical="center"/>
      <protection locked="0"/>
    </xf>
    <xf numFmtId="183" fontId="0" fillId="8" borderId="23" xfId="0" applyNumberForma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84" fontId="0" fillId="7" borderId="15" xfId="0" applyNumberFormat="1" applyFill="1" applyBorder="1" applyAlignment="1">
      <alignment horizontal="center" vertical="center"/>
    </xf>
    <xf numFmtId="0" fontId="4" fillId="0" borderId="5" xfId="0" applyFont="1" applyBorder="1" applyAlignment="1">
      <alignment vertical="center" shrinkToFit="1"/>
    </xf>
    <xf numFmtId="31" fontId="8" fillId="0" borderId="0" xfId="0" applyNumberFormat="1" applyFont="1" applyAlignment="1"/>
    <xf numFmtId="0" fontId="20" fillId="0" borderId="0" xfId="2">
      <alignment vertical="center"/>
    </xf>
    <xf numFmtId="0" fontId="23" fillId="0" borderId="0" xfId="2" applyFont="1">
      <alignment vertical="center"/>
    </xf>
    <xf numFmtId="0" fontId="20" fillId="0" borderId="0" xfId="2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0" borderId="15" xfId="2" applyFont="1" applyBorder="1" applyAlignment="1">
      <alignment horizontal="center" vertical="center"/>
    </xf>
    <xf numFmtId="0" fontId="23" fillId="0" borderId="15" xfId="2" applyFont="1" applyBorder="1">
      <alignment vertical="center"/>
    </xf>
    <xf numFmtId="14" fontId="23" fillId="0" borderId="15" xfId="2" applyNumberFormat="1" applyFont="1" applyBorder="1" applyAlignment="1">
      <alignment horizontal="center" vertical="center"/>
    </xf>
    <xf numFmtId="49" fontId="23" fillId="0" borderId="15" xfId="2" applyNumberFormat="1" applyFont="1" applyBorder="1" applyAlignment="1">
      <alignment horizontal="center" vertical="center"/>
    </xf>
    <xf numFmtId="0" fontId="23" fillId="0" borderId="15" xfId="2" applyFont="1" applyBorder="1" applyAlignment="1">
      <alignment vertical="center" wrapText="1"/>
    </xf>
    <xf numFmtId="0" fontId="23" fillId="0" borderId="0" xfId="2" applyFont="1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4" fillId="2" borderId="0" xfId="0" applyNumberFormat="1" applyFont="1" applyFill="1" applyProtection="1">
      <alignment vertical="center"/>
      <protection locked="0"/>
    </xf>
    <xf numFmtId="0" fontId="4" fillId="0" borderId="0" xfId="0" applyFont="1" applyAlignment="1">
      <alignment horizontal="center" vertical="center" shrinkToFit="1"/>
    </xf>
    <xf numFmtId="0" fontId="4" fillId="0" borderId="7" xfId="0" applyFont="1" applyBorder="1" applyAlignment="1">
      <alignment horizontal="center" vertical="center"/>
    </xf>
    <xf numFmtId="182" fontId="7" fillId="2" borderId="0" xfId="0" applyNumberFormat="1" applyFont="1" applyFill="1" applyAlignment="1" applyProtection="1">
      <alignment vertical="center" shrinkToFit="1"/>
      <protection locked="0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>
      <alignment vertical="center" shrinkToFit="1"/>
    </xf>
    <xf numFmtId="0" fontId="11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31" fontId="8" fillId="8" borderId="0" xfId="0" applyNumberFormat="1" applyFont="1" applyFill="1" applyAlignment="1" applyProtection="1">
      <alignment horizontal="center" shrinkToFit="1"/>
      <protection locked="0"/>
    </xf>
    <xf numFmtId="183" fontId="8" fillId="2" borderId="0" xfId="0" applyNumberFormat="1" applyFont="1" applyFill="1" applyAlignment="1" applyProtection="1">
      <alignment horizontal="center" vertical="center" shrinkToFit="1"/>
      <protection locked="0"/>
    </xf>
    <xf numFmtId="182" fontId="7" fillId="2" borderId="0" xfId="0" applyNumberFormat="1" applyFont="1" applyFill="1" applyAlignment="1" applyProtection="1">
      <alignment horizontal="center" vertical="center" shrinkToFit="1"/>
      <protection locked="0"/>
    </xf>
    <xf numFmtId="0" fontId="4" fillId="0" borderId="15" xfId="0" applyFont="1" applyBorder="1" applyAlignment="1">
      <alignment horizontal="center" vertical="center"/>
    </xf>
    <xf numFmtId="0" fontId="4" fillId="8" borderId="1" xfId="0" applyFont="1" applyFill="1" applyBorder="1" applyAlignment="1" applyProtection="1">
      <alignment horizontal="center" vertical="center" wrapText="1" shrinkToFit="1"/>
      <protection locked="0"/>
    </xf>
    <xf numFmtId="0" fontId="4" fillId="8" borderId="2" xfId="0" applyFont="1" applyFill="1" applyBorder="1" applyAlignment="1" applyProtection="1">
      <alignment horizontal="center" vertical="center" shrinkToFit="1"/>
      <protection locked="0"/>
    </xf>
    <xf numFmtId="0" fontId="4" fillId="8" borderId="3" xfId="0" applyFont="1" applyFill="1" applyBorder="1" applyAlignment="1" applyProtection="1">
      <alignment horizontal="center" vertical="center" shrinkToFit="1"/>
      <protection locked="0"/>
    </xf>
    <xf numFmtId="0" fontId="4" fillId="8" borderId="6" xfId="0" applyFont="1" applyFill="1" applyBorder="1" applyAlignment="1" applyProtection="1">
      <alignment horizontal="center" vertical="center" shrinkToFit="1"/>
      <protection locked="0"/>
    </xf>
    <xf numFmtId="0" fontId="4" fillId="8" borderId="7" xfId="0" applyFont="1" applyFill="1" applyBorder="1" applyAlignment="1" applyProtection="1">
      <alignment horizontal="center" vertical="center" shrinkToFit="1"/>
      <protection locked="0"/>
    </xf>
    <xf numFmtId="0" fontId="4" fillId="8" borderId="8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0" fillId="0" borderId="6" xfId="0" applyFont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176" fontId="9" fillId="2" borderId="15" xfId="0" applyNumberFormat="1" applyFont="1" applyFill="1" applyBorder="1" applyAlignment="1" applyProtection="1">
      <alignment horizontal="center" vertical="center"/>
      <protection locked="0"/>
    </xf>
    <xf numFmtId="49" fontId="9" fillId="2" borderId="15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/>
    <xf numFmtId="0" fontId="6" fillId="0" borderId="5" xfId="0" applyFont="1" applyBorder="1" applyAlignment="1"/>
    <xf numFmtId="181" fontId="7" fillId="0" borderId="0" xfId="0" applyNumberFormat="1" applyFon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0" xfId="0" applyFont="1">
      <alignment vertical="center"/>
    </xf>
    <xf numFmtId="183" fontId="8" fillId="0" borderId="0" xfId="0" applyNumberFormat="1" applyFont="1" applyAlignment="1">
      <alignment horizontal="center" vertical="center"/>
    </xf>
    <xf numFmtId="178" fontId="8" fillId="2" borderId="0" xfId="0" applyNumberFormat="1" applyFont="1" applyFill="1" applyAlignment="1" applyProtection="1">
      <alignment horizontal="center" vertical="center"/>
      <protection locked="0"/>
    </xf>
    <xf numFmtId="31" fontId="8" fillId="8" borderId="0" xfId="0" applyNumberFormat="1" applyFont="1" applyFill="1" applyAlignment="1" applyProtection="1">
      <alignment horizontal="center"/>
      <protection locked="0"/>
    </xf>
    <xf numFmtId="181" fontId="7" fillId="2" borderId="0" xfId="0" applyNumberFormat="1" applyFont="1" applyFill="1" applyAlignment="1" applyProtection="1">
      <alignment horizontal="center" vertical="center" shrinkToFit="1"/>
      <protection locked="0"/>
    </xf>
    <xf numFmtId="177" fontId="8" fillId="0" borderId="0" xfId="0" applyNumberFormat="1" applyFont="1" applyAlignment="1">
      <alignment vertical="center" shrinkToFit="1"/>
    </xf>
    <xf numFmtId="177" fontId="8" fillId="2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183" fontId="0" fillId="0" borderId="15" xfId="0" applyNumberFormat="1" applyBorder="1" applyAlignment="1">
      <alignment horizontal="center" vertical="center"/>
    </xf>
    <xf numFmtId="0" fontId="19" fillId="9" borderId="19" xfId="0" applyFont="1" applyFill="1" applyBorder="1" applyAlignment="1">
      <alignment horizontal="center" vertical="center"/>
    </xf>
    <xf numFmtId="0" fontId="19" fillId="9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0" fontId="19" fillId="9" borderId="16" xfId="0" applyFont="1" applyFill="1" applyBorder="1" applyAlignment="1">
      <alignment horizontal="center" vertical="center"/>
    </xf>
    <xf numFmtId="0" fontId="19" fillId="9" borderId="17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19" fillId="9" borderId="26" xfId="0" applyFont="1" applyFill="1" applyBorder="1" applyAlignment="1">
      <alignment horizontal="center" vertical="center"/>
    </xf>
    <xf numFmtId="0" fontId="19" fillId="9" borderId="27" xfId="0" applyFont="1" applyFill="1" applyBorder="1" applyAlignment="1">
      <alignment horizontal="center" vertical="center"/>
    </xf>
    <xf numFmtId="0" fontId="19" fillId="9" borderId="25" xfId="0" applyFont="1" applyFill="1" applyBorder="1" applyAlignment="1">
      <alignment horizontal="center" vertical="center"/>
    </xf>
    <xf numFmtId="0" fontId="19" fillId="9" borderId="18" xfId="0" applyFont="1" applyFill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22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9" fillId="9" borderId="28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0" fillId="4" borderId="1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3">
    <cellStyle name="標準" xfId="0" builtinId="0"/>
    <cellStyle name="標準 2" xfId="2" xr:uid="{00000000-0005-0000-0000-000001000000}"/>
    <cellStyle name="標準_設定値" xfId="1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99"/>
      <color rgb="FFCCFFFF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295276</xdr:colOff>
      <xdr:row>15</xdr:row>
      <xdr:rowOff>112568</xdr:rowOff>
    </xdr:from>
    <xdr:to>
      <xdr:col>20</xdr:col>
      <xdr:colOff>9526</xdr:colOff>
      <xdr:row>15</xdr:row>
      <xdr:rowOff>112568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416753" y="2398568"/>
          <a:ext cx="3351068" cy="0"/>
        </a:xfrm>
        <a:prstGeom prst="line">
          <a:avLst/>
        </a:prstGeom>
        <a:ln w="508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164523</xdr:colOff>
      <xdr:row>15</xdr:row>
      <xdr:rowOff>25979</xdr:rowOff>
    </xdr:from>
    <xdr:to>
      <xdr:col>15</xdr:col>
      <xdr:colOff>160193</xdr:colOff>
      <xdr:row>15</xdr:row>
      <xdr:rowOff>168853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899264" y="3591386"/>
          <a:ext cx="578929" cy="142874"/>
          <a:chOff x="3991841" y="3169229"/>
          <a:chExt cx="601807" cy="142874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3991841" y="3169229"/>
            <a:ext cx="225136" cy="14287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ctr" anchorCtr="1">
            <a:noAutofit/>
          </a:bodyPr>
          <a:lstStyle/>
          <a:p>
            <a:r>
              <a:rPr kumimoji="1" lang="ja-JP" altLang="en-US" sz="1000"/>
              <a:t>線</a:t>
            </a:r>
          </a:p>
        </xdr:txBody>
      </xdr:sp>
      <xdr:sp macro="" textlink="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368512" y="3169229"/>
            <a:ext cx="225136" cy="14287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ctr" anchorCtr="1">
            <a:noAutofit/>
          </a:bodyPr>
          <a:lstStyle/>
          <a:p>
            <a:r>
              <a:rPr kumimoji="1" lang="ja-JP" altLang="en-US" sz="1000"/>
              <a:t>源</a:t>
            </a:r>
          </a:p>
        </xdr:txBody>
      </xdr:sp>
    </xdr:grpSp>
    <xdr:clientData/>
  </xdr:twoCellAnchor>
  <xdr:oneCellAnchor>
    <xdr:from>
      <xdr:col>8</xdr:col>
      <xdr:colOff>25978</xdr:colOff>
      <xdr:row>27</xdr:row>
      <xdr:rowOff>77932</xdr:rowOff>
    </xdr:from>
    <xdr:ext cx="385555" cy="91499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47455" y="3835977"/>
          <a:ext cx="385555" cy="91499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r>
            <a:rPr kumimoji="1" lang="ja-JP" altLang="en-US" sz="1100"/>
            <a:t>線源保護板</a:t>
          </a:r>
        </a:p>
      </xdr:txBody>
    </xdr:sp>
    <xdr:clientData/>
  </xdr:oneCellAnchor>
  <xdr:twoCellAnchor>
    <xdr:from>
      <xdr:col>9</xdr:col>
      <xdr:colOff>0</xdr:colOff>
      <xdr:row>23</xdr:row>
      <xdr:rowOff>0</xdr:rowOff>
    </xdr:from>
    <xdr:to>
      <xdr:col>9</xdr:col>
      <xdr:colOff>0</xdr:colOff>
      <xdr:row>36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2424545" y="3281795"/>
          <a:ext cx="0" cy="225136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3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V="1">
          <a:off x="3217333" y="6836833"/>
          <a:ext cx="328084" cy="14817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85725</xdr:rowOff>
    </xdr:from>
    <xdr:to>
      <xdr:col>13</xdr:col>
      <xdr:colOff>141684</xdr:colOff>
      <xdr:row>24</xdr:row>
      <xdr:rowOff>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V="1">
          <a:off x="2705100" y="3867150"/>
          <a:ext cx="1437084" cy="6762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21</xdr:row>
      <xdr:rowOff>0</xdr:rowOff>
    </xdr:from>
    <xdr:to>
      <xdr:col>13</xdr:col>
      <xdr:colOff>0</xdr:colOff>
      <xdr:row>28</xdr:row>
      <xdr:rowOff>0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3645477" y="3931227"/>
          <a:ext cx="0" cy="1246909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22</xdr:row>
      <xdr:rowOff>0</xdr:rowOff>
    </xdr:from>
    <xdr:to>
      <xdr:col>13</xdr:col>
      <xdr:colOff>0</xdr:colOff>
      <xdr:row>22</xdr:row>
      <xdr:rowOff>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 flipH="1">
          <a:off x="2467841" y="4087091"/>
          <a:ext cx="1177636" cy="0"/>
        </a:xfrm>
        <a:prstGeom prst="line">
          <a:avLst/>
        </a:prstGeom>
        <a:ln>
          <a:solidFill>
            <a:sysClr val="windowText" lastClr="000000"/>
          </a:solidFill>
          <a:headEnd type="stealth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76200</xdr:rowOff>
    </xdr:from>
    <xdr:to>
      <xdr:col>24</xdr:col>
      <xdr:colOff>0</xdr:colOff>
      <xdr:row>8</xdr:row>
      <xdr:rowOff>76200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>
          <a:off x="276225" y="1628775"/>
          <a:ext cx="79248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190500</xdr:colOff>
      <xdr:row>15</xdr:row>
      <xdr:rowOff>0</xdr:rowOff>
    </xdr:from>
    <xdr:ext cx="325730" cy="27571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/>
      </xdr:nvSpPr>
      <xdr:spPr>
        <a:xfrm>
          <a:off x="6734175" y="2828925"/>
          <a:ext cx="32573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東</a:t>
          </a:r>
        </a:p>
      </xdr:txBody>
    </xdr:sp>
    <xdr:clientData/>
  </xdr:oneCellAnchor>
  <xdr:oneCellAnchor>
    <xdr:from>
      <xdr:col>7</xdr:col>
      <xdr:colOff>142875</xdr:colOff>
      <xdr:row>14</xdr:row>
      <xdr:rowOff>190500</xdr:rowOff>
    </xdr:from>
    <xdr:ext cx="325730" cy="27571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2419350" y="2800350"/>
          <a:ext cx="32573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西</a:t>
          </a:r>
        </a:p>
      </xdr:txBody>
    </xdr:sp>
    <xdr:clientData/>
  </xdr:oneCellAnchor>
  <xdr:twoCellAnchor>
    <xdr:from>
      <xdr:col>1</xdr:col>
      <xdr:colOff>0</xdr:colOff>
      <xdr:row>11</xdr:row>
      <xdr:rowOff>100013</xdr:rowOff>
    </xdr:from>
    <xdr:to>
      <xdr:col>24</xdr:col>
      <xdr:colOff>0</xdr:colOff>
      <xdr:row>11</xdr:row>
      <xdr:rowOff>100013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CxnSpPr/>
      </xdr:nvCxnSpPr>
      <xdr:spPr>
        <a:xfrm>
          <a:off x="273844" y="2243138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36</xdr:row>
      <xdr:rowOff>88107</xdr:rowOff>
    </xdr:from>
    <xdr:to>
      <xdr:col>24</xdr:col>
      <xdr:colOff>0</xdr:colOff>
      <xdr:row>36</xdr:row>
      <xdr:rowOff>88107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/>
      </xdr:nvCxnSpPr>
      <xdr:spPr>
        <a:xfrm>
          <a:off x="273844" y="6005513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100012</xdr:rowOff>
    </xdr:from>
    <xdr:to>
      <xdr:col>24</xdr:col>
      <xdr:colOff>0</xdr:colOff>
      <xdr:row>42</xdr:row>
      <xdr:rowOff>100012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>
          <a:off x="273844" y="6838950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100013</xdr:rowOff>
    </xdr:from>
    <xdr:to>
      <xdr:col>24</xdr:col>
      <xdr:colOff>0</xdr:colOff>
      <xdr:row>45</xdr:row>
      <xdr:rowOff>100013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273844" y="7422357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51</xdr:row>
      <xdr:rowOff>88106</xdr:rowOff>
    </xdr:from>
    <xdr:to>
      <xdr:col>24</xdr:col>
      <xdr:colOff>0</xdr:colOff>
      <xdr:row>51</xdr:row>
      <xdr:rowOff>88106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273844" y="8410575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53</xdr:row>
      <xdr:rowOff>91354</xdr:rowOff>
    </xdr:from>
    <xdr:to>
      <xdr:col>24</xdr:col>
      <xdr:colOff>0</xdr:colOff>
      <xdr:row>53</xdr:row>
      <xdr:rowOff>91354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0" y="8871672"/>
          <a:ext cx="7221682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21</xdr:row>
      <xdr:rowOff>0</xdr:rowOff>
    </xdr:from>
    <xdr:to>
      <xdr:col>9</xdr:col>
      <xdr:colOff>0</xdr:colOff>
      <xdr:row>23</xdr:row>
      <xdr:rowOff>0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CxnSpPr/>
      </xdr:nvCxnSpPr>
      <xdr:spPr>
        <a:xfrm>
          <a:off x="2467841" y="3931227"/>
          <a:ext cx="0" cy="467591"/>
        </a:xfrm>
        <a:prstGeom prst="line">
          <a:avLst/>
        </a:prstGeom>
        <a:ln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55</xdr:row>
      <xdr:rowOff>115167</xdr:rowOff>
    </xdr:from>
    <xdr:to>
      <xdr:col>24</xdr:col>
      <xdr:colOff>0</xdr:colOff>
      <xdr:row>55</xdr:row>
      <xdr:rowOff>115167</xdr:rowOff>
    </xdr:to>
    <xdr:cxnSp macro="">
      <xdr:nvCxnSpPr>
        <xdr:cNvPr id="161" name="直線コネクタ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CxnSpPr/>
      </xdr:nvCxnSpPr>
      <xdr:spPr>
        <a:xfrm>
          <a:off x="0" y="9914011"/>
          <a:ext cx="7834313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36</xdr:row>
      <xdr:rowOff>2</xdr:rowOff>
    </xdr:from>
    <xdr:to>
      <xdr:col>18</xdr:col>
      <xdr:colOff>0</xdr:colOff>
      <xdr:row>36</xdr:row>
      <xdr:rowOff>2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3217333" y="6985002"/>
          <a:ext cx="29527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</xdr:row>
      <xdr:rowOff>55032</xdr:rowOff>
    </xdr:from>
    <xdr:to>
      <xdr:col>24</xdr:col>
      <xdr:colOff>0</xdr:colOff>
      <xdr:row>7</xdr:row>
      <xdr:rowOff>55032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CxnSpPr/>
      </xdr:nvCxnSpPr>
      <xdr:spPr>
        <a:xfrm>
          <a:off x="476250" y="1790699"/>
          <a:ext cx="7958667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30</xdr:row>
      <xdr:rowOff>148154</xdr:rowOff>
    </xdr:from>
    <xdr:to>
      <xdr:col>14</xdr:col>
      <xdr:colOff>0</xdr:colOff>
      <xdr:row>35</xdr:row>
      <xdr:rowOff>0</xdr:rowOff>
    </xdr:to>
    <xdr:cxnSp macro="">
      <xdr:nvCxnSpPr>
        <xdr:cNvPr id="89" name="直線コネクタ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V="1">
          <a:off x="3545417" y="6244154"/>
          <a:ext cx="1312333" cy="5926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160421</xdr:colOff>
      <xdr:row>37</xdr:row>
      <xdr:rowOff>96020</xdr:rowOff>
    </xdr:from>
    <xdr:to>
      <xdr:col>15</xdr:col>
      <xdr:colOff>108617</xdr:colOff>
      <xdr:row>37</xdr:row>
      <xdr:rowOff>96020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4632158" y="7184625"/>
          <a:ext cx="269038" cy="0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131109</xdr:colOff>
      <xdr:row>37</xdr:row>
      <xdr:rowOff>123825</xdr:rowOff>
    </xdr:from>
    <xdr:to>
      <xdr:col>15</xdr:col>
      <xdr:colOff>106216</xdr:colOff>
      <xdr:row>38</xdr:row>
      <xdr:rowOff>123826</xdr:rowOff>
    </xdr:to>
    <xdr:cxnSp macro="">
      <xdr:nvCxnSpPr>
        <xdr:cNvPr id="107" name="直線矢印コネクタ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4637475" y="7231556"/>
          <a:ext cx="295275" cy="192102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107096</xdr:colOff>
      <xdr:row>40</xdr:row>
      <xdr:rowOff>103373</xdr:rowOff>
    </xdr:from>
    <xdr:to>
      <xdr:col>15</xdr:col>
      <xdr:colOff>107096</xdr:colOff>
      <xdr:row>40</xdr:row>
      <xdr:rowOff>104775</xdr:rowOff>
    </xdr:to>
    <xdr:cxnSp macro="">
      <xdr:nvCxnSpPr>
        <xdr:cNvPr id="109" name="直線矢印コネクタ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/>
      </xdr:nvCxnSpPr>
      <xdr:spPr>
        <a:xfrm flipV="1">
          <a:off x="4613462" y="7787407"/>
          <a:ext cx="320168" cy="1402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312659</xdr:colOff>
      <xdr:row>20</xdr:row>
      <xdr:rowOff>36739</xdr:rowOff>
    </xdr:from>
    <xdr:to>
      <xdr:col>22</xdr:col>
      <xdr:colOff>19944</xdr:colOff>
      <xdr:row>36</xdr:row>
      <xdr:rowOff>0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2858021" y="4519369"/>
          <a:ext cx="3657738" cy="2371557"/>
          <a:chOff x="8376252" y="4581353"/>
          <a:chExt cx="4077899" cy="2358290"/>
        </a:xfrm>
      </xdr:grpSpPr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CxnSpPr/>
        </xdr:nvCxnSpPr>
        <xdr:spPr>
          <a:xfrm>
            <a:off x="11297501" y="6042680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コネクタ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CxnSpPr/>
        </xdr:nvCxnSpPr>
        <xdr:spPr>
          <a:xfrm>
            <a:off x="11529322" y="6042680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コネクタ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>
            <a:off x="8730114" y="5444704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 flipH="1">
            <a:off x="10976577" y="6042680"/>
            <a:ext cx="320924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>
            <a:off x="10013807" y="5444704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9" name="テキスト ボックス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8612179" y="6487935"/>
            <a:ext cx="735715" cy="362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600"/>
              <a:t>台高さ</a:t>
            </a:r>
          </a:p>
        </xdr:txBody>
      </xdr:sp>
      <xdr:cxnSp macro="">
        <xdr:nvCxnSpPr>
          <xdr:cNvPr id="39" name="直線コネクタ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/>
        </xdr:nvCxnSpPr>
        <xdr:spPr>
          <a:xfrm>
            <a:off x="8395607" y="6497411"/>
            <a:ext cx="12957" cy="42182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コネクタ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/>
        </xdr:nvCxnSpPr>
        <xdr:spPr>
          <a:xfrm>
            <a:off x="8409191" y="6491161"/>
            <a:ext cx="192554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コネクタ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>
            <a:off x="10334731" y="6491161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>
            <a:off x="8730114" y="5444704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V="1">
            <a:off x="8730114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コネクタ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>
            <a:off x="9692884" y="4996222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コネクタ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10013807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CxnSpPr/>
        </xdr:nvCxnSpPr>
        <xdr:spPr>
          <a:xfrm flipV="1">
            <a:off x="10013807" y="6042680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コネクタ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CxnSpPr/>
        </xdr:nvCxnSpPr>
        <xdr:spPr>
          <a:xfrm>
            <a:off x="10976577" y="4996222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CxnSpPr/>
        </xdr:nvCxnSpPr>
        <xdr:spPr>
          <a:xfrm flipV="1">
            <a:off x="10334731" y="6042680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 flipH="1">
            <a:off x="10334731" y="6491161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直線コネクタ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CxnSpPr/>
        </xdr:nvCxnSpPr>
        <xdr:spPr>
          <a:xfrm>
            <a:off x="8730114" y="6189455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1297501" y="6042680"/>
            <a:ext cx="49654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1297501" y="6491161"/>
            <a:ext cx="512749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コネクタ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CxnSpPr/>
        </xdr:nvCxnSpPr>
        <xdr:spPr>
          <a:xfrm>
            <a:off x="10976577" y="4996222"/>
            <a:ext cx="110770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 flipV="1">
            <a:off x="10013807" y="5887847"/>
            <a:ext cx="320924" cy="149493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テキスト ボックス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 txBox="1"/>
        </xdr:nvSpPr>
        <xdr:spPr>
          <a:xfrm rot="20069106">
            <a:off x="9488160" y="5151452"/>
            <a:ext cx="782755" cy="2950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200"/>
              <a:t>被照射物</a:t>
            </a:r>
          </a:p>
        </xdr:txBody>
      </xdr:sp>
      <xdr:cxnSp macro="">
        <xdr:nvCxnSpPr>
          <xdr:cNvPr id="102" name="直線コネクタ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CxnSpPr/>
        </xdr:nvCxnSpPr>
        <xdr:spPr>
          <a:xfrm>
            <a:off x="11297501" y="4996222"/>
            <a:ext cx="0" cy="298988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コネクタ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CxnSpPr/>
        </xdr:nvCxnSpPr>
        <xdr:spPr>
          <a:xfrm flipV="1">
            <a:off x="8376252" y="6341667"/>
            <a:ext cx="362332" cy="14949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1297501" y="5594199"/>
            <a:ext cx="0" cy="448481"/>
          </a:xfrm>
          <a:prstGeom prst="line">
            <a:avLst/>
          </a:prstGeom>
          <a:ln>
            <a:solidFill>
              <a:sysClr val="windowText" lastClr="000000"/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 flipV="1">
            <a:off x="10692922" y="5550418"/>
            <a:ext cx="302289" cy="149493"/>
          </a:xfrm>
          <a:prstGeom prst="line">
            <a:avLst/>
          </a:prstGeom>
          <a:ln>
            <a:solidFill>
              <a:sysClr val="windowText" lastClr="000000"/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 flipV="1">
            <a:off x="9371961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テキスト ボックス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 txBox="1"/>
        </xdr:nvSpPr>
        <xdr:spPr>
          <a:xfrm>
            <a:off x="11628776" y="5348601"/>
            <a:ext cx="624911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高さ</a:t>
            </a:r>
          </a:p>
        </xdr:txBody>
      </xdr:sp>
      <xdr:sp macro="" textlink="">
        <xdr:nvSpPr>
          <xdr:cNvPr id="84" name="テキスト ボックス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10179470" y="5398053"/>
            <a:ext cx="624690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長さ</a:t>
            </a:r>
          </a:p>
        </xdr:txBody>
      </xdr:sp>
      <xdr:sp macro="" textlink="">
        <xdr:nvSpPr>
          <xdr:cNvPr id="86" name="テキスト ボックス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8771200" y="5674231"/>
            <a:ext cx="341673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幅</a:t>
            </a:r>
          </a:p>
        </xdr:txBody>
      </xdr:sp>
      <xdr:sp macro="" textlink="">
        <xdr:nvSpPr>
          <xdr:cNvPr id="87" name="テキスト ボックス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 txBox="1"/>
        </xdr:nvSpPr>
        <xdr:spPr>
          <a:xfrm>
            <a:off x="10003455" y="6555230"/>
            <a:ext cx="349167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endParaRPr kumimoji="1" lang="ja-JP" altLang="en-US" sz="1100"/>
          </a:p>
        </xdr:txBody>
      </xdr:sp>
      <xdr:sp macro="" textlink="">
        <xdr:nvSpPr>
          <xdr:cNvPr id="88" name="テキスト ボックス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 txBox="1"/>
        </xdr:nvSpPr>
        <xdr:spPr>
          <a:xfrm>
            <a:off x="12104984" y="6128105"/>
            <a:ext cx="349167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endParaRPr kumimoji="1" lang="ja-JP" altLang="en-US" sz="1100"/>
          </a:p>
        </xdr:txBody>
      </xdr: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0073172" y="4581353"/>
            <a:ext cx="931922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100" b="1"/>
              <a:t>箱のセット図</a:t>
            </a:r>
          </a:p>
        </xdr:txBody>
      </xdr:sp>
    </xdr:grpSp>
    <xdr:clientData/>
  </xdr:twoCellAnchor>
  <xdr:twoCellAnchor>
    <xdr:from>
      <xdr:col>9</xdr:col>
      <xdr:colOff>285945</xdr:colOff>
      <xdr:row>19</xdr:row>
      <xdr:rowOff>76200</xdr:rowOff>
    </xdr:from>
    <xdr:to>
      <xdr:col>22</xdr:col>
      <xdr:colOff>41575</xdr:colOff>
      <xdr:row>36</xdr:row>
      <xdr:rowOff>6803</xdr:rowOff>
    </xdr:to>
    <xdr:grpSp>
      <xdr:nvGrpSpPr>
        <xdr:cNvPr id="19" name="グループ化 18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54167" y="4408311"/>
          <a:ext cx="3683223" cy="2489418"/>
          <a:chOff x="8429820" y="4371975"/>
          <a:chExt cx="4118080" cy="2521403"/>
        </a:xfrm>
      </xdr:grpSpPr>
      <xdr:grpSp>
        <xdr:nvGrpSpPr>
          <xdr:cNvPr id="111" name="グループ化 110" hidden="1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GrpSpPr/>
        </xdr:nvGrpSpPr>
        <xdr:grpSpPr>
          <a:xfrm>
            <a:off x="8429820" y="4753369"/>
            <a:ext cx="4118080" cy="2140009"/>
            <a:chOff x="8813993" y="4905769"/>
            <a:chExt cx="4168880" cy="2079231"/>
          </a:xfrm>
        </xdr:grpSpPr>
        <xdr:sp macro="" textlink="">
          <xdr:nvSpPr>
            <xdr:cNvPr id="119" name="平行四辺形 118" hidden="1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SpPr/>
          </xdr:nvSpPr>
          <xdr:spPr>
            <a:xfrm rot="5400000" flipV="1">
              <a:off x="9577917" y="5302254"/>
              <a:ext cx="1492254" cy="984246"/>
            </a:xfrm>
            <a:prstGeom prst="parallelogram">
              <a:avLst>
                <a:gd name="adj" fmla="val 48423"/>
              </a:avLst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900">
                <a:solidFill>
                  <a:sysClr val="windowText" lastClr="000000"/>
                </a:solidFill>
                <a:latin typeface="+mj-ea"/>
                <a:ea typeface="+mj-ea"/>
              </a:endParaRPr>
            </a:p>
          </xdr:txBody>
        </xdr:sp>
        <xdr:cxnSp macro="">
          <xdr:nvCxnSpPr>
            <xdr:cNvPr id="120" name="直線コネクタ 119" hidden="1">
              <a:extLst>
                <a:ext uri="{FF2B5EF4-FFF2-40B4-BE49-F238E27FC236}">
                  <a16:creationId xmlns:a16="http://schemas.microsoft.com/office/drawing/2014/main" id="{00000000-0008-0000-0000-000078000000}"/>
                </a:ext>
              </a:extLst>
            </xdr:cNvPr>
            <xdr:cNvCxnSpPr/>
          </xdr:nvCxnSpPr>
          <xdr:spPr>
            <a:xfrm>
              <a:off x="11800417" y="60960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1" name="直線コネクタ 130" hidden="1">
              <a:extLst>
                <a:ext uri="{FF2B5EF4-FFF2-40B4-BE49-F238E27FC236}">
                  <a16:creationId xmlns:a16="http://schemas.microsoft.com/office/drawing/2014/main" id="{00000000-0008-0000-0000-000083000000}"/>
                </a:ext>
              </a:extLst>
            </xdr:cNvPr>
            <xdr:cNvCxnSpPr/>
          </xdr:nvCxnSpPr>
          <xdr:spPr>
            <a:xfrm>
              <a:off x="12030307" y="60960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2" name="直線コネクタ 131" hidden="1">
              <a:extLst>
                <a:ext uri="{FF2B5EF4-FFF2-40B4-BE49-F238E27FC236}">
                  <a16:creationId xmlns:a16="http://schemas.microsoft.com/office/drawing/2014/main" id="{00000000-0008-0000-0000-000084000000}"/>
                </a:ext>
              </a:extLst>
            </xdr:cNvPr>
            <xdr:cNvCxnSpPr/>
          </xdr:nvCxnSpPr>
          <xdr:spPr>
            <a:xfrm flipH="1">
              <a:off x="10826750" y="6096000"/>
              <a:ext cx="97366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3" name="テキスト ボックス 132" hidden="1">
              <a:extLst>
                <a:ext uri="{FF2B5EF4-FFF2-40B4-BE49-F238E27FC236}">
                  <a16:creationId xmlns:a16="http://schemas.microsoft.com/office/drawing/2014/main" id="{00000000-0008-0000-0000-000085000000}"/>
                </a:ext>
              </a:extLst>
            </xdr:cNvPr>
            <xdr:cNvSpPr txBox="1"/>
          </xdr:nvSpPr>
          <xdr:spPr>
            <a:xfrm>
              <a:off x="9022060" y="6545108"/>
              <a:ext cx="752129" cy="359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600"/>
                <a:t>台高さ</a:t>
              </a:r>
            </a:p>
          </xdr:txBody>
        </xdr:sp>
        <xdr:cxnSp macro="">
          <xdr:nvCxnSpPr>
            <xdr:cNvPr id="134" name="直線コネクタ 133" hidden="1">
              <a:extLst>
                <a:ext uri="{FF2B5EF4-FFF2-40B4-BE49-F238E27FC236}">
                  <a16:creationId xmlns:a16="http://schemas.microsoft.com/office/drawing/2014/main" id="{00000000-0008-0000-0000-000086000000}"/>
                </a:ext>
              </a:extLst>
            </xdr:cNvPr>
            <xdr:cNvCxnSpPr/>
          </xdr:nvCxnSpPr>
          <xdr:spPr>
            <a:xfrm>
              <a:off x="8847667" y="6543430"/>
              <a:ext cx="0" cy="44157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5" name="直線コネクタ 134" hidden="1">
              <a:extLst>
                <a:ext uri="{FF2B5EF4-FFF2-40B4-BE49-F238E27FC236}">
                  <a16:creationId xmlns:a16="http://schemas.microsoft.com/office/drawing/2014/main" id="{00000000-0008-0000-0000-000087000000}"/>
                </a:ext>
              </a:extLst>
            </xdr:cNvPr>
            <xdr:cNvCxnSpPr/>
          </xdr:nvCxnSpPr>
          <xdr:spPr>
            <a:xfrm>
              <a:off x="8847667" y="6540500"/>
              <a:ext cx="19685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6" name="直線コネクタ 135" hidden="1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CxnSpPr/>
          </xdr:nvCxnSpPr>
          <xdr:spPr>
            <a:xfrm>
              <a:off x="10816167" y="65405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7" name="直線コネクタ 136" hidden="1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CxnSpPr/>
          </xdr:nvCxnSpPr>
          <xdr:spPr>
            <a:xfrm flipV="1">
              <a:off x="10816167" y="6096000"/>
              <a:ext cx="98425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1" name="直線コネクタ 140" hidden="1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CxnSpPr/>
          </xdr:nvCxnSpPr>
          <xdr:spPr>
            <a:xfrm flipH="1">
              <a:off x="10816167" y="6540500"/>
              <a:ext cx="98425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2" name="直線コネクタ 141" hidden="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CxnSpPr/>
          </xdr:nvCxnSpPr>
          <xdr:spPr>
            <a:xfrm>
              <a:off x="11800417" y="6096000"/>
              <a:ext cx="403503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3" name="直線コネクタ 142" hidden="1">
              <a:extLst>
                <a:ext uri="{FF2B5EF4-FFF2-40B4-BE49-F238E27FC236}">
                  <a16:creationId xmlns:a16="http://schemas.microsoft.com/office/drawing/2014/main" id="{00000000-0008-0000-0000-00008F000000}"/>
                </a:ext>
              </a:extLst>
            </xdr:cNvPr>
            <xdr:cNvCxnSpPr/>
          </xdr:nvCxnSpPr>
          <xdr:spPr>
            <a:xfrm>
              <a:off x="11800417" y="6540500"/>
              <a:ext cx="36258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4" name="直線コネクタ 143" hidden="1">
              <a:extLst>
                <a:ext uri="{FF2B5EF4-FFF2-40B4-BE49-F238E27FC236}">
                  <a16:creationId xmlns:a16="http://schemas.microsoft.com/office/drawing/2014/main" id="{00000000-0008-0000-0000-000090000000}"/>
                </a:ext>
              </a:extLst>
            </xdr:cNvPr>
            <xdr:cNvCxnSpPr/>
          </xdr:nvCxnSpPr>
          <xdr:spPr>
            <a:xfrm>
              <a:off x="10974915" y="5058833"/>
              <a:ext cx="10571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5" name="直線コネクタ 144" hidden="1">
              <a:extLst>
                <a:ext uri="{FF2B5EF4-FFF2-40B4-BE49-F238E27FC236}">
                  <a16:creationId xmlns:a16="http://schemas.microsoft.com/office/drawing/2014/main" id="{00000000-0008-0000-0000-000091000000}"/>
                </a:ext>
              </a:extLst>
            </xdr:cNvPr>
            <xdr:cNvCxnSpPr/>
          </xdr:nvCxnSpPr>
          <xdr:spPr>
            <a:xfrm flipV="1">
              <a:off x="10477500" y="5804959"/>
              <a:ext cx="328084" cy="148166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5" name="テキスト ボックス 154" hidden="1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SpPr txBox="1"/>
          </xdr:nvSpPr>
          <xdr:spPr>
            <a:xfrm rot="20069106">
              <a:off x="10056541" y="4905769"/>
              <a:ext cx="800219" cy="292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 anchorCtr="0">
              <a:noAutofit/>
            </a:bodyPr>
            <a:lstStyle/>
            <a:p>
              <a:r>
                <a:rPr kumimoji="1" lang="ja-JP" altLang="en-US" sz="1200"/>
                <a:t>シート</a:t>
              </a:r>
            </a:p>
          </xdr:txBody>
        </xdr:sp>
        <xdr:cxnSp macro="">
          <xdr:nvCxnSpPr>
            <xdr:cNvPr id="165" name="直線コネクタ 164" hidden="1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CxnSpPr/>
          </xdr:nvCxnSpPr>
          <xdr:spPr>
            <a:xfrm>
              <a:off x="11800417" y="5058833"/>
              <a:ext cx="0" cy="296334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6" name="直線コネクタ 165" hidden="1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CxnSpPr/>
          </xdr:nvCxnSpPr>
          <xdr:spPr>
            <a:xfrm flipV="1">
              <a:off x="8813993" y="6170083"/>
              <a:ext cx="1007340" cy="37041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7" name="直線コネクタ 166" hidden="1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CxnSpPr/>
          </xdr:nvCxnSpPr>
          <xdr:spPr>
            <a:xfrm>
              <a:off x="11800417" y="5651501"/>
              <a:ext cx="0" cy="444499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8" name="直線コネクタ 167" hidden="1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CxnSpPr/>
          </xdr:nvCxnSpPr>
          <xdr:spPr>
            <a:xfrm flipV="1">
              <a:off x="11108266" y="5491692"/>
              <a:ext cx="309033" cy="148166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9" name="テキスト ボックス 168" hidden="1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12040890" y="5408084"/>
              <a:ext cx="56064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高さ</a:t>
              </a:r>
            </a:p>
          </xdr:txBody>
        </xdr:sp>
        <xdr:sp macro="" textlink="">
          <xdr:nvSpPr>
            <xdr:cNvPr id="170" name="テキスト ボックス 169" hidden="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 txBox="1"/>
          </xdr:nvSpPr>
          <xdr:spPr>
            <a:xfrm>
              <a:off x="11253348" y="5836638"/>
              <a:ext cx="50141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長さ</a:t>
              </a:r>
            </a:p>
          </xdr:txBody>
        </xdr:sp>
        <xdr:sp macro="" textlink="">
          <xdr:nvSpPr>
            <xdr:cNvPr id="171" name="テキスト ボックス 170" hidden="1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 txBox="1"/>
          </xdr:nvSpPr>
          <xdr:spPr>
            <a:xfrm>
              <a:off x="8911165" y="5693833"/>
              <a:ext cx="86783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ｼｰﾄ厚さ</a:t>
              </a:r>
            </a:p>
          </xdr:txBody>
        </xdr:sp>
        <xdr:sp macro="" textlink="">
          <xdr:nvSpPr>
            <xdr:cNvPr id="172" name="テキスト ボックス 171" hidden="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 txBox="1"/>
          </xdr:nvSpPr>
          <xdr:spPr>
            <a:xfrm>
              <a:off x="10477500" y="6604000"/>
              <a:ext cx="35695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endParaRPr kumimoji="1" lang="ja-JP" altLang="en-US" sz="1100"/>
            </a:p>
          </xdr:txBody>
        </xdr:sp>
        <xdr:sp macro="" textlink="">
          <xdr:nvSpPr>
            <xdr:cNvPr id="173" name="テキスト ボックス 172" hidden="1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 txBox="1"/>
          </xdr:nvSpPr>
          <xdr:spPr>
            <a:xfrm>
              <a:off x="12625916" y="6180667"/>
              <a:ext cx="35695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endParaRPr kumimoji="1" lang="ja-JP" altLang="en-US" sz="1100"/>
            </a:p>
          </xdr:txBody>
        </xdr:sp>
        <xdr:cxnSp macro="">
          <xdr:nvCxnSpPr>
            <xdr:cNvPr id="174" name="直線コネクタ 173" hidden="1">
              <a:extLst>
                <a:ext uri="{FF2B5EF4-FFF2-40B4-BE49-F238E27FC236}">
                  <a16:creationId xmlns:a16="http://schemas.microsoft.com/office/drawing/2014/main" id="{00000000-0008-0000-0000-0000AE000000}"/>
                </a:ext>
              </a:extLst>
            </xdr:cNvPr>
            <xdr:cNvCxnSpPr/>
          </xdr:nvCxnSpPr>
          <xdr:spPr>
            <a:xfrm>
              <a:off x="10784417" y="5503333"/>
              <a:ext cx="8466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5" name="直線コネクタ 174" hidden="1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CxnSpPr/>
          </xdr:nvCxnSpPr>
          <xdr:spPr>
            <a:xfrm>
              <a:off x="9842500" y="5958417"/>
              <a:ext cx="8466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12" name="直線コネクタ 111" hidden="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CxnSpPr/>
        </xdr:nvCxnSpPr>
        <xdr:spPr>
          <a:xfrm flipH="1">
            <a:off x="9423233" y="5217070"/>
            <a:ext cx="324003" cy="45717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直線コネクタ 112" hidden="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CxnSpPr/>
        </xdr:nvCxnSpPr>
        <xdr:spPr>
          <a:xfrm flipH="1">
            <a:off x="9423233" y="5064678"/>
            <a:ext cx="648004" cy="9143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直線コネクタ 113" hidden="1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CxnSpPr/>
        </xdr:nvCxnSpPr>
        <xdr:spPr>
          <a:xfrm flipH="1">
            <a:off x="9423233" y="4912286"/>
            <a:ext cx="972006" cy="137152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直線コネクタ 114" hidden="1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CxnSpPr/>
        </xdr:nvCxnSpPr>
        <xdr:spPr>
          <a:xfrm flipH="1">
            <a:off x="9618984" y="5217070"/>
            <a:ext cx="776254" cy="11221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直線コネクタ 115" hidden="1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CxnSpPr>
            <a:endCxn id="119" idx="2"/>
          </xdr:cNvCxnSpPr>
        </xdr:nvCxnSpPr>
        <xdr:spPr>
          <a:xfrm flipH="1">
            <a:off x="9921472" y="5515561"/>
            <a:ext cx="472626" cy="67876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直線コネクタ 117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>
            <a:off x="10260238" y="5778783"/>
            <a:ext cx="160859" cy="24873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テキスト ボックス 17" hidden="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0267950" y="4371975"/>
            <a:ext cx="1144672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100" b="1"/>
              <a:t>シートのセット図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632460</xdr:colOff>
          <xdr:row>2</xdr:row>
          <xdr:rowOff>190500</xdr:rowOff>
        </xdr:from>
        <xdr:to>
          <xdr:col>25</xdr:col>
          <xdr:colOff>1181100</xdr:colOff>
          <xdr:row>3</xdr:row>
          <xdr:rowOff>190500</xdr:rowOff>
        </xdr:to>
        <xdr:sp macro="" textlink="">
          <xdr:nvSpPr>
            <xdr:cNvPr id="1029" name="Button 5" descr="印刷&#10;出力&#10;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線量率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624840</xdr:colOff>
          <xdr:row>0</xdr:row>
          <xdr:rowOff>38100</xdr:rowOff>
        </xdr:from>
        <xdr:to>
          <xdr:col>25</xdr:col>
          <xdr:colOff>1173480</xdr:colOff>
          <xdr:row>2</xdr:row>
          <xdr:rowOff>137160</xdr:rowOff>
        </xdr:to>
        <xdr:sp macro="" textlink="">
          <xdr:nvSpPr>
            <xdr:cNvPr id="1027" name="Button 3" descr="印刷&#10;出力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白紙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0</xdr:row>
          <xdr:rowOff>45720</xdr:rowOff>
        </xdr:from>
        <xdr:to>
          <xdr:col>25</xdr:col>
          <xdr:colOff>556260</xdr:colOff>
          <xdr:row>2</xdr:row>
          <xdr:rowOff>144780</xdr:rowOff>
        </xdr:to>
        <xdr:sp macro="" textlink="">
          <xdr:nvSpPr>
            <xdr:cNvPr id="1026" name="Button 2" descr="指図書&#10;印刷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指図書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2</xdr:row>
          <xdr:rowOff>190500</xdr:rowOff>
        </xdr:from>
        <xdr:to>
          <xdr:col>25</xdr:col>
          <xdr:colOff>556260</xdr:colOff>
          <xdr:row>3</xdr:row>
          <xdr:rowOff>205740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照射時間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0</xdr:row>
          <xdr:rowOff>30480</xdr:rowOff>
        </xdr:from>
        <xdr:to>
          <xdr:col>24</xdr:col>
          <xdr:colOff>0</xdr:colOff>
          <xdr:row>1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画面初期設定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3</xdr:row>
          <xdr:rowOff>281940</xdr:rowOff>
        </xdr:from>
        <xdr:to>
          <xdr:col>25</xdr:col>
          <xdr:colOff>556260</xdr:colOff>
          <xdr:row>4</xdr:row>
          <xdr:rowOff>297180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計算結果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5</xdr:row>
          <xdr:rowOff>167640</xdr:rowOff>
        </xdr:from>
        <xdr:to>
          <xdr:col>3</xdr:col>
          <xdr:colOff>236220</xdr:colOff>
          <xdr:row>6</xdr:row>
          <xdr:rowOff>198120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5</xdr:row>
          <xdr:rowOff>167640</xdr:rowOff>
        </xdr:from>
        <xdr:to>
          <xdr:col>8</xdr:col>
          <xdr:colOff>396240</xdr:colOff>
          <xdr:row>6</xdr:row>
          <xdr:rowOff>198120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3</xdr:row>
          <xdr:rowOff>0</xdr:rowOff>
        </xdr:from>
        <xdr:to>
          <xdr:col>6</xdr:col>
          <xdr:colOff>45720</xdr:colOff>
          <xdr:row>4</xdr:row>
          <xdr:rowOff>243840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線量率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3562350</xdr:colOff>
      <xdr:row>0</xdr:row>
      <xdr:rowOff>0</xdr:rowOff>
    </xdr:from>
    <xdr:to>
      <xdr:col>3</xdr:col>
      <xdr:colOff>342900</xdr:colOff>
      <xdr:row>2</xdr:row>
      <xdr:rowOff>152399</xdr:rowOff>
    </xdr:to>
    <xdr:sp macro="[0]!ブック保存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715000" y="0"/>
          <a:ext cx="2000250" cy="80009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00" b="1">
              <a:solidFill>
                <a:srgbClr val="0070C0"/>
              </a:solidFill>
            </a:rPr>
            <a:t>改訂時の保存の仕方</a:t>
          </a:r>
          <a:endParaRPr kumimoji="1" lang="en-US" altLang="ja-JP" sz="1000" b="1">
            <a:solidFill>
              <a:srgbClr val="0070C0"/>
            </a:solidFill>
          </a:endParaRPr>
        </a:p>
        <a:p>
          <a:r>
            <a:rPr kumimoji="1" lang="en-US" altLang="ja-JP" sz="1000"/>
            <a:t>BOOK</a:t>
          </a:r>
          <a:r>
            <a:rPr kumimoji="1" lang="ja-JP" altLang="en-US" sz="1000"/>
            <a:t>内容変更して改訂履歴に入力後ここをクリックして</a:t>
          </a:r>
          <a:r>
            <a:rPr kumimoji="1" lang="en-US" altLang="ja-JP" sz="1000"/>
            <a:t>Ex</a:t>
          </a:r>
          <a:r>
            <a:rPr kumimoji="1" lang="ja-JP" altLang="en-US" sz="1000"/>
            <a:t>ﾒﾆｭｰを再起動</a:t>
          </a:r>
        </a:p>
      </xdr:txBody>
    </xdr:sp>
    <xdr:clientData fPrintsWithSheet="0"/>
  </xdr:twoCellAnchor>
  <xdr:oneCellAnchor>
    <xdr:from>
      <xdr:col>2</xdr:col>
      <xdr:colOff>3657600</xdr:colOff>
      <xdr:row>2</xdr:row>
      <xdr:rowOff>152400</xdr:rowOff>
    </xdr:from>
    <xdr:ext cx="1574918" cy="27571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810250" y="800100"/>
          <a:ext cx="1574918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※</a:t>
          </a:r>
          <a:r>
            <a:rPr kumimoji="1" lang="ja-JP" altLang="en-US" sz="1100"/>
            <a:t>改訂後の版数を記入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</a:spPr>
      <a:bodyPr vertOverflow="clip" horzOverflow="clip" rtlCol="0" anchor="t"/>
      <a:lstStyle>
        <a:defPPr algn="l">
          <a:defRPr kumimoji="1" sz="900">
            <a:solidFill>
              <a:sysClr val="windowText" lastClr="000000"/>
            </a:solidFill>
            <a:latin typeface="+mj-ea"/>
            <a:ea typeface="+mj-ea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8"/>
  <sheetViews>
    <sheetView showGridLines="0" tabSelected="1" zoomScale="162" zoomScaleNormal="162" zoomScalePageLayoutView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9" defaultRowHeight="13.2" x14ac:dyDescent="0.2"/>
  <cols>
    <col min="1" max="1" width="2.33203125" customWidth="1"/>
    <col min="2" max="8" width="4.33203125" style="2" customWidth="1"/>
    <col min="9" max="9" width="4.88671875" style="2" customWidth="1"/>
    <col min="10" max="20" width="4.21875" style="2" customWidth="1"/>
    <col min="21" max="21" width="6.21875" style="2" customWidth="1"/>
    <col min="22" max="23" width="4.21875" style="2" customWidth="1"/>
    <col min="24" max="24" width="6.21875" customWidth="1"/>
    <col min="25" max="25" width="1.109375" customWidth="1"/>
    <col min="26" max="26" width="21.109375" customWidth="1"/>
    <col min="27" max="27" width="13.109375" customWidth="1"/>
    <col min="28" max="28" width="2.33203125" customWidth="1"/>
    <col min="29" max="29" width="9" customWidth="1"/>
    <col min="30" max="30" width="6.44140625" customWidth="1"/>
    <col min="31" max="31" width="3.109375" customWidth="1"/>
    <col min="32" max="32" width="12.6640625" bestFit="1" customWidth="1"/>
  </cols>
  <sheetData>
    <row r="1" spans="1:27" ht="9" customHeight="1" x14ac:dyDescent="0.2">
      <c r="A1" s="66"/>
    </row>
    <row r="2" spans="1:27" x14ac:dyDescent="0.2">
      <c r="B2" s="2" t="str">
        <f>"G１－２5（"&amp;MAX(改訂履歴!A6:A105)&amp;")"</f>
        <v>G１－２5（3)</v>
      </c>
    </row>
    <row r="3" spans="1:27" ht="30" customHeight="1" x14ac:dyDescent="0.2">
      <c r="B3" s="109" t="s">
        <v>88</v>
      </c>
      <c r="C3" s="109"/>
      <c r="D3" s="109"/>
      <c r="E3" s="125"/>
      <c r="F3" s="125"/>
      <c r="G3" s="125"/>
      <c r="H3" s="125"/>
      <c r="I3" s="125"/>
      <c r="J3" s="125"/>
      <c r="K3" s="116" t="s">
        <v>100</v>
      </c>
      <c r="L3" s="117"/>
      <c r="M3" s="117"/>
      <c r="N3" s="117"/>
      <c r="O3" s="117"/>
      <c r="P3" s="117"/>
      <c r="Q3" s="117"/>
      <c r="R3" s="118"/>
      <c r="S3" s="109" t="s">
        <v>2</v>
      </c>
      <c r="T3" s="109"/>
      <c r="U3" s="109"/>
      <c r="V3" s="109" t="s">
        <v>3</v>
      </c>
      <c r="W3" s="109"/>
      <c r="X3" s="109"/>
      <c r="AA3" s="42">
        <f>DATE(YEAR(KaisiBi),MONTH(KaisiBi),1)</f>
        <v>1</v>
      </c>
    </row>
    <row r="4" spans="1:27" ht="30" customHeight="1" x14ac:dyDescent="0.2">
      <c r="B4" s="109" t="s">
        <v>0</v>
      </c>
      <c r="C4" s="109"/>
      <c r="D4" s="109"/>
      <c r="E4" s="126" t="s">
        <v>81</v>
      </c>
      <c r="F4" s="126"/>
      <c r="G4" s="126"/>
      <c r="H4" s="126"/>
      <c r="I4" s="126"/>
      <c r="J4" s="126"/>
      <c r="K4" s="119"/>
      <c r="L4" s="120"/>
      <c r="M4" s="120"/>
      <c r="N4" s="120"/>
      <c r="O4" s="120"/>
      <c r="P4" s="120"/>
      <c r="Q4" s="120"/>
      <c r="R4" s="121"/>
      <c r="S4" s="109"/>
      <c r="T4" s="109"/>
      <c r="U4" s="109"/>
      <c r="V4" s="110"/>
      <c r="W4" s="111"/>
      <c r="X4" s="112"/>
      <c r="AA4" s="42">
        <f>EDATE(AA3,1)-1</f>
        <v>31</v>
      </c>
    </row>
    <row r="5" spans="1:27" ht="30" customHeight="1" x14ac:dyDescent="0.2">
      <c r="B5" s="109" t="s">
        <v>1</v>
      </c>
      <c r="C5" s="109"/>
      <c r="D5" s="109"/>
      <c r="E5" s="122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4"/>
      <c r="S5" s="109"/>
      <c r="T5" s="109"/>
      <c r="U5" s="109"/>
      <c r="V5" s="113"/>
      <c r="W5" s="114"/>
      <c r="X5" s="115"/>
      <c r="AA5" s="47" t="s">
        <v>81</v>
      </c>
    </row>
    <row r="6" spans="1:27" ht="8.25" customHeight="1" x14ac:dyDescent="0.2"/>
    <row r="7" spans="1:27" ht="24" customHeight="1" x14ac:dyDescent="0.2">
      <c r="B7" s="37" t="s">
        <v>4</v>
      </c>
      <c r="C7" s="130" t="s">
        <v>187</v>
      </c>
      <c r="D7" s="131"/>
      <c r="E7" s="131"/>
      <c r="F7" s="131"/>
      <c r="G7" s="132"/>
      <c r="H7" s="130" t="s">
        <v>114</v>
      </c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2"/>
      <c r="X7" s="13" t="s">
        <v>45</v>
      </c>
    </row>
    <row r="8" spans="1:27" ht="29.25" customHeight="1" x14ac:dyDescent="0.25">
      <c r="B8" s="34" t="s">
        <v>90</v>
      </c>
      <c r="C8" s="39" t="s">
        <v>99</v>
      </c>
      <c r="D8" s="36"/>
      <c r="E8" s="36"/>
      <c r="F8" s="36"/>
      <c r="G8" s="36"/>
      <c r="H8" s="35"/>
      <c r="I8" s="40" t="s">
        <v>101</v>
      </c>
      <c r="J8" s="40"/>
      <c r="K8" s="40"/>
      <c r="L8" s="36"/>
      <c r="M8" s="36"/>
      <c r="N8" s="137"/>
      <c r="O8" s="137"/>
      <c r="P8" s="137"/>
      <c r="Q8" s="137"/>
      <c r="R8" s="41" t="s">
        <v>102</v>
      </c>
      <c r="S8" s="106"/>
      <c r="T8" s="106"/>
      <c r="U8" s="106"/>
      <c r="V8" s="79"/>
      <c r="W8" s="41"/>
      <c r="X8" s="38" t="s">
        <v>46</v>
      </c>
    </row>
    <row r="9" spans="1:27" ht="12.75" customHeight="1" x14ac:dyDescent="0.2">
      <c r="B9" s="3"/>
      <c r="C9" s="4"/>
      <c r="H9" s="4"/>
      <c r="W9" s="5"/>
      <c r="X9" s="1"/>
    </row>
    <row r="10" spans="1:27" ht="16.5" customHeight="1" x14ac:dyDescent="0.2">
      <c r="B10" s="3" t="s">
        <v>91</v>
      </c>
      <c r="C10" s="4" t="s">
        <v>5</v>
      </c>
      <c r="G10" s="5"/>
      <c r="H10" s="4"/>
      <c r="I10" s="11" t="s">
        <v>34</v>
      </c>
      <c r="J10" s="102" t="str">
        <f>IF(Haba="","",Haba)</f>
        <v/>
      </c>
      <c r="K10" s="102"/>
      <c r="L10" s="2" t="s">
        <v>87</v>
      </c>
      <c r="N10" s="102" t="str">
        <f>IF(Nagasa="","",Nagasa)</f>
        <v/>
      </c>
      <c r="O10" s="102"/>
      <c r="P10" s="2" t="s">
        <v>87</v>
      </c>
      <c r="R10" s="102" t="str">
        <f>IF(Takasa="","",Takasa)</f>
        <v/>
      </c>
      <c r="S10" s="102"/>
      <c r="T10" s="2" t="s">
        <v>15</v>
      </c>
      <c r="W10" s="5"/>
      <c r="X10" s="38" t="s">
        <v>46</v>
      </c>
    </row>
    <row r="11" spans="1:27" ht="16.5" customHeight="1" x14ac:dyDescent="0.2">
      <c r="B11" s="3"/>
      <c r="C11" s="4" t="s">
        <v>6</v>
      </c>
      <c r="G11" s="5"/>
      <c r="H11" s="4"/>
      <c r="I11" s="11" t="s">
        <v>35</v>
      </c>
      <c r="J11" s="107"/>
      <c r="K11" s="107"/>
      <c r="L11" s="2" t="s">
        <v>14</v>
      </c>
      <c r="W11" s="5"/>
      <c r="X11" s="1"/>
    </row>
    <row r="12" spans="1:27" ht="16.5" customHeight="1" x14ac:dyDescent="0.2">
      <c r="B12" s="3"/>
      <c r="C12" s="4"/>
      <c r="H12" s="4"/>
      <c r="W12" s="5"/>
      <c r="X12" s="1"/>
    </row>
    <row r="13" spans="1:27" ht="16.5" customHeight="1" x14ac:dyDescent="0.2">
      <c r="B13" s="3" t="s">
        <v>92</v>
      </c>
      <c r="C13" s="133" t="s">
        <v>7</v>
      </c>
      <c r="D13" s="134"/>
      <c r="E13" s="134"/>
      <c r="F13" s="134"/>
      <c r="G13" s="134"/>
      <c r="H13" s="4"/>
      <c r="I13" s="2" t="s">
        <v>72</v>
      </c>
      <c r="W13" s="5"/>
      <c r="X13" s="17" t="s">
        <v>46</v>
      </c>
    </row>
    <row r="14" spans="1:27" x14ac:dyDescent="0.2">
      <c r="B14" s="6"/>
      <c r="H14" s="4"/>
      <c r="W14" s="5"/>
      <c r="X14" s="1"/>
    </row>
    <row r="15" spans="1:27" ht="17.25" customHeight="1" x14ac:dyDescent="0.2">
      <c r="B15" s="6"/>
      <c r="C15" s="2" t="s">
        <v>8</v>
      </c>
      <c r="H15" s="4"/>
      <c r="J15" s="103" t="s">
        <v>9</v>
      </c>
      <c r="K15" s="104"/>
      <c r="L15" s="105"/>
      <c r="N15" s="103" t="s">
        <v>10</v>
      </c>
      <c r="O15" s="104"/>
      <c r="P15" s="105"/>
      <c r="R15" s="103" t="s">
        <v>11</v>
      </c>
      <c r="S15" s="104"/>
      <c r="T15" s="105"/>
      <c r="W15" s="5"/>
      <c r="X15" s="1"/>
    </row>
    <row r="16" spans="1:27" ht="17.25" customHeight="1" x14ac:dyDescent="0.2">
      <c r="B16" s="6"/>
      <c r="H16" s="4"/>
      <c r="W16" s="5"/>
      <c r="X16" s="1"/>
    </row>
    <row r="17" spans="2:24" ht="17.25" customHeight="1" x14ac:dyDescent="0.2">
      <c r="B17" s="6"/>
      <c r="H17" s="4"/>
      <c r="J17" s="103" t="s">
        <v>12</v>
      </c>
      <c r="K17" s="104"/>
      <c r="L17" s="105"/>
      <c r="N17" s="103" t="s">
        <v>13</v>
      </c>
      <c r="O17" s="104"/>
      <c r="P17" s="105"/>
      <c r="R17" s="103" t="s">
        <v>86</v>
      </c>
      <c r="S17" s="104"/>
      <c r="T17" s="105"/>
      <c r="W17" s="5"/>
      <c r="X17" s="1"/>
    </row>
    <row r="18" spans="2:24" ht="10.5" customHeight="1" x14ac:dyDescent="0.2">
      <c r="B18" s="6"/>
      <c r="H18" s="4"/>
      <c r="J18" s="7"/>
      <c r="K18" s="7"/>
      <c r="L18" s="7"/>
      <c r="N18" s="7"/>
      <c r="O18" s="7"/>
      <c r="P18" s="7"/>
      <c r="R18" s="7"/>
      <c r="S18" s="7"/>
      <c r="T18" s="7"/>
      <c r="W18" s="5"/>
      <c r="X18" s="1"/>
    </row>
    <row r="19" spans="2:24" ht="17.25" customHeight="1" x14ac:dyDescent="0.2">
      <c r="B19" s="6"/>
      <c r="C19" s="2" t="s">
        <v>69</v>
      </c>
      <c r="H19" s="4"/>
      <c r="I19" s="2" t="s">
        <v>16</v>
      </c>
      <c r="J19" s="7"/>
      <c r="K19" s="7"/>
      <c r="L19" s="7"/>
      <c r="N19" s="9" t="s">
        <v>70</v>
      </c>
      <c r="O19" s="9"/>
      <c r="P19" s="24"/>
      <c r="Q19" s="20" t="s">
        <v>71</v>
      </c>
      <c r="S19" s="95" t="s">
        <v>74</v>
      </c>
      <c r="T19" s="95"/>
      <c r="U19" s="22"/>
      <c r="V19" s="9" t="s">
        <v>73</v>
      </c>
      <c r="W19" s="5"/>
      <c r="X19" s="1"/>
    </row>
    <row r="20" spans="2:24" ht="12" customHeight="1" x14ac:dyDescent="0.2">
      <c r="B20" s="6"/>
      <c r="H20" s="4"/>
      <c r="J20" s="16" t="s">
        <v>141</v>
      </c>
      <c r="K20" s="7"/>
      <c r="L20" s="7"/>
      <c r="N20" s="7"/>
      <c r="O20" s="7"/>
      <c r="P20" s="7"/>
      <c r="R20" s="7"/>
      <c r="S20" s="7"/>
      <c r="T20" s="7"/>
      <c r="W20" s="5"/>
      <c r="X20" s="1"/>
    </row>
    <row r="21" spans="2:24" ht="12" customHeight="1" x14ac:dyDescent="0.2">
      <c r="B21" s="6"/>
      <c r="H21" s="4"/>
      <c r="J21" s="108">
        <v>25</v>
      </c>
      <c r="K21" s="108"/>
      <c r="N21" s="7"/>
      <c r="O21" s="7"/>
      <c r="S21" s="7"/>
      <c r="T21" s="7"/>
      <c r="W21" s="5"/>
      <c r="X21" s="1"/>
    </row>
    <row r="22" spans="2:24" ht="12" customHeight="1" x14ac:dyDescent="0.2">
      <c r="B22" s="6"/>
      <c r="H22" s="4"/>
      <c r="J22" s="108"/>
      <c r="K22" s="108"/>
      <c r="N22" s="7"/>
      <c r="O22" s="7"/>
      <c r="S22" s="7"/>
      <c r="T22" s="7"/>
      <c r="W22" s="5"/>
      <c r="X22" s="1"/>
    </row>
    <row r="23" spans="2:24" ht="12" customHeight="1" x14ac:dyDescent="0.2">
      <c r="B23" s="6"/>
      <c r="H23" s="4"/>
      <c r="W23" s="5"/>
      <c r="X23" s="1"/>
    </row>
    <row r="24" spans="2:24" ht="12" customHeight="1" x14ac:dyDescent="0.2">
      <c r="B24" s="6"/>
      <c r="H24" s="4"/>
      <c r="W24" s="5"/>
      <c r="X24" s="1"/>
    </row>
    <row r="25" spans="2:24" ht="12" customHeight="1" x14ac:dyDescent="0.2">
      <c r="B25" s="6"/>
      <c r="H25" s="4"/>
      <c r="W25" s="5"/>
      <c r="X25" s="1"/>
    </row>
    <row r="26" spans="2:24" ht="12" customHeight="1" x14ac:dyDescent="0.2">
      <c r="B26" s="6"/>
      <c r="H26" s="4"/>
      <c r="S26" s="108"/>
      <c r="T26" s="108"/>
      <c r="W26" s="5"/>
      <c r="X26" s="1"/>
    </row>
    <row r="27" spans="2:24" ht="12" customHeight="1" x14ac:dyDescent="0.2">
      <c r="B27" s="6"/>
      <c r="H27" s="4"/>
      <c r="P27" s="23"/>
      <c r="S27" s="108"/>
      <c r="T27" s="108"/>
      <c r="W27" s="33"/>
      <c r="X27" s="1"/>
    </row>
    <row r="28" spans="2:24" ht="12" customHeight="1" x14ac:dyDescent="0.2">
      <c r="B28" s="6"/>
      <c r="H28" s="4"/>
      <c r="P28" s="96"/>
      <c r="Q28" s="96"/>
      <c r="R28" s="96"/>
      <c r="W28" s="5"/>
      <c r="X28" s="1"/>
    </row>
    <row r="29" spans="2:24" ht="12" customHeight="1" x14ac:dyDescent="0.2">
      <c r="B29" s="6"/>
      <c r="H29" s="4"/>
      <c r="P29" s="96"/>
      <c r="Q29" s="96"/>
      <c r="R29" s="96"/>
      <c r="W29" s="5"/>
      <c r="X29" s="1"/>
    </row>
    <row r="30" spans="2:24" ht="12" customHeight="1" x14ac:dyDescent="0.2">
      <c r="B30" s="6"/>
      <c r="H30" s="4"/>
      <c r="L30" s="108"/>
      <c r="M30" s="108"/>
      <c r="W30" s="5"/>
      <c r="X30" s="1"/>
    </row>
    <row r="31" spans="2:24" ht="12" customHeight="1" x14ac:dyDescent="0.2">
      <c r="B31" s="6"/>
      <c r="H31" s="4"/>
      <c r="L31" s="108"/>
      <c r="M31" s="108"/>
      <c r="T31" s="129" t="str">
        <f>IF(DaiTakasa="","",DaiTakasa)</f>
        <v>?</v>
      </c>
      <c r="U31" s="129"/>
      <c r="W31" s="5"/>
      <c r="X31" s="1"/>
    </row>
    <row r="32" spans="2:24" ht="12" customHeight="1" x14ac:dyDescent="0.2">
      <c r="B32" s="6"/>
      <c r="H32" s="4"/>
      <c r="T32" s="129"/>
      <c r="U32" s="129">
        <f>N35</f>
        <v>0</v>
      </c>
      <c r="W32" s="5"/>
      <c r="X32" s="1"/>
    </row>
    <row r="33" spans="2:26" ht="12" customHeight="1" x14ac:dyDescent="0.2">
      <c r="B33" s="6"/>
      <c r="H33" s="4"/>
      <c r="W33" s="5"/>
      <c r="X33" s="1"/>
    </row>
    <row r="34" spans="2:26" ht="12" customHeight="1" x14ac:dyDescent="0.2">
      <c r="B34" s="6"/>
      <c r="H34" s="4"/>
      <c r="N34" s="138" t="s">
        <v>1479</v>
      </c>
      <c r="O34" s="138"/>
      <c r="W34" s="5"/>
      <c r="X34" s="1"/>
    </row>
    <row r="35" spans="2:26" ht="12" customHeight="1" x14ac:dyDescent="0.2">
      <c r="B35" s="6"/>
      <c r="H35" s="4"/>
      <c r="N35" s="138"/>
      <c r="O35" s="138"/>
      <c r="W35" s="5"/>
      <c r="X35" s="1"/>
    </row>
    <row r="36" spans="2:26" ht="12" customHeight="1" x14ac:dyDescent="0.2">
      <c r="B36" s="6"/>
      <c r="H36" s="4"/>
      <c r="W36" s="5"/>
      <c r="X36" s="1"/>
    </row>
    <row r="37" spans="2:26" ht="12" customHeight="1" x14ac:dyDescent="0.2">
      <c r="B37" s="6"/>
      <c r="H37" s="4"/>
      <c r="W37" s="5"/>
      <c r="X37" s="1"/>
    </row>
    <row r="38" spans="2:26" ht="15" customHeight="1" x14ac:dyDescent="0.2">
      <c r="B38" s="3" t="s">
        <v>93</v>
      </c>
      <c r="C38" s="2" t="s">
        <v>17</v>
      </c>
      <c r="H38" s="4"/>
      <c r="I38" s="91" t="s">
        <v>56</v>
      </c>
      <c r="J38" s="100" t="s">
        <v>66</v>
      </c>
      <c r="K38" s="100"/>
      <c r="L38" s="100"/>
      <c r="M38" s="100"/>
      <c r="N38" s="100"/>
      <c r="P38" s="97" t="s">
        <v>63</v>
      </c>
      <c r="Q38" s="97"/>
      <c r="R38" s="135"/>
      <c r="S38" s="135"/>
      <c r="T38" s="11" t="s">
        <v>64</v>
      </c>
      <c r="U38" s="139"/>
      <c r="V38" s="139"/>
      <c r="W38" s="78" t="s">
        <v>20</v>
      </c>
      <c r="X38" s="17" t="s">
        <v>46</v>
      </c>
      <c r="Z38" s="141" t="s">
        <v>162</v>
      </c>
    </row>
    <row r="39" spans="2:26" ht="15" customHeight="1" x14ac:dyDescent="0.2">
      <c r="B39" s="6"/>
      <c r="C39" s="2" t="s">
        <v>18</v>
      </c>
      <c r="H39" s="4"/>
      <c r="I39" s="91" t="s">
        <v>46</v>
      </c>
      <c r="J39" s="101" t="s">
        <v>89</v>
      </c>
      <c r="K39" s="101"/>
      <c r="L39" s="101"/>
      <c r="M39" s="101"/>
      <c r="N39" s="101"/>
      <c r="P39" s="2" t="s">
        <v>140</v>
      </c>
      <c r="S39" s="98">
        <v>1</v>
      </c>
      <c r="T39" s="98"/>
      <c r="U39" s="2" t="str">
        <f>IF(SheetCal="■","",IF(OR(Omosa="",Omosa=0),"",IF(Omosa&lt;5,"重量5kg未満","重量５ｋｇ以上")))</f>
        <v/>
      </c>
      <c r="W39" s="5"/>
      <c r="X39" s="1"/>
      <c r="Z39" s="142"/>
    </row>
    <row r="40" spans="2:26" ht="15" customHeight="1" x14ac:dyDescent="0.2">
      <c r="B40" s="6"/>
      <c r="C40" s="2" t="s">
        <v>19</v>
      </c>
      <c r="H40" s="4"/>
      <c r="I40" s="91" t="s">
        <v>46</v>
      </c>
      <c r="J40" s="2" t="s">
        <v>164</v>
      </c>
      <c r="W40" s="5"/>
      <c r="X40" s="1"/>
    </row>
    <row r="41" spans="2:26" ht="15" customHeight="1" x14ac:dyDescent="0.2">
      <c r="B41" s="6"/>
      <c r="H41" s="4"/>
      <c r="I41" s="91" t="s">
        <v>46</v>
      </c>
      <c r="J41" s="2" t="s">
        <v>68</v>
      </c>
      <c r="M41" s="21"/>
      <c r="N41" s="21"/>
      <c r="P41" s="97" t="s">
        <v>65</v>
      </c>
      <c r="Q41" s="97"/>
      <c r="R41" s="136"/>
      <c r="S41" s="136"/>
      <c r="T41" s="11" t="s">
        <v>64</v>
      </c>
      <c r="U41" s="140"/>
      <c r="V41" s="140"/>
      <c r="W41" s="78" t="s">
        <v>20</v>
      </c>
      <c r="X41" s="1"/>
    </row>
    <row r="42" spans="2:26" ht="15" customHeight="1" x14ac:dyDescent="0.2">
      <c r="B42" s="6"/>
      <c r="H42" s="4"/>
      <c r="I42" s="7"/>
      <c r="K42" s="2" t="s">
        <v>79</v>
      </c>
      <c r="M42" s="21"/>
      <c r="N42" s="21"/>
      <c r="P42" s="91" t="s">
        <v>46</v>
      </c>
      <c r="Q42" s="2" t="s">
        <v>80</v>
      </c>
      <c r="R42" s="31"/>
      <c r="S42" s="31"/>
      <c r="T42" s="91" t="s">
        <v>46</v>
      </c>
      <c r="U42" s="2" t="s">
        <v>44</v>
      </c>
      <c r="V42" s="32"/>
      <c r="W42" s="5"/>
      <c r="X42" s="1"/>
    </row>
    <row r="43" spans="2:26" ht="15" customHeight="1" x14ac:dyDescent="0.2">
      <c r="B43" s="6"/>
      <c r="H43" s="4"/>
      <c r="W43" s="5"/>
      <c r="X43" s="1"/>
    </row>
    <row r="44" spans="2:26" ht="15" customHeight="1" x14ac:dyDescent="0.2">
      <c r="B44" s="3" t="s">
        <v>94</v>
      </c>
      <c r="C44" s="2" t="s">
        <v>21</v>
      </c>
      <c r="E44" s="2" t="s">
        <v>22</v>
      </c>
      <c r="H44" s="4"/>
      <c r="I44" s="2" t="s">
        <v>23</v>
      </c>
      <c r="J44" s="99">
        <v>1</v>
      </c>
      <c r="K44" s="99"/>
      <c r="L44" s="2" t="s">
        <v>24</v>
      </c>
      <c r="W44" s="5"/>
      <c r="X44" s="17" t="s">
        <v>46</v>
      </c>
    </row>
    <row r="45" spans="2:26" ht="15" customHeight="1" x14ac:dyDescent="0.2">
      <c r="B45" s="6"/>
      <c r="H45" s="4"/>
      <c r="I45" s="12" t="s">
        <v>36</v>
      </c>
      <c r="J45" s="12"/>
      <c r="K45" s="91" t="s">
        <v>56</v>
      </c>
      <c r="L45" s="12" t="s">
        <v>25</v>
      </c>
      <c r="M45" s="12"/>
      <c r="N45" s="12"/>
      <c r="O45" s="91" t="s">
        <v>46</v>
      </c>
      <c r="P45" s="12" t="s">
        <v>26</v>
      </c>
      <c r="Q45" s="12"/>
      <c r="R45" s="12"/>
      <c r="S45" s="91" t="s">
        <v>46</v>
      </c>
      <c r="T45" s="127" t="s">
        <v>165</v>
      </c>
      <c r="U45" s="127"/>
      <c r="V45" s="127"/>
      <c r="W45" s="128"/>
      <c r="X45" s="1"/>
    </row>
    <row r="46" spans="2:26" ht="15" customHeight="1" x14ac:dyDescent="0.2">
      <c r="B46" s="6"/>
      <c r="H46" s="4"/>
      <c r="W46" s="5"/>
      <c r="X46" s="1"/>
    </row>
    <row r="47" spans="2:26" ht="15" customHeight="1" x14ac:dyDescent="0.15">
      <c r="B47" s="3" t="s">
        <v>95</v>
      </c>
      <c r="C47" s="2" t="s">
        <v>82</v>
      </c>
      <c r="H47" s="4"/>
      <c r="I47" s="91" t="s">
        <v>56</v>
      </c>
      <c r="J47" s="2" t="s">
        <v>27</v>
      </c>
      <c r="L47" s="2" t="s">
        <v>37</v>
      </c>
      <c r="O47" s="91" t="s">
        <v>56</v>
      </c>
      <c r="P47" s="2" t="s">
        <v>38</v>
      </c>
      <c r="S47" s="91" t="s">
        <v>46</v>
      </c>
      <c r="T47" s="127" t="s">
        <v>165</v>
      </c>
      <c r="U47" s="127"/>
      <c r="V47" s="127"/>
      <c r="W47" s="128"/>
      <c r="X47" s="17" t="s">
        <v>46</v>
      </c>
    </row>
    <row r="48" spans="2:26" ht="15" customHeight="1" x14ac:dyDescent="0.2">
      <c r="B48" s="6"/>
      <c r="H48" s="4"/>
      <c r="K48" s="97" t="s">
        <v>39</v>
      </c>
      <c r="L48" s="97"/>
      <c r="M48" s="97"/>
      <c r="N48" s="102"/>
      <c r="O48" s="102"/>
      <c r="P48" s="2" t="s">
        <v>113</v>
      </c>
      <c r="W48" s="5"/>
      <c r="X48" s="1"/>
    </row>
    <row r="49" spans="2:24" ht="15" customHeight="1" x14ac:dyDescent="0.2">
      <c r="B49" s="6"/>
      <c r="H49" s="4"/>
      <c r="K49" s="94" t="s">
        <v>41</v>
      </c>
      <c r="L49" s="94"/>
      <c r="M49" s="94"/>
      <c r="N49" s="99"/>
      <c r="O49" s="99"/>
      <c r="P49" s="2" t="s">
        <v>40</v>
      </c>
      <c r="R49" s="23" t="s">
        <v>42</v>
      </c>
      <c r="S49" s="99"/>
      <c r="T49" s="99"/>
      <c r="U49" s="2" t="s">
        <v>40</v>
      </c>
      <c r="W49" s="5"/>
      <c r="X49" s="1"/>
    </row>
    <row r="50" spans="2:24" ht="15" customHeight="1" x14ac:dyDescent="0.2">
      <c r="B50" s="6"/>
      <c r="H50" s="4"/>
      <c r="K50" s="2" t="s">
        <v>78</v>
      </c>
      <c r="O50" s="91" t="s">
        <v>56</v>
      </c>
      <c r="P50" s="2" t="s">
        <v>43</v>
      </c>
      <c r="S50" s="91" t="s">
        <v>46</v>
      </c>
      <c r="T50" s="2" t="s">
        <v>44</v>
      </c>
      <c r="W50" s="5"/>
      <c r="X50" s="1"/>
    </row>
    <row r="51" spans="2:24" ht="15" customHeight="1" x14ac:dyDescent="0.2">
      <c r="B51" s="6"/>
      <c r="H51" s="4"/>
      <c r="I51" s="91" t="s">
        <v>46</v>
      </c>
      <c r="J51" s="2" t="s">
        <v>32</v>
      </c>
      <c r="W51" s="5"/>
      <c r="X51" s="1"/>
    </row>
    <row r="52" spans="2:24" ht="15" customHeight="1" x14ac:dyDescent="0.2">
      <c r="B52" s="6"/>
      <c r="H52" s="4"/>
      <c r="W52" s="5"/>
      <c r="X52" s="1"/>
    </row>
    <row r="53" spans="2:24" ht="15" customHeight="1" x14ac:dyDescent="0.2">
      <c r="B53" s="3" t="s">
        <v>96</v>
      </c>
      <c r="C53" s="2" t="s">
        <v>28</v>
      </c>
      <c r="H53" s="4"/>
      <c r="I53" s="91" t="s">
        <v>56</v>
      </c>
      <c r="J53" s="2" t="s">
        <v>29</v>
      </c>
      <c r="M53" s="99" t="s">
        <v>1480</v>
      </c>
      <c r="N53" s="99"/>
      <c r="O53" s="2" t="s">
        <v>30</v>
      </c>
      <c r="P53" s="91" t="s">
        <v>56</v>
      </c>
      <c r="Q53" s="2" t="s">
        <v>27</v>
      </c>
      <c r="R53" s="91" t="s">
        <v>46</v>
      </c>
      <c r="S53" s="2" t="s">
        <v>31</v>
      </c>
      <c r="U53" s="91" t="s">
        <v>46</v>
      </c>
      <c r="V53" s="2" t="s">
        <v>32</v>
      </c>
      <c r="W53" s="5"/>
      <c r="X53" s="17" t="s">
        <v>46</v>
      </c>
    </row>
    <row r="54" spans="2:24" ht="15" customHeight="1" x14ac:dyDescent="0.2">
      <c r="B54" s="6"/>
      <c r="H54" s="4"/>
      <c r="W54" s="5"/>
      <c r="X54" s="1"/>
    </row>
    <row r="55" spans="2:24" ht="15" customHeight="1" x14ac:dyDescent="0.2">
      <c r="B55" s="3" t="s">
        <v>97</v>
      </c>
      <c r="C55" s="2" t="s">
        <v>33</v>
      </c>
      <c r="H55" s="4"/>
      <c r="I55" s="91" t="s">
        <v>46</v>
      </c>
      <c r="J55" s="2" t="s">
        <v>27</v>
      </c>
      <c r="K55" s="93" t="s">
        <v>81</v>
      </c>
      <c r="L55" s="93"/>
      <c r="M55" s="93"/>
      <c r="N55" s="93"/>
      <c r="O55" s="93"/>
      <c r="Q55" s="91" t="s">
        <v>56</v>
      </c>
      <c r="R55" s="2" t="s">
        <v>32</v>
      </c>
      <c r="W55" s="5"/>
      <c r="X55" s="17" t="s">
        <v>46</v>
      </c>
    </row>
    <row r="56" spans="2:24" ht="15" customHeight="1" x14ac:dyDescent="0.2">
      <c r="B56" s="6"/>
      <c r="H56" s="4"/>
      <c r="W56" s="5"/>
      <c r="X56" s="1"/>
    </row>
    <row r="57" spans="2:24" ht="15" customHeight="1" x14ac:dyDescent="0.2">
      <c r="B57" s="3" t="s">
        <v>98</v>
      </c>
      <c r="C57" s="2" t="s">
        <v>47</v>
      </c>
      <c r="H57" s="4"/>
      <c r="I57" s="91" t="s">
        <v>46</v>
      </c>
      <c r="J57" s="2" t="s">
        <v>48</v>
      </c>
      <c r="L57" s="91" t="s">
        <v>56</v>
      </c>
      <c r="M57" s="11" t="s">
        <v>49</v>
      </c>
      <c r="N57" s="11"/>
      <c r="O57" s="11"/>
      <c r="P57" s="11"/>
      <c r="Q57" s="11"/>
      <c r="W57" s="5"/>
      <c r="X57" s="17" t="s">
        <v>46</v>
      </c>
    </row>
    <row r="58" spans="2:24" ht="6.75" customHeight="1" x14ac:dyDescent="0.2">
      <c r="B58" s="15"/>
      <c r="C58" s="9"/>
      <c r="D58" s="9"/>
      <c r="E58" s="9"/>
      <c r="F58" s="9"/>
      <c r="G58" s="10"/>
      <c r="H58" s="8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10"/>
      <c r="X58" s="14"/>
    </row>
  </sheetData>
  <sheetProtection sheet="1" objects="1" scenarios="1" selectLockedCells="1"/>
  <mergeCells count="54">
    <mergeCell ref="N34:O35"/>
    <mergeCell ref="U38:V38"/>
    <mergeCell ref="U41:V41"/>
    <mergeCell ref="Z38:Z39"/>
    <mergeCell ref="T45:W45"/>
    <mergeCell ref="T47:W47"/>
    <mergeCell ref="S26:T27"/>
    <mergeCell ref="T31:U32"/>
    <mergeCell ref="N10:O10"/>
    <mergeCell ref="C7:G7"/>
    <mergeCell ref="H7:W7"/>
    <mergeCell ref="J17:L17"/>
    <mergeCell ref="N17:P17"/>
    <mergeCell ref="R17:T17"/>
    <mergeCell ref="C13:G13"/>
    <mergeCell ref="N15:P15"/>
    <mergeCell ref="R10:S10"/>
    <mergeCell ref="R38:S38"/>
    <mergeCell ref="R41:S41"/>
    <mergeCell ref="L30:M31"/>
    <mergeCell ref="N8:Q8"/>
    <mergeCell ref="B5:D5"/>
    <mergeCell ref="E3:J3"/>
    <mergeCell ref="E4:J4"/>
    <mergeCell ref="B3:D3"/>
    <mergeCell ref="B4:D4"/>
    <mergeCell ref="V3:X3"/>
    <mergeCell ref="S3:U3"/>
    <mergeCell ref="S4:U5"/>
    <mergeCell ref="V4:X5"/>
    <mergeCell ref="K3:R4"/>
    <mergeCell ref="E5:R5"/>
    <mergeCell ref="R15:T15"/>
    <mergeCell ref="S8:U8"/>
    <mergeCell ref="J11:K11"/>
    <mergeCell ref="J21:K22"/>
    <mergeCell ref="J15:L15"/>
    <mergeCell ref="J10:K10"/>
    <mergeCell ref="K55:O55"/>
    <mergeCell ref="K49:M49"/>
    <mergeCell ref="S19:T19"/>
    <mergeCell ref="P28:Q29"/>
    <mergeCell ref="R28:R29"/>
    <mergeCell ref="P41:Q41"/>
    <mergeCell ref="S39:T39"/>
    <mergeCell ref="M53:N53"/>
    <mergeCell ref="N49:O49"/>
    <mergeCell ref="S49:T49"/>
    <mergeCell ref="J38:N38"/>
    <mergeCell ref="J39:N39"/>
    <mergeCell ref="N48:O48"/>
    <mergeCell ref="K48:M48"/>
    <mergeCell ref="J44:K44"/>
    <mergeCell ref="P38:Q38"/>
  </mergeCells>
  <phoneticPr fontId="1"/>
  <conditionalFormatting sqref="A1">
    <cfRule type="expression" dxfId="0" priority="3">
      <formula>$A$1&lt;&gt;""</formula>
    </cfRule>
  </conditionalFormatting>
  <dataValidations count="15">
    <dataValidation type="list" allowBlank="1" showDropDown="1" showInputMessage="1" showErrorMessage="1" sqref="Q55 I38:I42 L57 I57 I55 U53 R53 P53 I53 S50 O50 I51 S47 O47 I47 S45 O45 K45" xr:uid="{00000000-0002-0000-0000-000000000000}">
      <formula1>List</formula1>
    </dataValidation>
    <dataValidation imeMode="hiragana" allowBlank="1" showInputMessage="1" showErrorMessage="1" sqref="K55:O55" xr:uid="{00000000-0002-0000-0000-000001000000}"/>
    <dataValidation imeMode="off" allowBlank="1" showInputMessage="1" showErrorMessage="1" sqref="E3:J4 R11:S11 L10:M11 N11:O11 P10:Q11 J10:K10" xr:uid="{00000000-0002-0000-0000-000002000000}"/>
    <dataValidation imeMode="on" allowBlank="1" showInputMessage="1" showErrorMessage="1" sqref="R10:S10 N10:O10" xr:uid="{00000000-0002-0000-0000-000003000000}"/>
    <dataValidation type="decimal" imeMode="off" allowBlank="1" showInputMessage="1" showErrorMessage="1" sqref="J11:K11" xr:uid="{00000000-0002-0000-0000-000004000000}">
      <formula1>0.1</formula1>
      <formula2>99</formula2>
    </dataValidation>
    <dataValidation type="whole" allowBlank="1" showInputMessage="1" showErrorMessage="1" sqref="P19" xr:uid="{00000000-0002-0000-0000-000005000000}">
      <formula1>1</formula1>
      <formula2>999</formula2>
    </dataValidation>
    <dataValidation type="whole" imeMode="off" allowBlank="1" showInputMessage="1" showErrorMessage="1" sqref="J21:K22" xr:uid="{00000000-0002-0000-0000-000006000000}">
      <formula1>0</formula1>
      <formula2>300</formula2>
    </dataValidation>
    <dataValidation type="decimal" imeMode="off" allowBlank="1" showInputMessage="1" showErrorMessage="1" sqref="P28" xr:uid="{00000000-0002-0000-0000-000007000000}">
      <formula1>1</formula1>
      <formula2>300</formula2>
    </dataValidation>
    <dataValidation type="decimal" imeMode="off" allowBlank="1" showInputMessage="1" showErrorMessage="1" sqref="R41:S41" xr:uid="{00000000-0002-0000-0000-000008000000}">
      <formula1>0</formula1>
      <formula2>30</formula2>
    </dataValidation>
    <dataValidation type="decimal" imeMode="off" operator="greaterThanOrEqual" allowBlank="1" showInputMessage="1" showErrorMessage="1" sqref="U41:V41" xr:uid="{00000000-0002-0000-0000-000009000000}">
      <formula1>0</formula1>
    </dataValidation>
    <dataValidation type="whole" allowBlank="1" showInputMessage="1" showErrorMessage="1" sqref="J44:K44" xr:uid="{00000000-0002-0000-0000-00000A000000}">
      <formula1>0</formula1>
      <formula2>99</formula2>
    </dataValidation>
    <dataValidation type="decimal" operator="greaterThanOrEqual" allowBlank="1" showInputMessage="1" showErrorMessage="1" sqref="N48:O48 S49:T49" xr:uid="{00000000-0002-0000-0000-00000B000000}">
      <formula1>0</formula1>
    </dataValidation>
    <dataValidation type="decimal" imeMode="off" allowBlank="1" showInputMessage="1" showErrorMessage="1" error="1～60cmまでの値" sqref="S26:T27" xr:uid="{00000000-0002-0000-0000-00000C000000}">
      <formula1>1</formula1>
      <formula2>60</formula2>
    </dataValidation>
    <dataValidation type="decimal" imeMode="off" allowBlank="1" showInputMessage="1" showErrorMessage="1" error="1～50cmの値" sqref="L30:M31" xr:uid="{00000000-0002-0000-0000-00000D000000}">
      <formula1>1</formula1>
      <formula2>50</formula2>
    </dataValidation>
    <dataValidation type="whole" imeMode="off" allowBlank="1" showInputMessage="1" showErrorMessage="1" error="0～40cmの値" sqref="N34:O35" xr:uid="{00000000-0002-0000-0000-00000E000000}">
      <formula1>0</formula1>
      <formula2>40</formula2>
    </dataValidation>
  </dataValidations>
  <pageMargins left="0.59055118110236227" right="0.27559055118110237" top="0.55118110236220474" bottom="0.19685039370078741" header="0.31496062992125984" footer="0.31496062992125984"/>
  <pageSetup paperSize="9" scale="87" orientation="portrait" blackAndWhite="1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線量率登録" altText="印刷_x000a_出力_x000a_">
                <anchor moveWithCells="1" sizeWithCells="1">
                  <from>
                    <xdr:col>25</xdr:col>
                    <xdr:colOff>632460</xdr:colOff>
                    <xdr:row>2</xdr:row>
                    <xdr:rowOff>190500</xdr:rowOff>
                  </from>
                  <to>
                    <xdr:col>25</xdr:col>
                    <xdr:colOff>1181100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白紙印刷" altText="印刷_x000a_出力_x000a_">
                <anchor moveWithCells="1" sizeWithCells="1">
                  <from>
                    <xdr:col>25</xdr:col>
                    <xdr:colOff>624840</xdr:colOff>
                    <xdr:row>0</xdr:row>
                    <xdr:rowOff>38100</xdr:rowOff>
                  </from>
                  <to>
                    <xdr:col>25</xdr:col>
                    <xdr:colOff>1173480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指図書印刷" altText="指図書_x000a_印刷">
                <anchor moveWithCells="1" sizeWithCells="1">
                  <from>
                    <xdr:col>25</xdr:col>
                    <xdr:colOff>7620</xdr:colOff>
                    <xdr:row>0</xdr:row>
                    <xdr:rowOff>45720</xdr:rowOff>
                  </from>
                  <to>
                    <xdr:col>25</xdr:col>
                    <xdr:colOff>556260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照射時間計算実行">
                <anchor moveWithCells="1" sizeWithCells="1">
                  <from>
                    <xdr:col>25</xdr:col>
                    <xdr:colOff>7620</xdr:colOff>
                    <xdr:row>2</xdr:row>
                    <xdr:rowOff>190500</xdr:rowOff>
                  </from>
                  <to>
                    <xdr:col>25</xdr:col>
                    <xdr:colOff>556260</xdr:colOff>
                    <xdr:row>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画面初期設定">
                <anchor moveWithCells="1" sizeWithCells="1">
                  <from>
                    <xdr:col>21</xdr:col>
                    <xdr:colOff>22860</xdr:colOff>
                    <xdr:row>0</xdr:row>
                    <xdr:rowOff>30480</xdr:rowOff>
                  </from>
                  <to>
                    <xdr:col>24</xdr:col>
                    <xdr:colOff>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BOUT" altText="">
                <anchor moveWithCells="1" sizeWithCells="1">
                  <from>
                    <xdr:col>25</xdr:col>
                    <xdr:colOff>7620</xdr:colOff>
                    <xdr:row>3</xdr:row>
                    <xdr:rowOff>281940</xdr:rowOff>
                  </from>
                  <to>
                    <xdr:col>25</xdr:col>
                    <xdr:colOff>556260</xdr:colOff>
                    <xdr:row>4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O21"/>
  <sheetViews>
    <sheetView showGridLines="0" zoomScale="136" zoomScaleNormal="136" workbookViewId="0">
      <selection activeCell="C5" sqref="C5"/>
    </sheetView>
  </sheetViews>
  <sheetFormatPr defaultColWidth="12" defaultRowHeight="24" customHeight="1" x14ac:dyDescent="0.2"/>
  <cols>
    <col min="1" max="1" width="2.21875" customWidth="1"/>
    <col min="2" max="2" width="13.77734375" customWidth="1"/>
    <col min="3" max="5" width="11.44140625" customWidth="1"/>
    <col min="6" max="6" width="2.6640625" customWidth="1"/>
    <col min="7" max="7" width="13.88671875" customWidth="1"/>
    <col min="8" max="9" width="11.44140625" customWidth="1"/>
    <col min="10" max="15" width="10" customWidth="1"/>
    <col min="16" max="16" width="2.33203125" customWidth="1"/>
  </cols>
  <sheetData>
    <row r="2" spans="2:15" ht="27.75" customHeight="1" x14ac:dyDescent="0.2">
      <c r="B2" s="59" t="s">
        <v>127</v>
      </c>
    </row>
    <row r="4" spans="2:15" ht="24" customHeight="1" x14ac:dyDescent="0.2">
      <c r="C4" s="150" t="s">
        <v>139</v>
      </c>
      <c r="D4" s="150"/>
    </row>
    <row r="5" spans="2:15" ht="24.75" customHeight="1" x14ac:dyDescent="0.2">
      <c r="C5" s="64"/>
      <c r="D5" s="64"/>
    </row>
    <row r="6" spans="2:15" ht="24.75" customHeight="1" x14ac:dyDescent="0.2"/>
    <row r="7" spans="2:15" ht="24.75" customHeight="1" thickBot="1" x14ac:dyDescent="0.25">
      <c r="B7" s="60" t="s">
        <v>135</v>
      </c>
      <c r="F7" s="26"/>
      <c r="G7" s="60" t="s">
        <v>134</v>
      </c>
      <c r="J7" t="s">
        <v>163</v>
      </c>
    </row>
    <row r="8" spans="2:15" ht="24.75" customHeight="1" x14ac:dyDescent="0.2">
      <c r="B8" s="148" t="s">
        <v>132</v>
      </c>
      <c r="C8" s="149" t="s">
        <v>128</v>
      </c>
      <c r="D8" s="149"/>
      <c r="E8" s="58" t="s">
        <v>65</v>
      </c>
      <c r="F8" s="26"/>
      <c r="G8" s="148" t="s">
        <v>132</v>
      </c>
      <c r="H8" s="149" t="s">
        <v>128</v>
      </c>
      <c r="I8" s="149"/>
      <c r="J8" s="149" t="str">
        <f>IF(J9="","","期間")</f>
        <v/>
      </c>
      <c r="K8" s="149"/>
      <c r="L8" s="149" t="str">
        <f>IF(L9="","","期間")</f>
        <v/>
      </c>
      <c r="M8" s="149"/>
      <c r="N8" s="149" t="str">
        <f>IF(N9="","","期間")</f>
        <v/>
      </c>
      <c r="O8" s="154"/>
    </row>
    <row r="9" spans="2:15" ht="24.75" customHeight="1" x14ac:dyDescent="0.2">
      <c r="B9" s="144"/>
      <c r="C9" s="61" t="s">
        <v>137</v>
      </c>
      <c r="D9" s="61" t="s">
        <v>138</v>
      </c>
      <c r="E9" s="70" t="s">
        <v>136</v>
      </c>
      <c r="F9" s="26"/>
      <c r="G9" s="144"/>
      <c r="H9" s="61" t="s">
        <v>137</v>
      </c>
      <c r="I9" s="61" t="s">
        <v>138</v>
      </c>
      <c r="J9" s="68"/>
      <c r="K9" s="68"/>
      <c r="L9" s="68"/>
      <c r="M9" s="68"/>
      <c r="N9" s="68"/>
      <c r="O9" s="69"/>
    </row>
    <row r="10" spans="2:15" ht="24.75" customHeight="1" x14ac:dyDescent="0.2">
      <c r="B10" s="62" t="s">
        <v>129</v>
      </c>
      <c r="C10" s="19">
        <v>0</v>
      </c>
      <c r="D10" s="19">
        <v>20</v>
      </c>
      <c r="E10" s="74"/>
      <c r="F10" s="26"/>
      <c r="G10" s="62" t="s">
        <v>129</v>
      </c>
      <c r="H10" s="19">
        <v>0</v>
      </c>
      <c r="I10" s="19">
        <v>20</v>
      </c>
      <c r="J10" s="143"/>
      <c r="K10" s="143"/>
      <c r="L10" s="143"/>
      <c r="M10" s="143"/>
      <c r="N10" s="143"/>
      <c r="O10" s="143"/>
    </row>
    <row r="11" spans="2:15" ht="24.75" customHeight="1" x14ac:dyDescent="0.2">
      <c r="B11" s="62" t="s">
        <v>130</v>
      </c>
      <c r="C11" s="19">
        <v>20</v>
      </c>
      <c r="D11" s="19">
        <v>30</v>
      </c>
      <c r="E11" s="74"/>
      <c r="F11" s="26"/>
      <c r="G11" s="62" t="s">
        <v>130</v>
      </c>
      <c r="H11" s="19">
        <v>20</v>
      </c>
      <c r="I11" s="19">
        <v>30</v>
      </c>
      <c r="J11" s="143"/>
      <c r="K11" s="143"/>
      <c r="L11" s="143"/>
      <c r="M11" s="143"/>
      <c r="N11" s="143"/>
      <c r="O11" s="143"/>
    </row>
    <row r="12" spans="2:15" ht="24.75" customHeight="1" x14ac:dyDescent="0.2">
      <c r="B12" s="63" t="s">
        <v>131</v>
      </c>
      <c r="C12" s="57">
        <v>30</v>
      </c>
      <c r="D12" s="57">
        <v>40</v>
      </c>
      <c r="E12" s="75"/>
      <c r="F12" s="26"/>
      <c r="G12" s="62" t="s">
        <v>131</v>
      </c>
      <c r="H12" s="19">
        <v>30</v>
      </c>
      <c r="I12" s="19">
        <v>40</v>
      </c>
      <c r="J12" s="143"/>
      <c r="K12" s="143"/>
      <c r="L12" s="143"/>
      <c r="M12" s="143"/>
      <c r="N12" s="143"/>
      <c r="O12" s="143"/>
    </row>
    <row r="13" spans="2:15" ht="24.75" customHeight="1" x14ac:dyDescent="0.2">
      <c r="B13" s="63" t="s">
        <v>149</v>
      </c>
      <c r="C13" s="57">
        <v>40</v>
      </c>
      <c r="D13" s="57">
        <v>50</v>
      </c>
      <c r="E13" s="75"/>
      <c r="G13" s="62" t="s">
        <v>149</v>
      </c>
      <c r="H13" s="19">
        <v>40</v>
      </c>
      <c r="I13" s="19">
        <v>50</v>
      </c>
      <c r="J13" s="143"/>
      <c r="K13" s="143"/>
      <c r="L13" s="143"/>
      <c r="M13" s="143"/>
      <c r="N13" s="143"/>
      <c r="O13" s="143"/>
    </row>
    <row r="14" spans="2:15" ht="24" customHeight="1" x14ac:dyDescent="0.2">
      <c r="B14" s="62" t="s">
        <v>150</v>
      </c>
      <c r="C14" s="19">
        <v>50</v>
      </c>
      <c r="D14" s="19">
        <v>60</v>
      </c>
      <c r="E14" s="74"/>
      <c r="G14" s="62" t="s">
        <v>150</v>
      </c>
      <c r="H14" s="19">
        <v>50</v>
      </c>
      <c r="I14" s="19">
        <v>60</v>
      </c>
      <c r="J14" s="143"/>
      <c r="K14" s="143"/>
      <c r="L14" s="143"/>
      <c r="M14" s="143"/>
      <c r="N14" s="143"/>
      <c r="O14" s="143"/>
    </row>
    <row r="15" spans="2:15" ht="24" customHeight="1" x14ac:dyDescent="0.2">
      <c r="B15" s="62" t="s">
        <v>153</v>
      </c>
      <c r="C15" s="156" t="s">
        <v>133</v>
      </c>
      <c r="D15" s="157"/>
      <c r="E15" s="65"/>
      <c r="G15" s="62" t="s">
        <v>153</v>
      </c>
      <c r="H15" s="156" t="s">
        <v>133</v>
      </c>
      <c r="I15" s="157"/>
      <c r="J15" s="147"/>
      <c r="K15" s="147"/>
      <c r="L15" s="147"/>
      <c r="M15" s="147"/>
      <c r="N15" s="147"/>
      <c r="O15" s="155"/>
    </row>
    <row r="16" spans="2:15" ht="24" customHeight="1" thickBot="1" x14ac:dyDescent="0.25">
      <c r="B16" s="151" t="s">
        <v>147</v>
      </c>
      <c r="C16" s="152"/>
      <c r="D16" s="153"/>
      <c r="E16" s="72"/>
      <c r="G16" s="144" t="s">
        <v>148</v>
      </c>
      <c r="H16" s="145"/>
      <c r="I16" s="145"/>
      <c r="J16" s="146"/>
      <c r="K16" s="146"/>
      <c r="L16" s="146"/>
      <c r="M16" s="146"/>
      <c r="N16" s="146"/>
      <c r="O16" s="163"/>
    </row>
    <row r="17" spans="7:15" ht="24" customHeight="1" x14ac:dyDescent="0.2">
      <c r="G17" s="160" t="s">
        <v>151</v>
      </c>
      <c r="H17" s="161"/>
      <c r="I17" s="162"/>
      <c r="J17" s="146"/>
      <c r="K17" s="146"/>
      <c r="L17" s="146"/>
      <c r="M17" s="146"/>
      <c r="N17" s="146"/>
      <c r="O17" s="163"/>
    </row>
    <row r="18" spans="7:15" ht="24" customHeight="1" thickBot="1" x14ac:dyDescent="0.25">
      <c r="G18" s="151" t="s">
        <v>152</v>
      </c>
      <c r="H18" s="152"/>
      <c r="I18" s="153"/>
      <c r="J18" s="158"/>
      <c r="K18" s="159"/>
      <c r="L18" s="158"/>
      <c r="M18" s="159"/>
      <c r="N18" s="159"/>
      <c r="O18" s="164"/>
    </row>
    <row r="21" spans="7:15" ht="24" customHeight="1" x14ac:dyDescent="0.2">
      <c r="N21" s="165"/>
      <c r="O21" s="165"/>
    </row>
  </sheetData>
  <sheetProtection sheet="1" objects="1" scenarios="1" selectLockedCells="1"/>
  <mergeCells count="42">
    <mergeCell ref="N17:O17"/>
    <mergeCell ref="N18:O18"/>
    <mergeCell ref="L16:M16"/>
    <mergeCell ref="N16:O16"/>
    <mergeCell ref="N21:O21"/>
    <mergeCell ref="J17:K17"/>
    <mergeCell ref="J18:K18"/>
    <mergeCell ref="L17:M17"/>
    <mergeCell ref="L18:M18"/>
    <mergeCell ref="G17:I17"/>
    <mergeCell ref="G18:I18"/>
    <mergeCell ref="B16:D16"/>
    <mergeCell ref="N8:O8"/>
    <mergeCell ref="N10:O10"/>
    <mergeCell ref="N11:O11"/>
    <mergeCell ref="N12:O12"/>
    <mergeCell ref="N15:O15"/>
    <mergeCell ref="J8:K8"/>
    <mergeCell ref="L8:M8"/>
    <mergeCell ref="J10:K10"/>
    <mergeCell ref="J11:K11"/>
    <mergeCell ref="J12:K12"/>
    <mergeCell ref="H15:I15"/>
    <mergeCell ref="C15:D15"/>
    <mergeCell ref="J15:K15"/>
    <mergeCell ref="L10:M10"/>
    <mergeCell ref="L11:M11"/>
    <mergeCell ref="L12:M12"/>
    <mergeCell ref="L15:M15"/>
    <mergeCell ref="B8:B9"/>
    <mergeCell ref="C8:D8"/>
    <mergeCell ref="C4:D4"/>
    <mergeCell ref="G8:G9"/>
    <mergeCell ref="H8:I8"/>
    <mergeCell ref="J13:K13"/>
    <mergeCell ref="L13:M13"/>
    <mergeCell ref="N13:O13"/>
    <mergeCell ref="J14:K14"/>
    <mergeCell ref="L14:M14"/>
    <mergeCell ref="N14:O14"/>
    <mergeCell ref="G16:I16"/>
    <mergeCell ref="J16:K16"/>
  </mergeCells>
  <phoneticPr fontId="1"/>
  <dataValidations count="1">
    <dataValidation imeMode="off" allowBlank="1" showInputMessage="1" showErrorMessage="1" sqref="C5:D5 E10:E15" xr:uid="{00000000-0002-0000-0100-000000000000}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線量率ファクター登録">
                <anchor moveWithCells="1" sizeWithCells="1">
                  <from>
                    <xdr:col>2</xdr:col>
                    <xdr:colOff>297180</xdr:colOff>
                    <xdr:row>5</xdr:row>
                    <xdr:rowOff>167640</xdr:rowOff>
                  </from>
                  <to>
                    <xdr:col>3</xdr:col>
                    <xdr:colOff>236220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線量率ファクター表示">
                <anchor moveWithCells="1" sizeWithCells="1">
                  <from>
                    <xdr:col>7</xdr:col>
                    <xdr:colOff>365760</xdr:colOff>
                    <xdr:row>5</xdr:row>
                    <xdr:rowOff>167640</xdr:rowOff>
                  </from>
                  <to>
                    <xdr:col>8</xdr:col>
                    <xdr:colOff>396240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線量率登録終了">
                <anchor moveWithCells="1" sizeWithCells="1">
                  <from>
                    <xdr:col>4</xdr:col>
                    <xdr:colOff>68580</xdr:colOff>
                    <xdr:row>3</xdr:row>
                    <xdr:rowOff>0</xdr:rowOff>
                  </from>
                  <to>
                    <xdr:col>6</xdr:col>
                    <xdr:colOff>45720</xdr:colOff>
                    <xdr:row>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0" sqref="A10"/>
    </sheetView>
  </sheetViews>
  <sheetFormatPr defaultRowHeight="14.4" x14ac:dyDescent="0.2"/>
  <cols>
    <col min="1" max="1" width="10" style="80" customWidth="1"/>
    <col min="2" max="2" width="18.21875" style="80" customWidth="1"/>
    <col min="3" max="3" width="68.44140625" style="80" customWidth="1"/>
    <col min="4" max="4" width="13.33203125" style="80" customWidth="1"/>
    <col min="5" max="26" width="2.77734375" style="80" customWidth="1"/>
    <col min="27" max="219" width="9" style="80"/>
    <col min="220" max="282" width="2.77734375" style="80" customWidth="1"/>
    <col min="283" max="475" width="9" style="80"/>
    <col min="476" max="538" width="2.77734375" style="80" customWidth="1"/>
    <col min="539" max="731" width="9" style="80"/>
    <col min="732" max="794" width="2.77734375" style="80" customWidth="1"/>
    <col min="795" max="987" width="9" style="80"/>
    <col min="988" max="1050" width="2.77734375" style="80" customWidth="1"/>
    <col min="1051" max="1243" width="9" style="80"/>
    <col min="1244" max="1306" width="2.77734375" style="80" customWidth="1"/>
    <col min="1307" max="1499" width="9" style="80"/>
    <col min="1500" max="1562" width="2.77734375" style="80" customWidth="1"/>
    <col min="1563" max="1755" width="9" style="80"/>
    <col min="1756" max="1818" width="2.77734375" style="80" customWidth="1"/>
    <col min="1819" max="2011" width="9" style="80"/>
    <col min="2012" max="2074" width="2.77734375" style="80" customWidth="1"/>
    <col min="2075" max="2267" width="9" style="80"/>
    <col min="2268" max="2330" width="2.77734375" style="80" customWidth="1"/>
    <col min="2331" max="2523" width="9" style="80"/>
    <col min="2524" max="2586" width="2.77734375" style="80" customWidth="1"/>
    <col min="2587" max="2779" width="9" style="80"/>
    <col min="2780" max="2842" width="2.77734375" style="80" customWidth="1"/>
    <col min="2843" max="3035" width="9" style="80"/>
    <col min="3036" max="3098" width="2.77734375" style="80" customWidth="1"/>
    <col min="3099" max="3291" width="9" style="80"/>
    <col min="3292" max="3354" width="2.77734375" style="80" customWidth="1"/>
    <col min="3355" max="3547" width="9" style="80"/>
    <col min="3548" max="3610" width="2.77734375" style="80" customWidth="1"/>
    <col min="3611" max="3803" width="9" style="80"/>
    <col min="3804" max="3866" width="2.77734375" style="80" customWidth="1"/>
    <col min="3867" max="4059" width="9" style="80"/>
    <col min="4060" max="4122" width="2.77734375" style="80" customWidth="1"/>
    <col min="4123" max="4315" width="9" style="80"/>
    <col min="4316" max="4378" width="2.77734375" style="80" customWidth="1"/>
    <col min="4379" max="4571" width="9" style="80"/>
    <col min="4572" max="4634" width="2.77734375" style="80" customWidth="1"/>
    <col min="4635" max="4827" width="9" style="80"/>
    <col min="4828" max="4890" width="2.77734375" style="80" customWidth="1"/>
    <col min="4891" max="5083" width="9" style="80"/>
    <col min="5084" max="5146" width="2.77734375" style="80" customWidth="1"/>
    <col min="5147" max="5339" width="9" style="80"/>
    <col min="5340" max="5402" width="2.77734375" style="80" customWidth="1"/>
    <col min="5403" max="5595" width="9" style="80"/>
    <col min="5596" max="5658" width="2.77734375" style="80" customWidth="1"/>
    <col min="5659" max="5851" width="9" style="80"/>
    <col min="5852" max="5914" width="2.77734375" style="80" customWidth="1"/>
    <col min="5915" max="6107" width="9" style="80"/>
    <col min="6108" max="6170" width="2.77734375" style="80" customWidth="1"/>
    <col min="6171" max="6363" width="9" style="80"/>
    <col min="6364" max="6426" width="2.77734375" style="80" customWidth="1"/>
    <col min="6427" max="6619" width="9" style="80"/>
    <col min="6620" max="6682" width="2.77734375" style="80" customWidth="1"/>
    <col min="6683" max="6875" width="9" style="80"/>
    <col min="6876" max="6938" width="2.77734375" style="80" customWidth="1"/>
    <col min="6939" max="7131" width="9" style="80"/>
    <col min="7132" max="7194" width="2.77734375" style="80" customWidth="1"/>
    <col min="7195" max="7387" width="9" style="80"/>
    <col min="7388" max="7450" width="2.77734375" style="80" customWidth="1"/>
    <col min="7451" max="7643" width="9" style="80"/>
    <col min="7644" max="7706" width="2.77734375" style="80" customWidth="1"/>
    <col min="7707" max="7899" width="9" style="80"/>
    <col min="7900" max="7962" width="2.77734375" style="80" customWidth="1"/>
    <col min="7963" max="8155" width="9" style="80"/>
    <col min="8156" max="8218" width="2.77734375" style="80" customWidth="1"/>
    <col min="8219" max="8411" width="9" style="80"/>
    <col min="8412" max="8474" width="2.77734375" style="80" customWidth="1"/>
    <col min="8475" max="8667" width="9" style="80"/>
    <col min="8668" max="8730" width="2.77734375" style="80" customWidth="1"/>
    <col min="8731" max="8923" width="9" style="80"/>
    <col min="8924" max="8986" width="2.77734375" style="80" customWidth="1"/>
    <col min="8987" max="9179" width="9" style="80"/>
    <col min="9180" max="9242" width="2.77734375" style="80" customWidth="1"/>
    <col min="9243" max="9435" width="9" style="80"/>
    <col min="9436" max="9498" width="2.77734375" style="80" customWidth="1"/>
    <col min="9499" max="9691" width="9" style="80"/>
    <col min="9692" max="9754" width="2.77734375" style="80" customWidth="1"/>
    <col min="9755" max="9947" width="9" style="80"/>
    <col min="9948" max="10010" width="2.77734375" style="80" customWidth="1"/>
    <col min="10011" max="10203" width="9" style="80"/>
    <col min="10204" max="10266" width="2.77734375" style="80" customWidth="1"/>
    <col min="10267" max="10459" width="9" style="80"/>
    <col min="10460" max="10522" width="2.77734375" style="80" customWidth="1"/>
    <col min="10523" max="10715" width="9" style="80"/>
    <col min="10716" max="10778" width="2.77734375" style="80" customWidth="1"/>
    <col min="10779" max="10971" width="9" style="80"/>
    <col min="10972" max="11034" width="2.77734375" style="80" customWidth="1"/>
    <col min="11035" max="11227" width="9" style="80"/>
    <col min="11228" max="11290" width="2.77734375" style="80" customWidth="1"/>
    <col min="11291" max="11483" width="9" style="80"/>
    <col min="11484" max="11546" width="2.77734375" style="80" customWidth="1"/>
    <col min="11547" max="11739" width="9" style="80"/>
    <col min="11740" max="11802" width="2.77734375" style="80" customWidth="1"/>
    <col min="11803" max="11995" width="9" style="80"/>
    <col min="11996" max="12058" width="2.77734375" style="80" customWidth="1"/>
    <col min="12059" max="12251" width="9" style="80"/>
    <col min="12252" max="12314" width="2.77734375" style="80" customWidth="1"/>
    <col min="12315" max="12507" width="9" style="80"/>
    <col min="12508" max="12570" width="2.77734375" style="80" customWidth="1"/>
    <col min="12571" max="12763" width="9" style="80"/>
    <col min="12764" max="12826" width="2.77734375" style="80" customWidth="1"/>
    <col min="12827" max="13019" width="9" style="80"/>
    <col min="13020" max="13082" width="2.77734375" style="80" customWidth="1"/>
    <col min="13083" max="13275" width="9" style="80"/>
    <col min="13276" max="13338" width="2.77734375" style="80" customWidth="1"/>
    <col min="13339" max="13531" width="9" style="80"/>
    <col min="13532" max="13594" width="2.77734375" style="80" customWidth="1"/>
    <col min="13595" max="13787" width="9" style="80"/>
    <col min="13788" max="13850" width="2.77734375" style="80" customWidth="1"/>
    <col min="13851" max="14043" width="9" style="80"/>
    <col min="14044" max="14106" width="2.77734375" style="80" customWidth="1"/>
    <col min="14107" max="14299" width="9" style="80"/>
    <col min="14300" max="14362" width="2.77734375" style="80" customWidth="1"/>
    <col min="14363" max="14555" width="9" style="80"/>
    <col min="14556" max="14618" width="2.77734375" style="80" customWidth="1"/>
    <col min="14619" max="14811" width="9" style="80"/>
    <col min="14812" max="14874" width="2.77734375" style="80" customWidth="1"/>
    <col min="14875" max="15067" width="9" style="80"/>
    <col min="15068" max="15130" width="2.77734375" style="80" customWidth="1"/>
    <col min="15131" max="15323" width="9" style="80"/>
    <col min="15324" max="15386" width="2.77734375" style="80" customWidth="1"/>
    <col min="15387" max="15579" width="9" style="80"/>
    <col min="15580" max="15642" width="2.77734375" style="80" customWidth="1"/>
    <col min="15643" max="15835" width="9" style="80"/>
    <col min="15836" max="15898" width="2.77734375" style="80" customWidth="1"/>
    <col min="15899" max="16091" width="9" style="80"/>
    <col min="16092" max="16154" width="2.77734375" style="80" customWidth="1"/>
    <col min="16155" max="16384" width="9" style="80"/>
  </cols>
  <sheetData>
    <row r="1" spans="1:4" ht="36" customHeight="1" x14ac:dyDescent="0.2">
      <c r="A1" s="166" t="str">
        <f>"様式"&amp;YousikiNo&amp;"の改訂履歴"</f>
        <v>様式G1-25の改訂履歴</v>
      </c>
      <c r="B1" s="166"/>
      <c r="C1" s="166"/>
      <c r="D1" s="166"/>
    </row>
    <row r="2" spans="1:4" ht="15" customHeight="1" x14ac:dyDescent="0.2"/>
    <row r="3" spans="1:4" ht="15" customHeight="1" x14ac:dyDescent="0.2">
      <c r="A3" s="81" t="s">
        <v>167</v>
      </c>
      <c r="B3" s="81"/>
      <c r="D3" s="82" t="s">
        <v>168</v>
      </c>
    </row>
    <row r="4" spans="1:4" ht="15" customHeight="1" x14ac:dyDescent="0.2">
      <c r="A4" s="89" t="s">
        <v>173</v>
      </c>
      <c r="B4" s="89"/>
      <c r="C4" s="90"/>
      <c r="D4" s="83" t="s">
        <v>177</v>
      </c>
    </row>
    <row r="5" spans="1:4" ht="30" customHeight="1" x14ac:dyDescent="0.2">
      <c r="A5" s="84" t="s">
        <v>169</v>
      </c>
      <c r="B5" s="84" t="s">
        <v>170</v>
      </c>
      <c r="C5" s="85" t="s">
        <v>171</v>
      </c>
      <c r="D5" s="84" t="s">
        <v>172</v>
      </c>
    </row>
    <row r="6" spans="1:4" ht="30" customHeight="1" x14ac:dyDescent="0.2">
      <c r="A6" s="84">
        <v>0</v>
      </c>
      <c r="B6" s="86">
        <v>41886</v>
      </c>
      <c r="C6" s="85" t="s">
        <v>176</v>
      </c>
      <c r="D6" s="84" t="s">
        <v>179</v>
      </c>
    </row>
    <row r="7" spans="1:4" ht="30" customHeight="1" x14ac:dyDescent="0.2">
      <c r="A7" s="84">
        <v>1</v>
      </c>
      <c r="B7" s="87" t="s">
        <v>184</v>
      </c>
      <c r="C7" s="85" t="s">
        <v>181</v>
      </c>
      <c r="D7" s="84" t="s">
        <v>179</v>
      </c>
    </row>
    <row r="8" spans="1:4" ht="30" customHeight="1" x14ac:dyDescent="0.2">
      <c r="A8" s="84">
        <v>2</v>
      </c>
      <c r="B8" s="87" t="s">
        <v>174</v>
      </c>
      <c r="C8" s="88" t="s">
        <v>182</v>
      </c>
      <c r="D8" s="84" t="s">
        <v>179</v>
      </c>
    </row>
    <row r="9" spans="1:4" ht="30" customHeight="1" x14ac:dyDescent="0.2">
      <c r="A9" s="84">
        <v>3</v>
      </c>
      <c r="B9" s="87" t="s">
        <v>175</v>
      </c>
      <c r="C9" s="85" t="s">
        <v>183</v>
      </c>
      <c r="D9" s="84" t="s">
        <v>180</v>
      </c>
    </row>
    <row r="10" spans="1:4" ht="30" customHeight="1" x14ac:dyDescent="0.2">
      <c r="A10" s="84"/>
      <c r="B10" s="87" t="s">
        <v>178</v>
      </c>
      <c r="C10" s="85"/>
      <c r="D10" s="84"/>
    </row>
    <row r="11" spans="1:4" ht="30" customHeight="1" x14ac:dyDescent="0.2">
      <c r="A11" s="84"/>
      <c r="B11" s="87"/>
      <c r="C11" s="85"/>
      <c r="D11" s="84"/>
    </row>
    <row r="12" spans="1:4" ht="30" customHeight="1" x14ac:dyDescent="0.2">
      <c r="A12" s="84"/>
      <c r="B12" s="87"/>
      <c r="C12" s="85"/>
      <c r="D12" s="84"/>
    </row>
    <row r="13" spans="1:4" ht="30" customHeight="1" x14ac:dyDescent="0.2">
      <c r="A13" s="84"/>
      <c r="B13" s="87"/>
      <c r="C13" s="85"/>
      <c r="D13" s="84"/>
    </row>
    <row r="14" spans="1:4" ht="30" customHeight="1" x14ac:dyDescent="0.2">
      <c r="A14" s="84"/>
      <c r="B14" s="87"/>
      <c r="C14" s="88"/>
      <c r="D14" s="84"/>
    </row>
    <row r="15" spans="1:4" ht="30" customHeight="1" x14ac:dyDescent="0.2">
      <c r="A15" s="84"/>
      <c r="B15" s="87"/>
      <c r="C15" s="85"/>
      <c r="D15" s="84"/>
    </row>
    <row r="16" spans="1:4" ht="30" customHeight="1" x14ac:dyDescent="0.2">
      <c r="A16" s="84"/>
      <c r="B16" s="87"/>
      <c r="C16" s="85"/>
      <c r="D16" s="84"/>
    </row>
    <row r="17" spans="1:4" ht="30" customHeight="1" x14ac:dyDescent="0.2">
      <c r="A17" s="84"/>
      <c r="B17" s="87"/>
      <c r="C17" s="85"/>
      <c r="D17" s="84"/>
    </row>
    <row r="18" spans="1:4" ht="30" customHeight="1" x14ac:dyDescent="0.2">
      <c r="A18" s="84"/>
      <c r="B18" s="87"/>
      <c r="C18" s="85"/>
      <c r="D18" s="84"/>
    </row>
    <row r="19" spans="1:4" ht="30" customHeight="1" x14ac:dyDescent="0.2">
      <c r="A19" s="84"/>
      <c r="B19" s="87"/>
      <c r="C19" s="85"/>
      <c r="D19" s="84"/>
    </row>
    <row r="20" spans="1:4" ht="30" customHeight="1" x14ac:dyDescent="0.2">
      <c r="A20" s="84"/>
      <c r="B20" s="87"/>
      <c r="C20" s="85"/>
      <c r="D20" s="84"/>
    </row>
    <row r="21" spans="1:4" ht="30" customHeight="1" x14ac:dyDescent="0.2">
      <c r="A21" s="84"/>
      <c r="B21" s="87"/>
      <c r="C21" s="85"/>
      <c r="D21" s="84"/>
    </row>
    <row r="22" spans="1:4" ht="30" customHeight="1" x14ac:dyDescent="0.2">
      <c r="A22" s="84"/>
      <c r="B22" s="87"/>
      <c r="C22" s="85"/>
      <c r="D22" s="84"/>
    </row>
    <row r="23" spans="1:4" ht="30" customHeight="1" x14ac:dyDescent="0.2">
      <c r="A23" s="84"/>
      <c r="B23" s="87"/>
      <c r="C23" s="85"/>
      <c r="D23" s="84"/>
    </row>
    <row r="24" spans="1:4" ht="30" customHeight="1" x14ac:dyDescent="0.2">
      <c r="A24" s="84"/>
      <c r="B24" s="87"/>
      <c r="C24" s="85"/>
      <c r="D24" s="84"/>
    </row>
    <row r="25" spans="1:4" ht="30" customHeight="1" x14ac:dyDescent="0.2">
      <c r="A25" s="84"/>
      <c r="B25" s="87"/>
      <c r="C25" s="85"/>
      <c r="D25" s="84"/>
    </row>
    <row r="26" spans="1:4" ht="30" customHeight="1" x14ac:dyDescent="0.2">
      <c r="A26" s="84"/>
      <c r="B26" s="87"/>
      <c r="C26" s="85"/>
      <c r="D26" s="84"/>
    </row>
    <row r="27" spans="1:4" ht="30" customHeight="1" x14ac:dyDescent="0.2">
      <c r="A27" s="84"/>
      <c r="B27" s="87"/>
      <c r="C27" s="85"/>
      <c r="D27" s="84"/>
    </row>
    <row r="28" spans="1:4" ht="30" customHeight="1" x14ac:dyDescent="0.2">
      <c r="A28" s="84"/>
      <c r="B28" s="87"/>
      <c r="C28" s="85"/>
      <c r="D28" s="84"/>
    </row>
    <row r="29" spans="1:4" ht="30" customHeight="1" x14ac:dyDescent="0.2">
      <c r="A29" s="84"/>
      <c r="B29" s="87"/>
      <c r="C29" s="85"/>
      <c r="D29" s="84"/>
    </row>
    <row r="30" spans="1:4" ht="30" customHeight="1" x14ac:dyDescent="0.2">
      <c r="A30" s="84"/>
      <c r="B30" s="87"/>
      <c r="C30" s="85"/>
      <c r="D30" s="84"/>
    </row>
    <row r="31" spans="1:4" ht="30" customHeight="1" x14ac:dyDescent="0.2">
      <c r="A31" s="84"/>
      <c r="B31" s="87"/>
      <c r="C31" s="85"/>
      <c r="D31" s="84"/>
    </row>
    <row r="32" spans="1:4" ht="30" customHeight="1" x14ac:dyDescent="0.2">
      <c r="A32" s="84"/>
      <c r="B32" s="87"/>
      <c r="C32" s="85"/>
      <c r="D32" s="84"/>
    </row>
    <row r="33" spans="1:4" ht="30" customHeight="1" x14ac:dyDescent="0.2">
      <c r="A33" s="84"/>
      <c r="B33" s="87"/>
      <c r="C33" s="85"/>
      <c r="D33" s="84"/>
    </row>
    <row r="34" spans="1:4" ht="30" customHeight="1" x14ac:dyDescent="0.2">
      <c r="A34" s="84"/>
      <c r="B34" s="87"/>
      <c r="C34" s="85"/>
      <c r="D34" s="84"/>
    </row>
    <row r="35" spans="1:4" ht="30" customHeight="1" x14ac:dyDescent="0.2">
      <c r="A35" s="84"/>
      <c r="B35" s="87"/>
      <c r="C35" s="85"/>
      <c r="D35" s="84"/>
    </row>
    <row r="36" spans="1:4" ht="30" customHeight="1" x14ac:dyDescent="0.2">
      <c r="A36" s="84"/>
      <c r="B36" s="87"/>
      <c r="C36" s="85"/>
      <c r="D36" s="84"/>
    </row>
    <row r="37" spans="1:4" ht="30" customHeight="1" x14ac:dyDescent="0.2">
      <c r="A37" s="84"/>
      <c r="B37" s="87"/>
      <c r="C37" s="85"/>
      <c r="D37" s="84"/>
    </row>
    <row r="38" spans="1:4" ht="30" customHeight="1" x14ac:dyDescent="0.2">
      <c r="A38" s="84"/>
      <c r="B38" s="87"/>
      <c r="C38" s="85"/>
      <c r="D38" s="84"/>
    </row>
    <row r="39" spans="1:4" ht="30" customHeight="1" x14ac:dyDescent="0.2">
      <c r="A39" s="84"/>
      <c r="B39" s="87"/>
      <c r="C39" s="85"/>
      <c r="D39" s="84"/>
    </row>
    <row r="40" spans="1:4" ht="30" customHeight="1" x14ac:dyDescent="0.2">
      <c r="A40" s="84"/>
      <c r="B40" s="87"/>
      <c r="C40" s="85"/>
      <c r="D40" s="84"/>
    </row>
    <row r="41" spans="1:4" ht="30" customHeight="1" x14ac:dyDescent="0.2">
      <c r="A41" s="84"/>
      <c r="B41" s="87"/>
      <c r="C41" s="85"/>
      <c r="D41" s="84"/>
    </row>
    <row r="42" spans="1:4" ht="30" customHeight="1" x14ac:dyDescent="0.2">
      <c r="A42" s="84"/>
      <c r="B42" s="87"/>
      <c r="C42" s="85"/>
      <c r="D42" s="84"/>
    </row>
    <row r="43" spans="1:4" ht="30" customHeight="1" x14ac:dyDescent="0.2">
      <c r="A43" s="84"/>
      <c r="B43" s="87"/>
      <c r="C43" s="85"/>
      <c r="D43" s="84"/>
    </row>
    <row r="44" spans="1:4" ht="30" customHeight="1" x14ac:dyDescent="0.2">
      <c r="A44" s="84"/>
      <c r="B44" s="87"/>
      <c r="C44" s="85"/>
      <c r="D44" s="84"/>
    </row>
    <row r="45" spans="1:4" ht="30" customHeight="1" x14ac:dyDescent="0.2">
      <c r="A45" s="84"/>
      <c r="B45" s="87"/>
      <c r="C45" s="85"/>
      <c r="D45" s="84"/>
    </row>
    <row r="46" spans="1:4" ht="30" customHeight="1" x14ac:dyDescent="0.2">
      <c r="A46" s="84"/>
      <c r="B46" s="87"/>
      <c r="C46" s="85"/>
      <c r="D46" s="84"/>
    </row>
    <row r="47" spans="1:4" ht="30" customHeight="1" x14ac:dyDescent="0.2">
      <c r="A47" s="84"/>
      <c r="B47" s="87"/>
      <c r="C47" s="85"/>
      <c r="D47" s="84"/>
    </row>
    <row r="48" spans="1:4" ht="30" customHeight="1" x14ac:dyDescent="0.2">
      <c r="A48" s="84"/>
      <c r="B48" s="87"/>
      <c r="C48" s="85"/>
      <c r="D48" s="84"/>
    </row>
    <row r="49" spans="1:4" ht="30" customHeight="1" x14ac:dyDescent="0.2">
      <c r="A49" s="84"/>
      <c r="B49" s="87"/>
      <c r="C49" s="85"/>
      <c r="D49" s="84"/>
    </row>
    <row r="50" spans="1:4" ht="30" customHeight="1" x14ac:dyDescent="0.2">
      <c r="A50" s="84"/>
      <c r="B50" s="87"/>
      <c r="C50" s="85"/>
      <c r="D50" s="84"/>
    </row>
    <row r="51" spans="1:4" ht="30" customHeight="1" x14ac:dyDescent="0.2">
      <c r="A51" s="84"/>
      <c r="B51" s="87"/>
      <c r="C51" s="85"/>
      <c r="D51" s="84"/>
    </row>
    <row r="52" spans="1:4" ht="30" customHeight="1" x14ac:dyDescent="0.2">
      <c r="A52" s="84"/>
      <c r="B52" s="87"/>
      <c r="C52" s="85"/>
      <c r="D52" s="84"/>
    </row>
    <row r="53" spans="1:4" ht="30" customHeight="1" x14ac:dyDescent="0.2">
      <c r="A53" s="84"/>
      <c r="B53" s="87"/>
      <c r="C53" s="85"/>
      <c r="D53" s="84"/>
    </row>
    <row r="54" spans="1:4" ht="30" customHeight="1" x14ac:dyDescent="0.2">
      <c r="A54" s="84"/>
      <c r="B54" s="87"/>
      <c r="C54" s="85"/>
      <c r="D54" s="84"/>
    </row>
    <row r="55" spans="1:4" ht="30" customHeight="1" x14ac:dyDescent="0.2">
      <c r="A55" s="84"/>
      <c r="B55" s="87"/>
      <c r="C55" s="85"/>
      <c r="D55" s="84"/>
    </row>
    <row r="56" spans="1:4" ht="30" customHeight="1" x14ac:dyDescent="0.2">
      <c r="A56" s="84"/>
      <c r="B56" s="87"/>
      <c r="C56" s="85"/>
      <c r="D56" s="84"/>
    </row>
    <row r="57" spans="1:4" ht="30" customHeight="1" x14ac:dyDescent="0.2">
      <c r="A57" s="84"/>
      <c r="B57" s="87"/>
      <c r="C57" s="85"/>
      <c r="D57" s="84"/>
    </row>
    <row r="58" spans="1:4" ht="30" customHeight="1" x14ac:dyDescent="0.2">
      <c r="A58" s="84"/>
      <c r="B58" s="87"/>
      <c r="C58" s="85"/>
      <c r="D58" s="84"/>
    </row>
    <row r="59" spans="1:4" ht="30" customHeight="1" x14ac:dyDescent="0.2">
      <c r="A59" s="84"/>
      <c r="B59" s="87"/>
      <c r="C59" s="85"/>
      <c r="D59" s="84"/>
    </row>
    <row r="60" spans="1:4" ht="30" customHeight="1" x14ac:dyDescent="0.2">
      <c r="A60" s="84"/>
      <c r="B60" s="87"/>
      <c r="C60" s="85"/>
      <c r="D60" s="84"/>
    </row>
    <row r="61" spans="1:4" ht="30" customHeight="1" x14ac:dyDescent="0.2">
      <c r="A61" s="84"/>
      <c r="B61" s="87"/>
      <c r="C61" s="85"/>
      <c r="D61" s="84"/>
    </row>
    <row r="62" spans="1:4" ht="30" customHeight="1" x14ac:dyDescent="0.2">
      <c r="A62" s="84"/>
      <c r="B62" s="87"/>
      <c r="C62" s="85"/>
      <c r="D62" s="84"/>
    </row>
    <row r="63" spans="1:4" ht="30" customHeight="1" x14ac:dyDescent="0.2">
      <c r="A63" s="84"/>
      <c r="B63" s="87"/>
      <c r="C63" s="85"/>
      <c r="D63" s="84"/>
    </row>
    <row r="64" spans="1:4" ht="30" customHeight="1" x14ac:dyDescent="0.2">
      <c r="A64" s="84"/>
      <c r="B64" s="87"/>
      <c r="C64" s="85"/>
      <c r="D64" s="84"/>
    </row>
    <row r="65" spans="1:4" ht="30" customHeight="1" x14ac:dyDescent="0.2">
      <c r="A65" s="84"/>
      <c r="B65" s="87"/>
      <c r="C65" s="85"/>
      <c r="D65" s="84"/>
    </row>
    <row r="66" spans="1:4" ht="30" customHeight="1" x14ac:dyDescent="0.2">
      <c r="A66" s="84"/>
      <c r="B66" s="87"/>
      <c r="C66" s="85"/>
      <c r="D66" s="84"/>
    </row>
    <row r="67" spans="1:4" ht="30" customHeight="1" x14ac:dyDescent="0.2">
      <c r="A67" s="84"/>
      <c r="B67" s="87"/>
      <c r="C67" s="85"/>
      <c r="D67" s="84"/>
    </row>
    <row r="68" spans="1:4" ht="30" customHeight="1" x14ac:dyDescent="0.2">
      <c r="A68" s="84"/>
      <c r="B68" s="87"/>
      <c r="C68" s="85"/>
      <c r="D68" s="84"/>
    </row>
    <row r="69" spans="1:4" ht="30" customHeight="1" x14ac:dyDescent="0.2">
      <c r="A69" s="84"/>
      <c r="B69" s="87"/>
      <c r="C69" s="85"/>
      <c r="D69" s="84"/>
    </row>
    <row r="70" spans="1:4" ht="30" customHeight="1" x14ac:dyDescent="0.2">
      <c r="A70" s="84"/>
      <c r="B70" s="87"/>
      <c r="C70" s="85"/>
      <c r="D70" s="84"/>
    </row>
    <row r="71" spans="1:4" ht="30" customHeight="1" x14ac:dyDescent="0.2">
      <c r="A71" s="84"/>
      <c r="B71" s="87"/>
      <c r="C71" s="85"/>
      <c r="D71" s="84"/>
    </row>
    <row r="72" spans="1:4" ht="30" customHeight="1" x14ac:dyDescent="0.2">
      <c r="A72" s="84"/>
      <c r="B72" s="87"/>
      <c r="C72" s="85"/>
      <c r="D72" s="84"/>
    </row>
    <row r="73" spans="1:4" ht="30" customHeight="1" x14ac:dyDescent="0.2">
      <c r="A73" s="84"/>
      <c r="B73" s="87"/>
      <c r="C73" s="85"/>
      <c r="D73" s="84"/>
    </row>
    <row r="74" spans="1:4" ht="30" customHeight="1" x14ac:dyDescent="0.2">
      <c r="A74" s="84"/>
      <c r="B74" s="87"/>
      <c r="C74" s="85"/>
      <c r="D74" s="84"/>
    </row>
    <row r="75" spans="1:4" ht="30" customHeight="1" x14ac:dyDescent="0.2">
      <c r="A75" s="84"/>
      <c r="B75" s="87"/>
      <c r="C75" s="85"/>
      <c r="D75" s="84"/>
    </row>
    <row r="76" spans="1:4" ht="30" customHeight="1" x14ac:dyDescent="0.2">
      <c r="A76" s="84"/>
      <c r="B76" s="87"/>
      <c r="C76" s="85"/>
      <c r="D76" s="84"/>
    </row>
    <row r="77" spans="1:4" ht="30" customHeight="1" x14ac:dyDescent="0.2">
      <c r="A77" s="84"/>
      <c r="B77" s="87"/>
      <c r="C77" s="85"/>
      <c r="D77" s="84"/>
    </row>
    <row r="78" spans="1:4" ht="30" customHeight="1" x14ac:dyDescent="0.2">
      <c r="A78" s="84"/>
      <c r="B78" s="87"/>
      <c r="C78" s="85"/>
      <c r="D78" s="84"/>
    </row>
    <row r="79" spans="1:4" ht="30" customHeight="1" x14ac:dyDescent="0.2">
      <c r="A79" s="84"/>
      <c r="B79" s="87"/>
      <c r="C79" s="85"/>
      <c r="D79" s="84"/>
    </row>
    <row r="80" spans="1:4" ht="30" customHeight="1" x14ac:dyDescent="0.2">
      <c r="A80" s="84"/>
      <c r="B80" s="87"/>
      <c r="C80" s="85"/>
      <c r="D80" s="84"/>
    </row>
    <row r="81" spans="1:4" ht="30" customHeight="1" x14ac:dyDescent="0.2">
      <c r="A81" s="84"/>
      <c r="B81" s="87"/>
      <c r="C81" s="85"/>
      <c r="D81" s="84"/>
    </row>
    <row r="82" spans="1:4" ht="30" customHeight="1" x14ac:dyDescent="0.2">
      <c r="A82" s="84"/>
      <c r="B82" s="87"/>
      <c r="C82" s="85"/>
      <c r="D82" s="84"/>
    </row>
    <row r="83" spans="1:4" ht="30" customHeight="1" x14ac:dyDescent="0.2">
      <c r="A83" s="84"/>
      <c r="B83" s="87"/>
      <c r="C83" s="85"/>
      <c r="D83" s="84"/>
    </row>
    <row r="84" spans="1:4" ht="30" customHeight="1" x14ac:dyDescent="0.2">
      <c r="A84" s="84"/>
      <c r="B84" s="87"/>
      <c r="C84" s="85"/>
      <c r="D84" s="84"/>
    </row>
    <row r="85" spans="1:4" ht="30" customHeight="1" x14ac:dyDescent="0.2">
      <c r="A85" s="84"/>
      <c r="B85" s="87"/>
      <c r="C85" s="85"/>
      <c r="D85" s="84"/>
    </row>
    <row r="86" spans="1:4" ht="30" customHeight="1" x14ac:dyDescent="0.2">
      <c r="A86" s="84"/>
      <c r="B86" s="87"/>
      <c r="C86" s="85"/>
      <c r="D86" s="84"/>
    </row>
    <row r="87" spans="1:4" ht="30" customHeight="1" x14ac:dyDescent="0.2">
      <c r="A87" s="84"/>
      <c r="B87" s="87"/>
      <c r="C87" s="85"/>
      <c r="D87" s="84"/>
    </row>
    <row r="88" spans="1:4" ht="30" customHeight="1" x14ac:dyDescent="0.2">
      <c r="A88" s="84"/>
      <c r="B88" s="87"/>
      <c r="C88" s="85"/>
      <c r="D88" s="84"/>
    </row>
    <row r="89" spans="1:4" ht="30" customHeight="1" x14ac:dyDescent="0.2">
      <c r="A89" s="84"/>
      <c r="B89" s="87"/>
      <c r="C89" s="85"/>
      <c r="D89" s="84"/>
    </row>
    <row r="90" spans="1:4" ht="30" customHeight="1" x14ac:dyDescent="0.2">
      <c r="A90" s="84"/>
      <c r="B90" s="87"/>
      <c r="C90" s="85"/>
      <c r="D90" s="84"/>
    </row>
    <row r="91" spans="1:4" ht="30" customHeight="1" x14ac:dyDescent="0.2">
      <c r="A91" s="84"/>
      <c r="B91" s="87"/>
      <c r="C91" s="85"/>
      <c r="D91" s="84"/>
    </row>
    <row r="92" spans="1:4" ht="30" customHeight="1" x14ac:dyDescent="0.2">
      <c r="A92" s="84"/>
      <c r="B92" s="87"/>
      <c r="C92" s="85"/>
      <c r="D92" s="84"/>
    </row>
    <row r="93" spans="1:4" ht="30" customHeight="1" x14ac:dyDescent="0.2">
      <c r="A93" s="84"/>
      <c r="B93" s="87"/>
      <c r="C93" s="85"/>
      <c r="D93" s="84"/>
    </row>
    <row r="94" spans="1:4" ht="30" customHeight="1" x14ac:dyDescent="0.2">
      <c r="A94" s="84"/>
      <c r="B94" s="87"/>
      <c r="C94" s="85"/>
      <c r="D94" s="84"/>
    </row>
    <row r="95" spans="1:4" ht="30" customHeight="1" x14ac:dyDescent="0.2">
      <c r="A95" s="84"/>
      <c r="B95" s="87"/>
      <c r="C95" s="85"/>
      <c r="D95" s="84"/>
    </row>
    <row r="96" spans="1:4" ht="30" customHeight="1" x14ac:dyDescent="0.2">
      <c r="A96" s="84"/>
      <c r="B96" s="87"/>
      <c r="C96" s="85"/>
      <c r="D96" s="84"/>
    </row>
    <row r="97" spans="1:4" ht="30" customHeight="1" x14ac:dyDescent="0.2">
      <c r="A97" s="84"/>
      <c r="B97" s="87"/>
      <c r="C97" s="85"/>
      <c r="D97" s="84"/>
    </row>
    <row r="98" spans="1:4" ht="30" customHeight="1" x14ac:dyDescent="0.2">
      <c r="A98" s="84"/>
      <c r="B98" s="87"/>
      <c r="C98" s="85"/>
      <c r="D98" s="84"/>
    </row>
    <row r="99" spans="1:4" ht="30" customHeight="1" x14ac:dyDescent="0.2">
      <c r="A99" s="84"/>
      <c r="B99" s="87"/>
      <c r="C99" s="85"/>
      <c r="D99" s="84"/>
    </row>
    <row r="100" spans="1:4" ht="30" customHeight="1" x14ac:dyDescent="0.2">
      <c r="A100" s="84"/>
      <c r="B100" s="87"/>
      <c r="C100" s="85"/>
      <c r="D100" s="84"/>
    </row>
    <row r="101" spans="1:4" ht="30" customHeight="1" x14ac:dyDescent="0.2">
      <c r="A101" s="84"/>
      <c r="B101" s="87"/>
      <c r="C101" s="85"/>
      <c r="D101" s="84"/>
    </row>
    <row r="102" spans="1:4" ht="30" customHeight="1" x14ac:dyDescent="0.2">
      <c r="A102" s="84"/>
      <c r="B102" s="87"/>
      <c r="C102" s="85"/>
      <c r="D102" s="84"/>
    </row>
    <row r="103" spans="1:4" ht="30" customHeight="1" x14ac:dyDescent="0.2">
      <c r="A103" s="84"/>
      <c r="B103" s="87"/>
      <c r="C103" s="85"/>
      <c r="D103" s="84"/>
    </row>
    <row r="104" spans="1:4" ht="30" customHeight="1" x14ac:dyDescent="0.2">
      <c r="A104" s="84"/>
      <c r="B104" s="87"/>
      <c r="C104" s="85"/>
      <c r="D104" s="84"/>
    </row>
    <row r="105" spans="1:4" ht="30" customHeight="1" x14ac:dyDescent="0.2">
      <c r="A105" s="84"/>
      <c r="B105" s="87"/>
      <c r="C105" s="85"/>
      <c r="D105" s="84"/>
    </row>
  </sheetData>
  <mergeCells count="1">
    <mergeCell ref="A1:D1"/>
  </mergeCells>
  <phoneticPr fontId="1"/>
  <pageMargins left="0.7" right="0.7" top="0.75" bottom="0.75" header="0.3" footer="0.3"/>
  <pageSetup paperSize="9" scale="72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R50"/>
  <sheetViews>
    <sheetView zoomScale="80" zoomScaleNormal="80" workbookViewId="0">
      <selection activeCell="F11" sqref="F11"/>
    </sheetView>
  </sheetViews>
  <sheetFormatPr defaultRowHeight="13.2" x14ac:dyDescent="0.2"/>
  <cols>
    <col min="1" max="1" width="1.33203125" customWidth="1"/>
    <col min="2" max="2" width="15.33203125" customWidth="1"/>
    <col min="3" max="3" width="14.77734375" customWidth="1"/>
    <col min="4" max="5" width="13.6640625" customWidth="1"/>
    <col min="6" max="6" width="17.88671875" customWidth="1"/>
    <col min="7" max="7" width="16.6640625" customWidth="1"/>
    <col min="8" max="8" width="13.88671875" customWidth="1"/>
    <col min="9" max="9" width="11.44140625" customWidth="1"/>
    <col min="10" max="10" width="9.33203125" customWidth="1"/>
    <col min="11" max="11" width="11.77734375" customWidth="1"/>
    <col min="12" max="12" width="10.33203125" customWidth="1"/>
    <col min="14" max="14" width="14.21875" customWidth="1"/>
    <col min="15" max="15" width="14.109375" customWidth="1"/>
    <col min="16" max="16" width="11.88671875" customWidth="1"/>
  </cols>
  <sheetData>
    <row r="1" spans="2:18" ht="33" customHeight="1" x14ac:dyDescent="0.2">
      <c r="B1" t="s">
        <v>115</v>
      </c>
    </row>
    <row r="2" spans="2:18" ht="31.5" customHeight="1" x14ac:dyDescent="0.2">
      <c r="B2" s="172" t="s">
        <v>50</v>
      </c>
      <c r="C2" s="172" t="s">
        <v>55</v>
      </c>
      <c r="D2" s="168" t="s">
        <v>51</v>
      </c>
      <c r="E2" s="172" t="s">
        <v>52</v>
      </c>
      <c r="F2" s="172"/>
      <c r="G2" s="168" t="s">
        <v>156</v>
      </c>
      <c r="H2" s="169"/>
      <c r="I2" s="173"/>
      <c r="J2" s="170"/>
      <c r="K2" s="28" t="s">
        <v>53</v>
      </c>
      <c r="L2" s="28" t="s">
        <v>54</v>
      </c>
      <c r="M2" s="28" t="s">
        <v>58</v>
      </c>
      <c r="N2" s="28" t="s">
        <v>59</v>
      </c>
      <c r="O2" s="29" t="s">
        <v>83</v>
      </c>
      <c r="P2" s="29" t="s">
        <v>60</v>
      </c>
      <c r="Q2" s="29" t="s">
        <v>61</v>
      </c>
      <c r="R2" s="29" t="s">
        <v>62</v>
      </c>
    </row>
    <row r="3" spans="2:18" ht="31.5" customHeight="1" x14ac:dyDescent="0.2">
      <c r="B3" s="172"/>
      <c r="C3" s="172"/>
      <c r="D3" s="172"/>
      <c r="E3" s="30" t="s">
        <v>137</v>
      </c>
      <c r="F3" s="30" t="s">
        <v>138</v>
      </c>
      <c r="G3" s="172"/>
      <c r="H3" s="169"/>
      <c r="I3" s="173"/>
      <c r="J3" s="171"/>
      <c r="K3" s="50">
        <f>SUM(K4:K7)</f>
        <v>1</v>
      </c>
      <c r="L3" s="50">
        <f>SUM(L4:L6)</f>
        <v>1</v>
      </c>
      <c r="M3" s="50">
        <f t="shared" ref="M3:R3" si="0">SUM(M4:M5)</f>
        <v>1</v>
      </c>
      <c r="N3" s="50">
        <f t="shared" si="0"/>
        <v>1</v>
      </c>
      <c r="O3" s="50">
        <f t="shared" si="0"/>
        <v>1</v>
      </c>
      <c r="P3" s="50">
        <f t="shared" si="0"/>
        <v>1</v>
      </c>
      <c r="Q3" s="50">
        <f t="shared" si="0"/>
        <v>1</v>
      </c>
      <c r="R3" s="50">
        <f t="shared" si="0"/>
        <v>1</v>
      </c>
    </row>
    <row r="4" spans="2:18" ht="19.5" customHeight="1" x14ac:dyDescent="0.2">
      <c r="B4" s="48" t="str">
        <f>C20</f>
        <v>2026/01/14</v>
      </c>
      <c r="C4" s="19" t="s">
        <v>56</v>
      </c>
      <c r="D4" s="19">
        <v>10</v>
      </c>
      <c r="E4" s="19">
        <v>50</v>
      </c>
      <c r="F4" s="19">
        <v>60</v>
      </c>
      <c r="G4" s="77">
        <v>5.32</v>
      </c>
      <c r="H4" s="25"/>
      <c r="J4" s="76"/>
      <c r="K4" s="50">
        <f>IF(SetHouhou="■",1,0)</f>
        <v>1</v>
      </c>
      <c r="L4" s="50">
        <f>IF(HanJyouGe="■",1,0)</f>
        <v>1</v>
      </c>
      <c r="M4" s="50">
        <f>IF(SenAri="■",1,0)</f>
        <v>1</v>
      </c>
      <c r="N4" s="50">
        <f>IF(SenItiNaka="■",1,0)</f>
        <v>1</v>
      </c>
      <c r="O4" s="50">
        <f>IF(RadiW="■",1,0)</f>
        <v>1</v>
      </c>
      <c r="P4" s="50">
        <f>IF(LabAri="■",1,0)</f>
        <v>1</v>
      </c>
      <c r="Q4" s="50">
        <f>IF(CiAri="■",1,0)</f>
        <v>1</v>
      </c>
      <c r="R4" s="50">
        <f>IF(TokSujiAri="■",1,0)</f>
        <v>0</v>
      </c>
    </row>
    <row r="5" spans="2:18" ht="19.5" customHeight="1" x14ac:dyDescent="0.2">
      <c r="C5" s="19" t="s">
        <v>57</v>
      </c>
      <c r="D5" s="19">
        <v>15</v>
      </c>
      <c r="E5" s="19">
        <v>40</v>
      </c>
      <c r="F5" s="19">
        <v>50</v>
      </c>
      <c r="G5" s="77">
        <v>5.49</v>
      </c>
      <c r="H5" s="25"/>
      <c r="J5" s="73"/>
      <c r="K5" s="50">
        <f>IF(SetSonota="■",1,0)</f>
        <v>0</v>
      </c>
      <c r="L5" s="50">
        <f>IF(HanSayuu="■",1,0)</f>
        <v>0</v>
      </c>
      <c r="M5" s="50">
        <f>IF(SenNasi="■",1,0)</f>
        <v>0</v>
      </c>
      <c r="N5" s="50">
        <f>IF(SenItiHoka="■",1,0)</f>
        <v>0</v>
      </c>
      <c r="O5" s="50">
        <f>IF(AE132A="■",1,0)</f>
        <v>0</v>
      </c>
      <c r="P5" s="50">
        <f>IF(LabNasi="■",1,0)</f>
        <v>0</v>
      </c>
      <c r="Q5" s="50">
        <f>IF(CiNasi="■",1,0)</f>
        <v>0</v>
      </c>
      <c r="R5" s="50">
        <f>IF(TokSijNasi="■",1,0)</f>
        <v>1</v>
      </c>
    </row>
    <row r="6" spans="2:18" ht="19.5" customHeight="1" x14ac:dyDescent="0.2">
      <c r="D6" s="19">
        <v>20</v>
      </c>
      <c r="E6" s="19">
        <v>30</v>
      </c>
      <c r="F6" s="19">
        <v>40</v>
      </c>
      <c r="G6" s="77">
        <v>5.65</v>
      </c>
      <c r="H6" s="25"/>
      <c r="J6" s="73"/>
      <c r="K6" s="50">
        <f>IF(SetRitu="■",1,0)</f>
        <v>0</v>
      </c>
      <c r="L6" s="50">
        <f>IF(HanSonota="■",1,0)</f>
        <v>0</v>
      </c>
    </row>
    <row r="7" spans="2:18" ht="19.5" customHeight="1" x14ac:dyDescent="0.2">
      <c r="D7" s="19">
        <v>30</v>
      </c>
      <c r="E7" s="19">
        <v>20</v>
      </c>
      <c r="F7" s="19">
        <v>30</v>
      </c>
      <c r="G7" s="77">
        <v>5.95</v>
      </c>
      <c r="H7" s="25"/>
      <c r="J7" s="73"/>
      <c r="K7" s="50">
        <f>IF(SheetCal="■",1,0)</f>
        <v>0</v>
      </c>
    </row>
    <row r="8" spans="2:18" ht="27.75" customHeight="1" x14ac:dyDescent="0.2">
      <c r="D8" s="19">
        <v>30</v>
      </c>
      <c r="E8" s="19">
        <v>0</v>
      </c>
      <c r="F8" s="19">
        <v>20</v>
      </c>
      <c r="G8" s="77">
        <v>6.07</v>
      </c>
      <c r="H8" s="25"/>
      <c r="J8" s="73"/>
      <c r="K8" s="29" t="s">
        <v>84</v>
      </c>
    </row>
    <row r="9" spans="2:18" ht="19.5" customHeight="1" x14ac:dyDescent="0.2">
      <c r="B9" s="168" t="s">
        <v>67</v>
      </c>
      <c r="C9" s="27"/>
      <c r="D9" s="56"/>
      <c r="E9" s="146" t="s">
        <v>112</v>
      </c>
      <c r="F9" s="146"/>
      <c r="G9" s="52">
        <v>1.3240000000000001</v>
      </c>
      <c r="H9" s="25"/>
      <c r="J9" s="73"/>
      <c r="K9" s="50">
        <f>SUM(K10:K11)</f>
        <v>0</v>
      </c>
    </row>
    <row r="10" spans="2:18" ht="19.5" customHeight="1" x14ac:dyDescent="0.2">
      <c r="B10" s="168"/>
      <c r="C10" s="25"/>
      <c r="D10" t="s">
        <v>85</v>
      </c>
      <c r="E10" s="26"/>
      <c r="F10" s="26"/>
      <c r="K10" s="50">
        <f>IF(RadixWW="■",1,0)</f>
        <v>0</v>
      </c>
    </row>
    <row r="11" spans="2:18" ht="41.25" customHeight="1" x14ac:dyDescent="0.2">
      <c r="B11" s="19">
        <v>25</v>
      </c>
      <c r="C11" s="25"/>
      <c r="D11" s="146" t="s">
        <v>126</v>
      </c>
      <c r="E11" s="167"/>
      <c r="F11" s="51" t="s">
        <v>157</v>
      </c>
      <c r="G11" s="18" t="s">
        <v>111</v>
      </c>
      <c r="H11" s="49">
        <f>DoseR50*DoseR40*DoseR30*DoseR20*DoseR0*SheetHr</f>
        <v>7890.8914020913207</v>
      </c>
      <c r="K11" s="50">
        <f>IF(AE132AA="■",1,0)</f>
        <v>0</v>
      </c>
    </row>
    <row r="12" spans="2:18" ht="28.5" customHeight="1" x14ac:dyDescent="0.2"/>
    <row r="13" spans="2:18" x14ac:dyDescent="0.2">
      <c r="B13" t="s">
        <v>77</v>
      </c>
    </row>
    <row r="14" spans="2:18" x14ac:dyDescent="0.2">
      <c r="B14" s="30" t="s">
        <v>76</v>
      </c>
      <c r="C14" s="30" t="s">
        <v>75</v>
      </c>
    </row>
    <row r="15" spans="2:18" x14ac:dyDescent="0.2">
      <c r="B15" s="19">
        <v>1</v>
      </c>
      <c r="C15" s="19">
        <v>1</v>
      </c>
    </row>
    <row r="18" spans="2:18" ht="21" customHeight="1" x14ac:dyDescent="0.2">
      <c r="B18" t="s">
        <v>110</v>
      </c>
      <c r="G18" t="s">
        <v>108</v>
      </c>
    </row>
    <row r="19" spans="2:18" ht="37.5" customHeight="1" x14ac:dyDescent="0.2">
      <c r="B19" s="43" t="s">
        <v>109</v>
      </c>
      <c r="C19" s="43" t="s">
        <v>103</v>
      </c>
      <c r="D19" s="43" t="s">
        <v>154</v>
      </c>
      <c r="E19" s="43" t="s">
        <v>155</v>
      </c>
      <c r="F19" s="43" t="s">
        <v>106</v>
      </c>
      <c r="G19" s="43" t="s">
        <v>105</v>
      </c>
      <c r="H19" s="43" t="s">
        <v>104</v>
      </c>
      <c r="I19" s="44" t="s">
        <v>107</v>
      </c>
      <c r="J19" s="44">
        <f>MIN(J20:J50)</f>
        <v>99</v>
      </c>
      <c r="N19" s="46"/>
      <c r="O19" s="46"/>
      <c r="Q19" s="46"/>
      <c r="R19" s="46"/>
    </row>
    <row r="20" spans="2:18" ht="18" customHeight="1" x14ac:dyDescent="0.2">
      <c r="B20" s="19">
        <v>0</v>
      </c>
      <c r="C20" s="19" t="s">
        <v>1481</v>
      </c>
      <c r="D20" s="19" t="s">
        <v>1482</v>
      </c>
      <c r="E20" s="19" t="s">
        <v>1483</v>
      </c>
      <c r="F20" s="19" t="s">
        <v>1484</v>
      </c>
      <c r="G20" s="19" t="s">
        <v>1485</v>
      </c>
      <c r="H20" s="19" t="s">
        <v>1486</v>
      </c>
      <c r="I20" s="19" t="s">
        <v>1487</v>
      </c>
      <c r="J20" s="49">
        <f>IF(AND(C20&lt;&gt;"",C21=""),0,99)</f>
        <v>99</v>
      </c>
      <c r="N20" s="45"/>
      <c r="O20" s="45"/>
      <c r="Q20" s="45"/>
      <c r="R20" s="45"/>
    </row>
    <row r="21" spans="2:18" ht="18" customHeight="1" x14ac:dyDescent="0.2">
      <c r="B21" s="19">
        <v>1</v>
      </c>
      <c r="C21" s="19" t="s">
        <v>1488</v>
      </c>
      <c r="D21" s="19" t="s">
        <v>1482</v>
      </c>
      <c r="E21" s="19" t="s">
        <v>1483</v>
      </c>
      <c r="F21" s="19" t="s">
        <v>1484</v>
      </c>
      <c r="G21" s="19" t="s">
        <v>1485</v>
      </c>
      <c r="H21" s="19" t="s">
        <v>1486</v>
      </c>
      <c r="I21" s="19" t="s">
        <v>1487</v>
      </c>
      <c r="J21" s="49">
        <f t="shared" ref="J21:J50" si="1">IF(C21="",99,IF(OR(F21&lt;&gt;F20,G21&lt;&gt;G20,H21&lt;&gt;H20,I21&lt;&gt;I20),B21,99))</f>
        <v>99</v>
      </c>
      <c r="N21" s="45"/>
      <c r="O21" s="45"/>
      <c r="P21" s="45"/>
      <c r="Q21" s="45"/>
      <c r="R21" s="45"/>
    </row>
    <row r="22" spans="2:18" ht="18" customHeight="1" x14ac:dyDescent="0.2">
      <c r="B22" s="19">
        <v>2</v>
      </c>
      <c r="C22" s="19" t="s">
        <v>1489</v>
      </c>
      <c r="D22" s="19" t="s">
        <v>1482</v>
      </c>
      <c r="E22" s="19" t="s">
        <v>1483</v>
      </c>
      <c r="F22" s="19" t="s">
        <v>1484</v>
      </c>
      <c r="G22" s="19" t="s">
        <v>1485</v>
      </c>
      <c r="H22" s="19" t="s">
        <v>1486</v>
      </c>
      <c r="I22" s="19" t="s">
        <v>1487</v>
      </c>
      <c r="J22" s="49">
        <f t="shared" si="1"/>
        <v>99</v>
      </c>
      <c r="N22" s="45"/>
      <c r="O22" s="45"/>
      <c r="P22" s="45"/>
      <c r="Q22" s="45"/>
      <c r="R22" s="45"/>
    </row>
    <row r="23" spans="2:18" x14ac:dyDescent="0.2">
      <c r="B23" s="19">
        <v>3</v>
      </c>
      <c r="C23" s="19" t="s">
        <v>1490</v>
      </c>
      <c r="D23" s="19" t="s">
        <v>1482</v>
      </c>
      <c r="E23" s="19" t="s">
        <v>1483</v>
      </c>
      <c r="F23" s="19" t="s">
        <v>1484</v>
      </c>
      <c r="G23" s="19" t="s">
        <v>1485</v>
      </c>
      <c r="H23" s="19" t="s">
        <v>1486</v>
      </c>
      <c r="I23" s="19" t="s">
        <v>1487</v>
      </c>
      <c r="J23" s="49">
        <f t="shared" si="1"/>
        <v>99</v>
      </c>
      <c r="N23" s="45"/>
      <c r="O23" s="45"/>
      <c r="P23" s="45"/>
      <c r="Q23" s="45"/>
      <c r="R23" s="45"/>
    </row>
    <row r="24" spans="2:18" x14ac:dyDescent="0.2">
      <c r="B24" s="19">
        <v>4</v>
      </c>
      <c r="C24" s="19" t="s">
        <v>1491</v>
      </c>
      <c r="D24" s="19" t="s">
        <v>1482</v>
      </c>
      <c r="E24" s="19" t="s">
        <v>1483</v>
      </c>
      <c r="F24" s="19" t="s">
        <v>1484</v>
      </c>
      <c r="G24" s="19" t="s">
        <v>1485</v>
      </c>
      <c r="H24" s="19" t="s">
        <v>1486</v>
      </c>
      <c r="I24" s="19" t="s">
        <v>1487</v>
      </c>
      <c r="J24" s="49">
        <f t="shared" si="1"/>
        <v>99</v>
      </c>
      <c r="N24" s="45"/>
      <c r="O24" s="45"/>
      <c r="P24" s="45"/>
      <c r="Q24" s="45"/>
      <c r="R24" s="45"/>
    </row>
    <row r="25" spans="2:18" x14ac:dyDescent="0.2">
      <c r="B25" s="19">
        <v>5</v>
      </c>
      <c r="C25" s="19" t="s">
        <v>1492</v>
      </c>
      <c r="D25" s="19" t="s">
        <v>1482</v>
      </c>
      <c r="E25" s="19" t="s">
        <v>1483</v>
      </c>
      <c r="F25" s="19" t="s">
        <v>1484</v>
      </c>
      <c r="G25" s="19" t="s">
        <v>1485</v>
      </c>
      <c r="H25" s="19" t="s">
        <v>1486</v>
      </c>
      <c r="I25" s="19" t="s">
        <v>1487</v>
      </c>
      <c r="J25" s="49">
        <f t="shared" si="1"/>
        <v>99</v>
      </c>
      <c r="N25" s="45"/>
      <c r="O25" s="45"/>
      <c r="P25" s="45"/>
      <c r="Q25" s="45"/>
      <c r="R25" s="45"/>
    </row>
    <row r="26" spans="2:18" x14ac:dyDescent="0.2">
      <c r="B26" s="19">
        <v>6</v>
      </c>
      <c r="C26" s="19" t="s">
        <v>1493</v>
      </c>
      <c r="D26" s="19" t="s">
        <v>1482</v>
      </c>
      <c r="E26" s="19" t="s">
        <v>1483</v>
      </c>
      <c r="F26" s="19" t="s">
        <v>1484</v>
      </c>
      <c r="G26" s="19" t="s">
        <v>1485</v>
      </c>
      <c r="H26" s="19" t="s">
        <v>1486</v>
      </c>
      <c r="I26" s="19" t="s">
        <v>1487</v>
      </c>
      <c r="J26" s="49">
        <f t="shared" si="1"/>
        <v>99</v>
      </c>
      <c r="N26" s="45"/>
      <c r="O26" s="45"/>
      <c r="P26" s="45"/>
      <c r="Q26" s="45"/>
      <c r="R26" s="45"/>
    </row>
    <row r="27" spans="2:18" x14ac:dyDescent="0.2">
      <c r="B27" s="19">
        <v>7</v>
      </c>
      <c r="C27" s="19" t="s">
        <v>1494</v>
      </c>
      <c r="D27" s="19" t="s">
        <v>1482</v>
      </c>
      <c r="E27" s="19" t="s">
        <v>1483</v>
      </c>
      <c r="F27" s="19" t="s">
        <v>1484</v>
      </c>
      <c r="G27" s="19" t="s">
        <v>1485</v>
      </c>
      <c r="H27" s="19" t="s">
        <v>1486</v>
      </c>
      <c r="I27" s="19" t="s">
        <v>1487</v>
      </c>
      <c r="J27" s="49">
        <f t="shared" si="1"/>
        <v>99</v>
      </c>
      <c r="N27" s="45"/>
      <c r="O27" s="45"/>
      <c r="P27" s="45"/>
      <c r="Q27" s="45"/>
      <c r="R27" s="45"/>
    </row>
    <row r="28" spans="2:18" x14ac:dyDescent="0.2">
      <c r="B28" s="19">
        <v>8</v>
      </c>
      <c r="C28" s="19" t="s">
        <v>1495</v>
      </c>
      <c r="D28" s="19" t="s">
        <v>1482</v>
      </c>
      <c r="E28" s="19" t="s">
        <v>1483</v>
      </c>
      <c r="F28" s="19" t="s">
        <v>1484</v>
      </c>
      <c r="G28" s="19" t="s">
        <v>1485</v>
      </c>
      <c r="H28" s="19" t="s">
        <v>1486</v>
      </c>
      <c r="I28" s="19" t="s">
        <v>1487</v>
      </c>
      <c r="J28" s="49">
        <f t="shared" si="1"/>
        <v>99</v>
      </c>
      <c r="N28" s="45"/>
      <c r="O28" s="45"/>
      <c r="P28" s="45"/>
      <c r="Q28" s="45"/>
      <c r="R28" s="45"/>
    </row>
    <row r="29" spans="2:18" x14ac:dyDescent="0.2">
      <c r="B29" s="19">
        <v>9</v>
      </c>
      <c r="C29" s="19" t="s">
        <v>1496</v>
      </c>
      <c r="D29" s="19" t="s">
        <v>1482</v>
      </c>
      <c r="E29" s="19" t="s">
        <v>1483</v>
      </c>
      <c r="F29" s="19" t="s">
        <v>1484</v>
      </c>
      <c r="G29" s="19" t="s">
        <v>1485</v>
      </c>
      <c r="H29" s="19" t="s">
        <v>1486</v>
      </c>
      <c r="I29" s="19" t="s">
        <v>1487</v>
      </c>
      <c r="J29" s="49">
        <f t="shared" si="1"/>
        <v>99</v>
      </c>
      <c r="N29" s="45"/>
      <c r="O29" s="45"/>
      <c r="P29" s="45"/>
      <c r="Q29" s="45"/>
      <c r="R29" s="45"/>
    </row>
    <row r="30" spans="2:18" x14ac:dyDescent="0.2">
      <c r="B30" s="19">
        <v>10</v>
      </c>
      <c r="C30" s="19" t="s">
        <v>1497</v>
      </c>
      <c r="D30" s="19" t="s">
        <v>1482</v>
      </c>
      <c r="E30" s="19" t="s">
        <v>1483</v>
      </c>
      <c r="F30" s="19" t="s">
        <v>1484</v>
      </c>
      <c r="G30" s="19" t="s">
        <v>1485</v>
      </c>
      <c r="H30" s="19" t="s">
        <v>1486</v>
      </c>
      <c r="I30" s="19" t="s">
        <v>1487</v>
      </c>
      <c r="J30" s="49">
        <f t="shared" si="1"/>
        <v>99</v>
      </c>
      <c r="N30" s="45"/>
      <c r="O30" s="45"/>
      <c r="P30" s="45"/>
      <c r="Q30" s="45"/>
      <c r="R30" s="45"/>
    </row>
    <row r="31" spans="2:18" x14ac:dyDescent="0.2">
      <c r="B31" s="19">
        <v>11</v>
      </c>
      <c r="C31" s="19" t="s">
        <v>1498</v>
      </c>
      <c r="D31" s="19" t="s">
        <v>1482</v>
      </c>
      <c r="E31" s="19" t="s">
        <v>1483</v>
      </c>
      <c r="F31" s="19" t="s">
        <v>1484</v>
      </c>
      <c r="G31" s="19" t="s">
        <v>1485</v>
      </c>
      <c r="H31" s="19" t="s">
        <v>1486</v>
      </c>
      <c r="I31" s="19" t="s">
        <v>1487</v>
      </c>
      <c r="J31" s="49">
        <f t="shared" si="1"/>
        <v>99</v>
      </c>
      <c r="N31" s="45"/>
      <c r="O31" s="45"/>
      <c r="P31" s="45"/>
      <c r="Q31" s="45"/>
      <c r="R31" s="45"/>
    </row>
    <row r="32" spans="2:18" x14ac:dyDescent="0.2">
      <c r="B32" s="19">
        <v>12</v>
      </c>
      <c r="C32" s="19" t="s">
        <v>1499</v>
      </c>
      <c r="D32" s="19" t="s">
        <v>1482</v>
      </c>
      <c r="E32" s="19" t="s">
        <v>1483</v>
      </c>
      <c r="F32" s="19" t="s">
        <v>1484</v>
      </c>
      <c r="G32" s="19" t="s">
        <v>1485</v>
      </c>
      <c r="H32" s="19" t="s">
        <v>1486</v>
      </c>
      <c r="I32" s="19" t="s">
        <v>1487</v>
      </c>
      <c r="J32" s="49">
        <f t="shared" si="1"/>
        <v>99</v>
      </c>
      <c r="N32" s="45"/>
      <c r="O32" s="45"/>
      <c r="P32" s="45"/>
      <c r="Q32" s="45"/>
      <c r="R32" s="45"/>
    </row>
    <row r="33" spans="2:18" x14ac:dyDescent="0.2">
      <c r="B33" s="19">
        <v>13</v>
      </c>
      <c r="C33" s="19" t="s">
        <v>1500</v>
      </c>
      <c r="D33" s="19" t="s">
        <v>1482</v>
      </c>
      <c r="E33" s="19" t="s">
        <v>1483</v>
      </c>
      <c r="F33" s="19" t="s">
        <v>1484</v>
      </c>
      <c r="G33" s="19" t="s">
        <v>1485</v>
      </c>
      <c r="H33" s="19" t="s">
        <v>1486</v>
      </c>
      <c r="I33" s="19" t="s">
        <v>1487</v>
      </c>
      <c r="J33" s="49">
        <f t="shared" si="1"/>
        <v>99</v>
      </c>
      <c r="N33" s="45"/>
      <c r="O33" s="45"/>
      <c r="P33" s="45"/>
      <c r="Q33" s="45"/>
      <c r="R33" s="45"/>
    </row>
    <row r="34" spans="2:18" x14ac:dyDescent="0.2">
      <c r="B34" s="19">
        <v>14</v>
      </c>
      <c r="C34" s="19" t="s">
        <v>1501</v>
      </c>
      <c r="D34" s="19" t="s">
        <v>1482</v>
      </c>
      <c r="E34" s="19" t="s">
        <v>1483</v>
      </c>
      <c r="F34" s="19" t="s">
        <v>1484</v>
      </c>
      <c r="G34" s="19" t="s">
        <v>1485</v>
      </c>
      <c r="H34" s="19" t="s">
        <v>1486</v>
      </c>
      <c r="I34" s="19" t="s">
        <v>1487</v>
      </c>
      <c r="J34" s="49">
        <f t="shared" si="1"/>
        <v>99</v>
      </c>
      <c r="N34" s="45"/>
      <c r="O34" s="45"/>
      <c r="P34" s="45"/>
      <c r="Q34" s="45"/>
      <c r="R34" s="45"/>
    </row>
    <row r="35" spans="2:18" x14ac:dyDescent="0.2">
      <c r="B35" s="19">
        <v>15</v>
      </c>
      <c r="C35" s="19" t="s">
        <v>1502</v>
      </c>
      <c r="D35" s="19" t="s">
        <v>1482</v>
      </c>
      <c r="E35" s="19" t="s">
        <v>1483</v>
      </c>
      <c r="F35" s="19" t="s">
        <v>1484</v>
      </c>
      <c r="G35" s="19" t="s">
        <v>1485</v>
      </c>
      <c r="H35" s="19" t="s">
        <v>1486</v>
      </c>
      <c r="I35" s="19" t="s">
        <v>1487</v>
      </c>
      <c r="J35" s="49">
        <f t="shared" si="1"/>
        <v>99</v>
      </c>
      <c r="N35" s="45"/>
      <c r="O35" s="45"/>
      <c r="P35" s="45"/>
      <c r="Q35" s="45"/>
      <c r="R35" s="45"/>
    </row>
    <row r="36" spans="2:18" x14ac:dyDescent="0.2">
      <c r="B36" s="19">
        <v>16</v>
      </c>
      <c r="C36" s="19" t="s">
        <v>1503</v>
      </c>
      <c r="D36" s="19" t="s">
        <v>1482</v>
      </c>
      <c r="E36" s="19" t="s">
        <v>1483</v>
      </c>
      <c r="F36" s="19" t="s">
        <v>1484</v>
      </c>
      <c r="G36" s="19" t="s">
        <v>1485</v>
      </c>
      <c r="H36" s="19" t="s">
        <v>1486</v>
      </c>
      <c r="I36" s="19" t="s">
        <v>1487</v>
      </c>
      <c r="J36" s="49">
        <f t="shared" si="1"/>
        <v>99</v>
      </c>
      <c r="N36" s="45"/>
      <c r="O36" s="45"/>
      <c r="P36" s="45"/>
      <c r="Q36" s="45"/>
      <c r="R36" s="45"/>
    </row>
    <row r="37" spans="2:18" x14ac:dyDescent="0.2">
      <c r="B37" s="19">
        <v>17</v>
      </c>
      <c r="C37" s="19" t="s">
        <v>1504</v>
      </c>
      <c r="D37" s="19" t="s">
        <v>1482</v>
      </c>
      <c r="E37" s="19" t="s">
        <v>1483</v>
      </c>
      <c r="F37" s="19" t="s">
        <v>1484</v>
      </c>
      <c r="G37" s="19" t="s">
        <v>1485</v>
      </c>
      <c r="H37" s="19" t="s">
        <v>1486</v>
      </c>
      <c r="I37" s="19" t="s">
        <v>1487</v>
      </c>
      <c r="J37" s="49">
        <f t="shared" si="1"/>
        <v>99</v>
      </c>
      <c r="N37" s="45"/>
      <c r="O37" s="45"/>
      <c r="P37" s="45"/>
      <c r="Q37" s="45"/>
      <c r="R37" s="45"/>
    </row>
    <row r="38" spans="2:18" x14ac:dyDescent="0.2">
      <c r="B38" s="19">
        <v>18</v>
      </c>
      <c r="C38" s="19"/>
      <c r="D38" s="19"/>
      <c r="E38" s="19"/>
      <c r="F38" s="19"/>
      <c r="G38" s="19"/>
      <c r="H38" s="19"/>
      <c r="I38" s="19"/>
      <c r="J38" s="49">
        <f t="shared" si="1"/>
        <v>99</v>
      </c>
      <c r="N38" s="45"/>
      <c r="O38" s="45"/>
      <c r="P38" s="45"/>
      <c r="Q38" s="45"/>
      <c r="R38" s="45"/>
    </row>
    <row r="39" spans="2:18" x14ac:dyDescent="0.2">
      <c r="B39" s="19">
        <v>19</v>
      </c>
      <c r="C39" s="19"/>
      <c r="D39" s="19"/>
      <c r="E39" s="19"/>
      <c r="F39" s="19"/>
      <c r="G39" s="19"/>
      <c r="H39" s="19"/>
      <c r="I39" s="19"/>
      <c r="J39" s="49">
        <f t="shared" si="1"/>
        <v>99</v>
      </c>
      <c r="N39" s="45"/>
      <c r="O39" s="45"/>
      <c r="P39" s="45"/>
      <c r="Q39" s="45"/>
      <c r="R39" s="45"/>
    </row>
    <row r="40" spans="2:18" x14ac:dyDescent="0.2">
      <c r="B40" s="19">
        <v>20</v>
      </c>
      <c r="C40" s="19"/>
      <c r="D40" s="19"/>
      <c r="E40" s="19"/>
      <c r="F40" s="19"/>
      <c r="G40" s="19"/>
      <c r="H40" s="19"/>
      <c r="I40" s="19"/>
      <c r="J40" s="49">
        <f t="shared" si="1"/>
        <v>99</v>
      </c>
      <c r="N40" s="45"/>
      <c r="O40" s="45"/>
      <c r="P40" s="45"/>
      <c r="Q40" s="45"/>
      <c r="R40" s="45"/>
    </row>
    <row r="41" spans="2:18" x14ac:dyDescent="0.2">
      <c r="B41" s="19">
        <v>21</v>
      </c>
      <c r="C41" s="19"/>
      <c r="D41" s="19"/>
      <c r="E41" s="19"/>
      <c r="F41" s="19"/>
      <c r="G41" s="19"/>
      <c r="H41" s="19"/>
      <c r="I41" s="19"/>
      <c r="J41" s="49">
        <f t="shared" si="1"/>
        <v>99</v>
      </c>
      <c r="N41" s="45"/>
      <c r="O41" s="45"/>
      <c r="P41" s="45"/>
      <c r="Q41" s="45"/>
      <c r="R41" s="45"/>
    </row>
    <row r="42" spans="2:18" x14ac:dyDescent="0.2">
      <c r="B42" s="19">
        <v>22</v>
      </c>
      <c r="C42" s="19"/>
      <c r="D42" s="19"/>
      <c r="E42" s="19"/>
      <c r="F42" s="19"/>
      <c r="G42" s="19"/>
      <c r="H42" s="19"/>
      <c r="I42" s="19"/>
      <c r="J42" s="49">
        <f t="shared" si="1"/>
        <v>99</v>
      </c>
      <c r="N42" s="45"/>
      <c r="O42" s="45"/>
      <c r="P42" s="45"/>
      <c r="Q42" s="45"/>
      <c r="R42" s="45"/>
    </row>
    <row r="43" spans="2:18" x14ac:dyDescent="0.2">
      <c r="B43" s="19">
        <v>23</v>
      </c>
      <c r="C43" s="19"/>
      <c r="D43" s="19"/>
      <c r="E43" s="19"/>
      <c r="F43" s="19"/>
      <c r="G43" s="19"/>
      <c r="H43" s="19"/>
      <c r="I43" s="19"/>
      <c r="J43" s="49">
        <f t="shared" si="1"/>
        <v>99</v>
      </c>
      <c r="N43" s="45"/>
      <c r="O43" s="45"/>
      <c r="P43" s="45"/>
      <c r="Q43" s="45"/>
      <c r="R43" s="45"/>
    </row>
    <row r="44" spans="2:18" x14ac:dyDescent="0.2">
      <c r="B44" s="19">
        <v>24</v>
      </c>
      <c r="C44" s="19"/>
      <c r="D44" s="19"/>
      <c r="E44" s="19"/>
      <c r="F44" s="19"/>
      <c r="G44" s="19"/>
      <c r="H44" s="19"/>
      <c r="I44" s="19"/>
      <c r="J44" s="49">
        <f t="shared" si="1"/>
        <v>99</v>
      </c>
      <c r="N44" s="45"/>
      <c r="O44" s="45"/>
      <c r="P44" s="45"/>
      <c r="Q44" s="45"/>
      <c r="R44" s="45"/>
    </row>
    <row r="45" spans="2:18" x14ac:dyDescent="0.2">
      <c r="B45" s="19">
        <v>25</v>
      </c>
      <c r="C45" s="19"/>
      <c r="D45" s="19"/>
      <c r="E45" s="19"/>
      <c r="F45" s="19"/>
      <c r="G45" s="19"/>
      <c r="H45" s="19"/>
      <c r="I45" s="19"/>
      <c r="J45" s="49">
        <f t="shared" si="1"/>
        <v>99</v>
      </c>
      <c r="N45" s="45"/>
      <c r="O45" s="45"/>
      <c r="P45" s="45"/>
      <c r="Q45" s="45"/>
      <c r="R45" s="45"/>
    </row>
    <row r="46" spans="2:18" x14ac:dyDescent="0.2">
      <c r="B46" s="19">
        <v>26</v>
      </c>
      <c r="C46" s="19"/>
      <c r="D46" s="19"/>
      <c r="E46" s="19"/>
      <c r="F46" s="19"/>
      <c r="G46" s="19"/>
      <c r="H46" s="19"/>
      <c r="I46" s="19"/>
      <c r="J46" s="49">
        <f t="shared" si="1"/>
        <v>99</v>
      </c>
      <c r="N46" s="45"/>
      <c r="O46" s="45"/>
      <c r="P46" s="45"/>
      <c r="Q46" s="45"/>
      <c r="R46" s="45"/>
    </row>
    <row r="47" spans="2:18" x14ac:dyDescent="0.2">
      <c r="B47" s="19">
        <v>27</v>
      </c>
      <c r="C47" s="19"/>
      <c r="D47" s="19"/>
      <c r="E47" s="19"/>
      <c r="F47" s="19"/>
      <c r="G47" s="19"/>
      <c r="H47" s="19"/>
      <c r="I47" s="19"/>
      <c r="J47" s="49">
        <f t="shared" si="1"/>
        <v>99</v>
      </c>
      <c r="N47" s="45"/>
      <c r="O47" s="45"/>
      <c r="P47" s="45"/>
      <c r="Q47" s="45"/>
      <c r="R47" s="45"/>
    </row>
    <row r="48" spans="2:18" x14ac:dyDescent="0.2">
      <c r="B48" s="19">
        <v>28</v>
      </c>
      <c r="C48" s="19"/>
      <c r="D48" s="19"/>
      <c r="E48" s="19"/>
      <c r="F48" s="19"/>
      <c r="G48" s="19"/>
      <c r="H48" s="19"/>
      <c r="I48" s="19"/>
      <c r="J48" s="49">
        <f t="shared" si="1"/>
        <v>99</v>
      </c>
      <c r="N48" s="45"/>
      <c r="O48" s="45"/>
      <c r="P48" s="45"/>
      <c r="Q48" s="45"/>
      <c r="R48" s="45"/>
    </row>
    <row r="49" spans="2:18" x14ac:dyDescent="0.2">
      <c r="B49" s="19">
        <v>29</v>
      </c>
      <c r="C49" s="19"/>
      <c r="D49" s="19"/>
      <c r="E49" s="19"/>
      <c r="F49" s="19"/>
      <c r="G49" s="19"/>
      <c r="H49" s="19"/>
      <c r="I49" s="19"/>
      <c r="J49" s="49">
        <f t="shared" si="1"/>
        <v>99</v>
      </c>
      <c r="N49" s="45"/>
      <c r="O49" s="45"/>
      <c r="P49" s="45"/>
      <c r="Q49" s="45"/>
      <c r="R49" s="45"/>
    </row>
    <row r="50" spans="2:18" x14ac:dyDescent="0.2">
      <c r="B50" s="19">
        <v>30</v>
      </c>
      <c r="C50" s="19"/>
      <c r="D50" s="19"/>
      <c r="E50" s="19"/>
      <c r="F50" s="19"/>
      <c r="G50" s="19"/>
      <c r="H50" s="19"/>
      <c r="I50" s="19"/>
      <c r="J50" s="49">
        <f t="shared" si="1"/>
        <v>99</v>
      </c>
      <c r="N50" s="45"/>
      <c r="O50" s="45"/>
      <c r="P50" s="45"/>
      <c r="Q50" s="45"/>
      <c r="R50" s="45"/>
    </row>
  </sheetData>
  <sheetProtection sheet="1" objects="1" scenarios="1" selectLockedCells="1"/>
  <sortState xmlns:xlrd2="http://schemas.microsoft.com/office/spreadsheetml/2017/richdata2" ref="L17:L21">
    <sortCondition ref="L17"/>
  </sortState>
  <mergeCells count="11">
    <mergeCell ref="D11:E11"/>
    <mergeCell ref="B9:B10"/>
    <mergeCell ref="H2:H3"/>
    <mergeCell ref="J2:J3"/>
    <mergeCell ref="E2:F2"/>
    <mergeCell ref="B2:B3"/>
    <mergeCell ref="D2:D3"/>
    <mergeCell ref="G2:G3"/>
    <mergeCell ref="I2:I3"/>
    <mergeCell ref="C2:C3"/>
    <mergeCell ref="E9:F9"/>
  </mergeCells>
  <phoneticPr fontId="1"/>
  <pageMargins left="0.7" right="0.7" top="0.75" bottom="0.75" header="0.3" footer="0.3"/>
  <pageSetup paperSize="9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43"/>
  <sheetViews>
    <sheetView workbookViewId="0">
      <selection activeCell="A9" sqref="A9"/>
    </sheetView>
  </sheetViews>
  <sheetFormatPr defaultRowHeight="13.2" x14ac:dyDescent="0.2"/>
  <cols>
    <col min="1" max="1" width="11.77734375" style="26" customWidth="1"/>
    <col min="2" max="2" width="14.88671875" style="26" customWidth="1"/>
    <col min="3" max="3" width="49.6640625" customWidth="1"/>
    <col min="4" max="4" width="16.77734375" customWidth="1"/>
  </cols>
  <sheetData>
    <row r="1" spans="1:4" ht="18.75" customHeight="1" x14ac:dyDescent="0.2">
      <c r="A1" s="26" t="s">
        <v>166</v>
      </c>
    </row>
    <row r="2" spans="1:4" ht="18.75" customHeight="1" x14ac:dyDescent="0.2">
      <c r="A2" s="44" t="s">
        <v>117</v>
      </c>
      <c r="B2" s="44" t="s">
        <v>125</v>
      </c>
      <c r="C2" s="44" t="s">
        <v>116</v>
      </c>
      <c r="D2" s="44" t="s">
        <v>119</v>
      </c>
    </row>
    <row r="3" spans="1:4" ht="45.75" customHeight="1" x14ac:dyDescent="0.2">
      <c r="A3" s="55" t="s">
        <v>118</v>
      </c>
      <c r="B3" s="53">
        <v>41800</v>
      </c>
      <c r="C3" s="51" t="s">
        <v>120</v>
      </c>
      <c r="D3" s="51" t="s">
        <v>122</v>
      </c>
    </row>
    <row r="4" spans="1:4" ht="47.25" customHeight="1" x14ac:dyDescent="0.2">
      <c r="A4" s="55" t="s">
        <v>121</v>
      </c>
      <c r="B4" s="54">
        <v>42375</v>
      </c>
      <c r="C4" s="51" t="s">
        <v>123</v>
      </c>
      <c r="D4" s="51" t="s">
        <v>124</v>
      </c>
    </row>
    <row r="5" spans="1:4" ht="177" customHeight="1" x14ac:dyDescent="0.2">
      <c r="A5" s="55" t="s">
        <v>121</v>
      </c>
      <c r="B5" s="67" t="s">
        <v>144</v>
      </c>
      <c r="C5" s="51" t="s">
        <v>142</v>
      </c>
      <c r="D5" s="51" t="s">
        <v>143</v>
      </c>
    </row>
    <row r="6" spans="1:4" ht="72" customHeight="1" x14ac:dyDescent="0.2">
      <c r="A6" s="55" t="s">
        <v>145</v>
      </c>
      <c r="B6" s="71">
        <v>42636</v>
      </c>
      <c r="C6" s="51" t="s">
        <v>159</v>
      </c>
      <c r="D6" s="51" t="s">
        <v>146</v>
      </c>
    </row>
    <row r="7" spans="1:4" ht="36" customHeight="1" x14ac:dyDescent="0.2">
      <c r="A7" s="55" t="s">
        <v>158</v>
      </c>
      <c r="B7" s="71">
        <v>42740</v>
      </c>
      <c r="C7" s="51" t="s">
        <v>160</v>
      </c>
      <c r="D7" s="51" t="s">
        <v>161</v>
      </c>
    </row>
    <row r="8" spans="1:4" ht="18.75" customHeight="1" x14ac:dyDescent="0.2">
      <c r="A8" s="55" t="s">
        <v>185</v>
      </c>
      <c r="B8" s="53">
        <v>43962</v>
      </c>
      <c r="C8" s="51" t="s">
        <v>186</v>
      </c>
      <c r="D8" s="51" t="s">
        <v>122</v>
      </c>
    </row>
    <row r="9" spans="1:4" ht="18.75" customHeight="1" x14ac:dyDescent="0.2">
      <c r="A9" s="55"/>
      <c r="B9" s="55"/>
      <c r="C9" s="51"/>
      <c r="D9" s="51"/>
    </row>
    <row r="10" spans="1:4" ht="18.75" customHeight="1" x14ac:dyDescent="0.2">
      <c r="A10" s="55"/>
      <c r="B10" s="55"/>
      <c r="C10" s="51"/>
      <c r="D10" s="51"/>
    </row>
    <row r="11" spans="1:4" ht="18.75" customHeight="1" x14ac:dyDescent="0.2">
      <c r="A11" s="55"/>
      <c r="B11" s="55"/>
      <c r="C11" s="51"/>
      <c r="D11" s="51"/>
    </row>
    <row r="12" spans="1:4" ht="18.75" customHeight="1" x14ac:dyDescent="0.2">
      <c r="A12" s="55"/>
      <c r="B12" s="55"/>
      <c r="C12" s="51"/>
      <c r="D12" s="51"/>
    </row>
    <row r="13" spans="1:4" ht="18.75" customHeight="1" x14ac:dyDescent="0.2">
      <c r="A13" s="55"/>
      <c r="B13" s="55"/>
      <c r="C13" s="51"/>
      <c r="D13" s="51"/>
    </row>
    <row r="14" spans="1:4" ht="18.75" customHeight="1" x14ac:dyDescent="0.2">
      <c r="A14" s="55"/>
      <c r="B14" s="55"/>
      <c r="C14" s="51"/>
      <c r="D14" s="51"/>
    </row>
    <row r="15" spans="1:4" ht="18.75" customHeight="1" x14ac:dyDescent="0.2">
      <c r="A15" s="55"/>
      <c r="B15" s="55"/>
      <c r="C15" s="51"/>
      <c r="D15" s="51"/>
    </row>
    <row r="16" spans="1:4" ht="18.75" customHeight="1" x14ac:dyDescent="0.2">
      <c r="A16" s="55"/>
      <c r="B16" s="55"/>
      <c r="C16" s="51"/>
      <c r="D16" s="51"/>
    </row>
    <row r="17" spans="1:4" ht="18.75" customHeight="1" x14ac:dyDescent="0.2">
      <c r="A17" s="55"/>
      <c r="B17" s="55"/>
      <c r="C17" s="51"/>
      <c r="D17" s="51"/>
    </row>
    <row r="18" spans="1:4" ht="18.75" customHeight="1" x14ac:dyDescent="0.2">
      <c r="A18" s="55"/>
      <c r="B18" s="55"/>
      <c r="C18" s="51"/>
      <c r="D18" s="51"/>
    </row>
    <row r="19" spans="1:4" ht="18.75" customHeight="1" x14ac:dyDescent="0.2">
      <c r="A19" s="55"/>
      <c r="B19" s="55"/>
      <c r="C19" s="51"/>
      <c r="D19" s="51"/>
    </row>
    <row r="20" spans="1:4" ht="18.75" customHeight="1" x14ac:dyDescent="0.2">
      <c r="A20" s="55"/>
      <c r="B20" s="55"/>
      <c r="C20" s="51"/>
      <c r="D20" s="51"/>
    </row>
    <row r="21" spans="1:4" ht="18.75" customHeight="1" x14ac:dyDescent="0.2"/>
    <row r="22" spans="1:4" ht="18.75" customHeight="1" x14ac:dyDescent="0.2"/>
    <row r="23" spans="1:4" ht="18.75" customHeight="1" x14ac:dyDescent="0.2"/>
    <row r="24" spans="1:4" ht="18.75" customHeight="1" x14ac:dyDescent="0.2"/>
    <row r="25" spans="1:4" ht="18.75" customHeight="1" x14ac:dyDescent="0.2"/>
    <row r="26" spans="1:4" ht="18.75" customHeight="1" x14ac:dyDescent="0.2"/>
    <row r="27" spans="1:4" ht="18.75" customHeight="1" x14ac:dyDescent="0.2"/>
    <row r="28" spans="1:4" ht="18.75" customHeight="1" x14ac:dyDescent="0.2"/>
    <row r="29" spans="1:4" ht="18.75" customHeight="1" x14ac:dyDescent="0.2"/>
    <row r="30" spans="1:4" ht="18.75" customHeight="1" x14ac:dyDescent="0.2"/>
    <row r="31" spans="1:4" ht="18.75" customHeight="1" x14ac:dyDescent="0.2"/>
    <row r="32" spans="1:4" ht="18.75" customHeight="1" x14ac:dyDescent="0.2"/>
    <row r="33" ht="18.75" customHeight="1" x14ac:dyDescent="0.2"/>
    <row r="34" ht="18.75" customHeight="1" x14ac:dyDescent="0.2"/>
    <row r="35" ht="18.75" customHeight="1" x14ac:dyDescent="0.2"/>
    <row r="36" ht="18.75" customHeight="1" x14ac:dyDescent="0.2"/>
    <row r="37" ht="18.75" customHeight="1" x14ac:dyDescent="0.2"/>
    <row r="38" ht="18.75" customHeight="1" x14ac:dyDescent="0.2"/>
    <row r="39" ht="18.75" customHeight="1" x14ac:dyDescent="0.2"/>
    <row r="40" ht="18.75" customHeight="1" x14ac:dyDescent="0.2"/>
    <row r="41" ht="18.75" customHeight="1" x14ac:dyDescent="0.2"/>
    <row r="42" ht="18.75" customHeight="1" x14ac:dyDescent="0.2"/>
    <row r="43" ht="18.75" customHeight="1" x14ac:dyDescent="0.2"/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4B5E9-02DD-4AEF-9C42-895261B9AD10}">
  <sheetPr codeName="Sheet6"/>
  <dimension ref="A1:G1281"/>
  <sheetViews>
    <sheetView workbookViewId="0">
      <selection activeCell="J14" sqref="J14"/>
    </sheetView>
  </sheetViews>
  <sheetFormatPr defaultRowHeight="13.2" x14ac:dyDescent="0.2"/>
  <cols>
    <col min="1" max="1" width="13.33203125" customWidth="1"/>
    <col min="7" max="7" width="24.77734375" customWidth="1"/>
  </cols>
  <sheetData>
    <row r="1" spans="1:7" x14ac:dyDescent="0.2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</row>
    <row r="2" spans="1:7" x14ac:dyDescent="0.2">
      <c r="A2" t="s">
        <v>1476</v>
      </c>
      <c r="B2">
        <v>37.200000000000003</v>
      </c>
      <c r="C2">
        <v>39.6</v>
      </c>
      <c r="D2">
        <v>37</v>
      </c>
      <c r="E2">
        <v>22.1</v>
      </c>
      <c r="F2" t="s">
        <v>205</v>
      </c>
      <c r="G2" s="92">
        <v>46035.63894675926</v>
      </c>
    </row>
    <row r="3" spans="1:7" x14ac:dyDescent="0.2">
      <c r="A3" t="s">
        <v>1474</v>
      </c>
      <c r="B3">
        <v>48.2</v>
      </c>
      <c r="C3">
        <v>30.2</v>
      </c>
      <c r="D3">
        <v>51.6</v>
      </c>
      <c r="E3">
        <v>4.0999999999999996</v>
      </c>
      <c r="F3" t="s">
        <v>205</v>
      </c>
      <c r="G3" s="92">
        <v>46035.557870370372</v>
      </c>
    </row>
    <row r="4" spans="1:7" x14ac:dyDescent="0.2">
      <c r="A4" t="s">
        <v>1475</v>
      </c>
      <c r="B4">
        <v>47.7</v>
      </c>
      <c r="C4">
        <v>38.299999999999997</v>
      </c>
      <c r="D4">
        <v>51.3</v>
      </c>
      <c r="E4">
        <v>4.9000000000000004</v>
      </c>
      <c r="F4" t="s">
        <v>205</v>
      </c>
      <c r="G4" s="92">
        <v>46035.557314814818</v>
      </c>
    </row>
    <row r="5" spans="1:7" x14ac:dyDescent="0.2">
      <c r="A5" t="s">
        <v>1473</v>
      </c>
      <c r="B5">
        <v>34.4</v>
      </c>
      <c r="C5">
        <v>39.6</v>
      </c>
      <c r="D5">
        <v>40.1</v>
      </c>
      <c r="E5">
        <v>6.3</v>
      </c>
      <c r="F5" t="s">
        <v>205</v>
      </c>
      <c r="G5" s="92">
        <v>46035.46570601852</v>
      </c>
    </row>
    <row r="6" spans="1:7" x14ac:dyDescent="0.2">
      <c r="A6" t="s">
        <v>1472</v>
      </c>
      <c r="B6">
        <v>32.200000000000003</v>
      </c>
      <c r="C6">
        <v>26.3</v>
      </c>
      <c r="D6">
        <v>39.299999999999997</v>
      </c>
      <c r="E6">
        <v>11.6</v>
      </c>
      <c r="F6" t="s">
        <v>205</v>
      </c>
      <c r="G6" s="92">
        <v>46035.457743055558</v>
      </c>
    </row>
    <row r="7" spans="1:7" x14ac:dyDescent="0.2">
      <c r="A7" t="s">
        <v>1478</v>
      </c>
      <c r="B7">
        <v>15.9</v>
      </c>
      <c r="C7">
        <v>26.4</v>
      </c>
      <c r="D7">
        <v>48.4</v>
      </c>
      <c r="E7">
        <v>10.3</v>
      </c>
      <c r="F7" t="s">
        <v>231</v>
      </c>
      <c r="G7" s="92">
        <v>46032.596122685187</v>
      </c>
    </row>
    <row r="8" spans="1:7" x14ac:dyDescent="0.2">
      <c r="A8" t="s">
        <v>1471</v>
      </c>
      <c r="B8">
        <v>39.9</v>
      </c>
      <c r="C8">
        <v>39</v>
      </c>
      <c r="D8">
        <v>58.9</v>
      </c>
      <c r="E8">
        <v>17.7</v>
      </c>
      <c r="F8" t="s">
        <v>231</v>
      </c>
      <c r="G8" s="92">
        <v>46032.551782407405</v>
      </c>
    </row>
    <row r="9" spans="1:7" x14ac:dyDescent="0.2">
      <c r="A9" t="s">
        <v>1470</v>
      </c>
      <c r="B9">
        <v>28.1</v>
      </c>
      <c r="C9">
        <v>38.299999999999997</v>
      </c>
      <c r="D9">
        <v>37.799999999999997</v>
      </c>
      <c r="E9">
        <v>15.2</v>
      </c>
      <c r="F9" t="s">
        <v>231</v>
      </c>
      <c r="G9" s="92">
        <v>46032.551145833335</v>
      </c>
    </row>
    <row r="10" spans="1:7" x14ac:dyDescent="0.2">
      <c r="A10" t="s">
        <v>1469</v>
      </c>
      <c r="B10">
        <v>22.7</v>
      </c>
      <c r="C10">
        <v>17.8</v>
      </c>
      <c r="D10">
        <v>31.6</v>
      </c>
      <c r="E10">
        <v>2</v>
      </c>
      <c r="F10" t="s">
        <v>231</v>
      </c>
      <c r="G10" s="92">
        <v>46032.549849537034</v>
      </c>
    </row>
    <row r="11" spans="1:7" x14ac:dyDescent="0.2">
      <c r="A11" t="s">
        <v>1468</v>
      </c>
      <c r="B11">
        <v>32.5</v>
      </c>
      <c r="C11">
        <v>29.7</v>
      </c>
      <c r="D11">
        <v>46.1</v>
      </c>
      <c r="E11">
        <v>11.1</v>
      </c>
      <c r="F11" t="s">
        <v>231</v>
      </c>
      <c r="G11" s="92">
        <v>46032.548078703701</v>
      </c>
    </row>
    <row r="12" spans="1:7" x14ac:dyDescent="0.2">
      <c r="A12" t="s">
        <v>1452</v>
      </c>
      <c r="B12">
        <v>35.4</v>
      </c>
      <c r="C12">
        <v>42.8</v>
      </c>
      <c r="D12">
        <v>47.7</v>
      </c>
      <c r="E12">
        <v>9.1</v>
      </c>
      <c r="F12" t="s">
        <v>231</v>
      </c>
      <c r="G12" s="92">
        <v>46032.412870370368</v>
      </c>
    </row>
    <row r="13" spans="1:7" x14ac:dyDescent="0.2">
      <c r="A13" t="s">
        <v>1477</v>
      </c>
      <c r="B13">
        <v>33.299999999999997</v>
      </c>
      <c r="C13">
        <v>63.7</v>
      </c>
      <c r="D13">
        <v>79.2</v>
      </c>
      <c r="E13">
        <v>14.3</v>
      </c>
      <c r="F13" t="s">
        <v>231</v>
      </c>
      <c r="G13" s="92">
        <v>46032.353761574072</v>
      </c>
    </row>
    <row r="14" spans="1:7" x14ac:dyDescent="0.2">
      <c r="A14" t="s">
        <v>1456</v>
      </c>
      <c r="B14">
        <v>25.7</v>
      </c>
      <c r="C14">
        <v>9.6</v>
      </c>
      <c r="D14">
        <v>37.200000000000003</v>
      </c>
      <c r="E14">
        <v>1.1000000000000001</v>
      </c>
      <c r="F14" t="s">
        <v>205</v>
      </c>
      <c r="G14" s="92">
        <v>46031.584513888891</v>
      </c>
    </row>
    <row r="15" spans="1:7" x14ac:dyDescent="0.2">
      <c r="A15" t="s">
        <v>1458</v>
      </c>
      <c r="B15">
        <v>19.2</v>
      </c>
      <c r="C15">
        <v>12.1</v>
      </c>
      <c r="D15">
        <v>27.2</v>
      </c>
      <c r="E15">
        <v>0.2</v>
      </c>
      <c r="F15" t="s">
        <v>205</v>
      </c>
      <c r="G15" s="92">
        <v>46031.585555555554</v>
      </c>
    </row>
    <row r="16" spans="1:7" x14ac:dyDescent="0.2">
      <c r="A16" t="s">
        <v>1457</v>
      </c>
      <c r="B16">
        <v>19</v>
      </c>
      <c r="C16">
        <v>17.100000000000001</v>
      </c>
      <c r="D16">
        <v>24.4</v>
      </c>
      <c r="E16">
        <v>1.1000000000000001</v>
      </c>
      <c r="F16" t="s">
        <v>205</v>
      </c>
      <c r="G16" s="92">
        <v>46031.585057870368</v>
      </c>
    </row>
    <row r="17" spans="1:7" x14ac:dyDescent="0.2">
      <c r="A17" t="s">
        <v>1455</v>
      </c>
      <c r="B17">
        <v>31.1</v>
      </c>
      <c r="C17">
        <v>32.799999999999997</v>
      </c>
      <c r="D17">
        <v>71.900000000000006</v>
      </c>
      <c r="E17">
        <v>1.8</v>
      </c>
      <c r="F17" t="s">
        <v>205</v>
      </c>
      <c r="G17" s="92">
        <v>46031.449270833335</v>
      </c>
    </row>
    <row r="18" spans="1:7" x14ac:dyDescent="0.2">
      <c r="A18" t="s">
        <v>1454</v>
      </c>
      <c r="B18">
        <v>30.9</v>
      </c>
      <c r="C18">
        <v>32.799999999999997</v>
      </c>
      <c r="D18">
        <v>72.400000000000006</v>
      </c>
      <c r="E18">
        <v>2.8</v>
      </c>
      <c r="F18" t="s">
        <v>205</v>
      </c>
      <c r="G18" s="92">
        <v>46031.448125000003</v>
      </c>
    </row>
    <row r="19" spans="1:7" x14ac:dyDescent="0.2">
      <c r="A19" t="s">
        <v>1453</v>
      </c>
      <c r="B19">
        <v>24.5</v>
      </c>
      <c r="C19">
        <v>34.299999999999997</v>
      </c>
      <c r="D19">
        <v>33.5</v>
      </c>
      <c r="E19">
        <v>13.6</v>
      </c>
      <c r="F19" t="s">
        <v>205</v>
      </c>
      <c r="G19" s="92">
        <v>46031.391851851855</v>
      </c>
    </row>
    <row r="20" spans="1:7" x14ac:dyDescent="0.2">
      <c r="A20" t="s">
        <v>1451</v>
      </c>
      <c r="B20">
        <v>20.8</v>
      </c>
      <c r="C20">
        <v>11.1</v>
      </c>
      <c r="D20">
        <v>37.9</v>
      </c>
      <c r="E20">
        <v>0.8</v>
      </c>
      <c r="F20" t="s">
        <v>205</v>
      </c>
      <c r="G20" s="92">
        <v>46030.674016203702</v>
      </c>
    </row>
    <row r="21" spans="1:7" x14ac:dyDescent="0.2">
      <c r="A21" t="s">
        <v>1467</v>
      </c>
      <c r="B21">
        <v>21.3</v>
      </c>
      <c r="C21">
        <v>19.8</v>
      </c>
      <c r="D21">
        <v>33</v>
      </c>
      <c r="E21">
        <v>1.1000000000000001</v>
      </c>
      <c r="F21" t="s">
        <v>205</v>
      </c>
      <c r="G21" s="92">
        <v>46030.619895833333</v>
      </c>
    </row>
    <row r="22" spans="1:7" x14ac:dyDescent="0.2">
      <c r="A22" t="s">
        <v>1466</v>
      </c>
      <c r="B22">
        <v>11.4</v>
      </c>
      <c r="C22">
        <v>12.3</v>
      </c>
      <c r="D22">
        <v>22.9</v>
      </c>
      <c r="E22">
        <v>0.4</v>
      </c>
      <c r="F22" t="s">
        <v>205</v>
      </c>
      <c r="G22" s="92">
        <v>46030.606041666666</v>
      </c>
    </row>
    <row r="23" spans="1:7" x14ac:dyDescent="0.2">
      <c r="A23" t="s">
        <v>1465</v>
      </c>
      <c r="B23">
        <v>31.8</v>
      </c>
      <c r="C23">
        <v>19.3</v>
      </c>
      <c r="D23">
        <v>46.5</v>
      </c>
      <c r="E23">
        <v>1.6</v>
      </c>
      <c r="F23" t="s">
        <v>205</v>
      </c>
      <c r="G23" s="92">
        <v>46029.709120370368</v>
      </c>
    </row>
    <row r="24" spans="1:7" x14ac:dyDescent="0.2">
      <c r="A24" t="s">
        <v>1461</v>
      </c>
      <c r="B24">
        <v>16.399999999999999</v>
      </c>
      <c r="C24">
        <v>16.100000000000001</v>
      </c>
      <c r="D24">
        <v>25.3</v>
      </c>
      <c r="E24">
        <v>0.7</v>
      </c>
      <c r="F24" t="s">
        <v>205</v>
      </c>
      <c r="G24" s="92">
        <v>46029.671620370369</v>
      </c>
    </row>
    <row r="25" spans="1:7" x14ac:dyDescent="0.2">
      <c r="A25" t="s">
        <v>1462</v>
      </c>
      <c r="B25">
        <v>18.7</v>
      </c>
      <c r="C25">
        <v>6.8</v>
      </c>
      <c r="D25">
        <v>25.5</v>
      </c>
      <c r="E25">
        <v>0.4</v>
      </c>
      <c r="F25" t="s">
        <v>205</v>
      </c>
      <c r="G25" s="92">
        <v>46029.672071759262</v>
      </c>
    </row>
    <row r="26" spans="1:7" x14ac:dyDescent="0.2">
      <c r="A26" t="s">
        <v>1463</v>
      </c>
      <c r="B26">
        <v>15.6</v>
      </c>
      <c r="C26">
        <v>12.6</v>
      </c>
      <c r="D26">
        <v>24.8</v>
      </c>
      <c r="E26">
        <v>0.4</v>
      </c>
      <c r="F26" t="s">
        <v>205</v>
      </c>
      <c r="G26" s="92">
        <v>46029.673252314817</v>
      </c>
    </row>
    <row r="27" spans="1:7" x14ac:dyDescent="0.2">
      <c r="A27" t="s">
        <v>1464</v>
      </c>
      <c r="B27">
        <v>36.5</v>
      </c>
      <c r="C27">
        <v>45.4</v>
      </c>
      <c r="D27">
        <v>36.4</v>
      </c>
      <c r="E27">
        <v>22</v>
      </c>
      <c r="F27" t="s">
        <v>205</v>
      </c>
      <c r="G27" s="92">
        <v>46029.687407407408</v>
      </c>
    </row>
    <row r="28" spans="1:7" x14ac:dyDescent="0.2">
      <c r="A28" t="s">
        <v>1459</v>
      </c>
      <c r="B28">
        <v>35.700000000000003</v>
      </c>
      <c r="C28">
        <v>51.4</v>
      </c>
      <c r="D28">
        <v>48.8</v>
      </c>
      <c r="E28">
        <v>3.6</v>
      </c>
      <c r="F28" t="s">
        <v>205</v>
      </c>
      <c r="G28" s="92">
        <v>46029.598854166667</v>
      </c>
    </row>
    <row r="29" spans="1:7" x14ac:dyDescent="0.2">
      <c r="A29" t="s">
        <v>1460</v>
      </c>
      <c r="B29">
        <v>59.3</v>
      </c>
      <c r="C29">
        <v>43.4</v>
      </c>
      <c r="D29">
        <v>58.5</v>
      </c>
      <c r="E29">
        <v>10.6</v>
      </c>
      <c r="F29" t="s">
        <v>205</v>
      </c>
      <c r="G29" s="92">
        <v>46029.67114583333</v>
      </c>
    </row>
    <row r="30" spans="1:7" x14ac:dyDescent="0.2">
      <c r="A30" t="s">
        <v>1450</v>
      </c>
      <c r="B30">
        <v>18.399999999999999</v>
      </c>
      <c r="C30">
        <v>11.4</v>
      </c>
      <c r="D30">
        <v>25.1</v>
      </c>
      <c r="E30">
        <v>0.8</v>
      </c>
      <c r="F30" t="s">
        <v>205</v>
      </c>
      <c r="G30" s="92">
        <v>46028.643738425926</v>
      </c>
    </row>
    <row r="31" spans="1:7" x14ac:dyDescent="0.2">
      <c r="A31" t="s">
        <v>1449</v>
      </c>
      <c r="B31">
        <v>26.6</v>
      </c>
      <c r="C31">
        <v>39.700000000000003</v>
      </c>
      <c r="D31">
        <v>41.6</v>
      </c>
      <c r="E31">
        <v>1.9</v>
      </c>
      <c r="F31" t="s">
        <v>205</v>
      </c>
      <c r="G31" s="92">
        <v>46028.596678240741</v>
      </c>
    </row>
    <row r="32" spans="1:7" x14ac:dyDescent="0.2">
      <c r="A32" t="s">
        <v>1448</v>
      </c>
      <c r="B32">
        <v>26.2</v>
      </c>
      <c r="C32">
        <v>39.6</v>
      </c>
      <c r="D32">
        <v>41.9</v>
      </c>
      <c r="E32">
        <v>2.6</v>
      </c>
      <c r="F32" t="s">
        <v>205</v>
      </c>
      <c r="G32" s="92">
        <v>46028.595439814817</v>
      </c>
    </row>
    <row r="33" spans="1:7" x14ac:dyDescent="0.2">
      <c r="A33" t="s">
        <v>1447</v>
      </c>
      <c r="B33">
        <v>40.799999999999997</v>
      </c>
      <c r="C33">
        <v>34.5</v>
      </c>
      <c r="D33">
        <v>39.799999999999997</v>
      </c>
      <c r="E33">
        <v>7</v>
      </c>
      <c r="F33" t="s">
        <v>205</v>
      </c>
      <c r="G33" s="92">
        <v>46028.594571759262</v>
      </c>
    </row>
    <row r="34" spans="1:7" x14ac:dyDescent="0.2">
      <c r="A34" t="s">
        <v>1446</v>
      </c>
      <c r="B34">
        <v>22.8</v>
      </c>
      <c r="C34">
        <v>27.3</v>
      </c>
      <c r="D34">
        <v>32.799999999999997</v>
      </c>
      <c r="E34">
        <v>9.1999999999999993</v>
      </c>
      <c r="F34" t="s">
        <v>205</v>
      </c>
      <c r="G34" s="92">
        <v>46028.593958333331</v>
      </c>
    </row>
    <row r="35" spans="1:7" x14ac:dyDescent="0.2">
      <c r="A35" t="s">
        <v>1445</v>
      </c>
      <c r="B35">
        <v>23.4</v>
      </c>
      <c r="C35">
        <v>19.100000000000001</v>
      </c>
      <c r="D35">
        <v>33.799999999999997</v>
      </c>
      <c r="E35">
        <v>4.5</v>
      </c>
      <c r="F35" t="s">
        <v>205</v>
      </c>
      <c r="G35" s="92">
        <v>46028.593472222223</v>
      </c>
    </row>
    <row r="36" spans="1:7" x14ac:dyDescent="0.2">
      <c r="A36" t="s">
        <v>1443</v>
      </c>
      <c r="B36">
        <v>33.5</v>
      </c>
      <c r="C36">
        <v>41.2</v>
      </c>
      <c r="D36">
        <v>45.3</v>
      </c>
      <c r="E36">
        <v>1.5</v>
      </c>
      <c r="F36" t="s">
        <v>205</v>
      </c>
      <c r="G36" s="92">
        <v>46027.547222222223</v>
      </c>
    </row>
    <row r="37" spans="1:7" x14ac:dyDescent="0.2">
      <c r="A37" t="s">
        <v>1444</v>
      </c>
      <c r="B37">
        <v>33.1</v>
      </c>
      <c r="C37">
        <v>30.2</v>
      </c>
      <c r="D37">
        <v>46.1</v>
      </c>
      <c r="E37">
        <v>5.3</v>
      </c>
      <c r="F37" t="s">
        <v>205</v>
      </c>
      <c r="G37" s="92">
        <v>46027.557453703703</v>
      </c>
    </row>
    <row r="38" spans="1:7" x14ac:dyDescent="0.2">
      <c r="A38" t="s">
        <v>1441</v>
      </c>
      <c r="B38">
        <v>29</v>
      </c>
      <c r="C38">
        <v>33</v>
      </c>
      <c r="D38">
        <v>36.9</v>
      </c>
      <c r="E38">
        <v>9.9</v>
      </c>
      <c r="F38" t="s">
        <v>205</v>
      </c>
      <c r="G38" s="92">
        <v>46027.483240740738</v>
      </c>
    </row>
    <row r="39" spans="1:7" x14ac:dyDescent="0.2">
      <c r="A39" t="s">
        <v>1442</v>
      </c>
      <c r="B39">
        <v>40.1</v>
      </c>
      <c r="C39">
        <v>33.5</v>
      </c>
      <c r="D39">
        <v>39.9</v>
      </c>
      <c r="E39">
        <v>6</v>
      </c>
      <c r="F39" t="s">
        <v>205</v>
      </c>
      <c r="G39" s="92">
        <v>46027.487858796296</v>
      </c>
    </row>
    <row r="40" spans="1:7" x14ac:dyDescent="0.2">
      <c r="A40" t="s">
        <v>1440</v>
      </c>
      <c r="B40">
        <v>16</v>
      </c>
      <c r="C40">
        <v>26.4</v>
      </c>
      <c r="D40">
        <v>48.4</v>
      </c>
      <c r="E40">
        <v>10.1</v>
      </c>
      <c r="F40" t="s">
        <v>205</v>
      </c>
      <c r="G40" s="92">
        <v>46027.44190972222</v>
      </c>
    </row>
    <row r="41" spans="1:7" x14ac:dyDescent="0.2">
      <c r="A41" t="s">
        <v>1005</v>
      </c>
      <c r="B41">
        <v>27.3</v>
      </c>
      <c r="C41">
        <v>24.5</v>
      </c>
      <c r="D41">
        <v>37.799999999999997</v>
      </c>
      <c r="E41">
        <v>2</v>
      </c>
      <c r="F41" t="s">
        <v>231</v>
      </c>
      <c r="G41" s="92">
        <v>46016.627106481479</v>
      </c>
    </row>
    <row r="42" spans="1:7" x14ac:dyDescent="0.2">
      <c r="A42" t="s">
        <v>1004</v>
      </c>
      <c r="B42">
        <v>22.2</v>
      </c>
      <c r="C42">
        <v>12.8</v>
      </c>
      <c r="D42">
        <v>23.9</v>
      </c>
      <c r="E42">
        <v>0.3</v>
      </c>
      <c r="F42" t="s">
        <v>231</v>
      </c>
      <c r="G42" s="92">
        <v>46016.435671296298</v>
      </c>
    </row>
    <row r="43" spans="1:7" x14ac:dyDescent="0.2">
      <c r="A43" t="s">
        <v>1254</v>
      </c>
      <c r="B43">
        <v>13.7</v>
      </c>
      <c r="C43">
        <v>13</v>
      </c>
      <c r="D43">
        <v>26.6</v>
      </c>
      <c r="E43">
        <v>1</v>
      </c>
      <c r="F43" t="s">
        <v>231</v>
      </c>
      <c r="G43" s="92">
        <v>46015.66920138889</v>
      </c>
    </row>
    <row r="44" spans="1:7" x14ac:dyDescent="0.2">
      <c r="A44" t="s">
        <v>1376</v>
      </c>
      <c r="B44">
        <v>31.1</v>
      </c>
      <c r="C44">
        <v>54.6</v>
      </c>
      <c r="D44">
        <v>30.7</v>
      </c>
      <c r="E44">
        <v>24.1</v>
      </c>
      <c r="F44" t="s">
        <v>231</v>
      </c>
      <c r="G44" s="92">
        <v>46014.674039351848</v>
      </c>
    </row>
    <row r="45" spans="1:7" x14ac:dyDescent="0.2">
      <c r="A45" t="s">
        <v>318</v>
      </c>
      <c r="B45">
        <v>25</v>
      </c>
      <c r="C45">
        <v>21.3</v>
      </c>
      <c r="D45">
        <v>30.3</v>
      </c>
      <c r="E45">
        <v>3</v>
      </c>
      <c r="F45" t="s">
        <v>231</v>
      </c>
      <c r="G45" s="92">
        <v>46014.629166666666</v>
      </c>
    </row>
    <row r="46" spans="1:7" x14ac:dyDescent="0.2">
      <c r="A46" t="s">
        <v>1375</v>
      </c>
      <c r="B46">
        <v>34.799999999999997</v>
      </c>
      <c r="C46">
        <v>16</v>
      </c>
      <c r="D46">
        <v>55.1</v>
      </c>
      <c r="E46">
        <v>13.4</v>
      </c>
      <c r="F46" t="s">
        <v>231</v>
      </c>
      <c r="G46" s="92">
        <v>46014.581296296295</v>
      </c>
    </row>
    <row r="47" spans="1:7" x14ac:dyDescent="0.2">
      <c r="A47" t="s">
        <v>1439</v>
      </c>
      <c r="B47">
        <v>46.2</v>
      </c>
      <c r="C47">
        <v>44.6</v>
      </c>
      <c r="D47">
        <v>50.8</v>
      </c>
      <c r="E47">
        <v>16.2</v>
      </c>
      <c r="F47" t="s">
        <v>231</v>
      </c>
      <c r="G47" s="92">
        <v>46014.488425925927</v>
      </c>
    </row>
    <row r="48" spans="1:7" x14ac:dyDescent="0.2">
      <c r="A48" t="s">
        <v>1253</v>
      </c>
      <c r="B48">
        <v>30.4</v>
      </c>
      <c r="C48">
        <v>32.200000000000003</v>
      </c>
      <c r="D48">
        <v>34.4</v>
      </c>
      <c r="E48">
        <v>5.0999999999999996</v>
      </c>
      <c r="F48" t="s">
        <v>310</v>
      </c>
      <c r="G48" s="92">
        <v>46013.605752314812</v>
      </c>
    </row>
    <row r="49" spans="1:7" x14ac:dyDescent="0.2">
      <c r="A49" t="s">
        <v>1252</v>
      </c>
      <c r="B49">
        <v>14.9</v>
      </c>
      <c r="C49">
        <v>12.7</v>
      </c>
      <c r="D49">
        <v>22.9</v>
      </c>
      <c r="E49">
        <v>0.5</v>
      </c>
      <c r="F49" t="s">
        <v>310</v>
      </c>
      <c r="G49" s="92">
        <v>46013.604502314818</v>
      </c>
    </row>
    <row r="50" spans="1:7" x14ac:dyDescent="0.2">
      <c r="A50" t="s">
        <v>563</v>
      </c>
      <c r="B50">
        <v>25.7</v>
      </c>
      <c r="C50">
        <v>9.6</v>
      </c>
      <c r="D50">
        <v>36.700000000000003</v>
      </c>
      <c r="E50">
        <v>1.1000000000000001</v>
      </c>
      <c r="F50" t="s">
        <v>231</v>
      </c>
      <c r="G50" s="92">
        <v>46011.650416666664</v>
      </c>
    </row>
    <row r="51" spans="1:7" x14ac:dyDescent="0.2">
      <c r="A51" t="s">
        <v>563</v>
      </c>
      <c r="B51">
        <v>25.6</v>
      </c>
      <c r="C51">
        <v>9.6</v>
      </c>
      <c r="D51">
        <v>36.799999999999997</v>
      </c>
      <c r="E51">
        <v>1.1000000000000001</v>
      </c>
      <c r="F51" t="s">
        <v>231</v>
      </c>
      <c r="G51" s="92">
        <v>46011.652824074074</v>
      </c>
    </row>
    <row r="52" spans="1:7" x14ac:dyDescent="0.2">
      <c r="A52" t="s">
        <v>562</v>
      </c>
      <c r="B52">
        <v>11.5</v>
      </c>
      <c r="C52">
        <v>18.399999999999999</v>
      </c>
      <c r="D52">
        <v>22.9</v>
      </c>
      <c r="E52">
        <v>0.5</v>
      </c>
      <c r="F52" t="s">
        <v>231</v>
      </c>
      <c r="G52" s="92">
        <v>46011.652453703704</v>
      </c>
    </row>
    <row r="53" spans="1:7" x14ac:dyDescent="0.2">
      <c r="A53" t="s">
        <v>921</v>
      </c>
      <c r="B53">
        <v>11.5</v>
      </c>
      <c r="C53">
        <v>18.3</v>
      </c>
      <c r="D53">
        <v>22.9</v>
      </c>
      <c r="E53">
        <v>0.5</v>
      </c>
      <c r="F53" t="s">
        <v>231</v>
      </c>
      <c r="G53" s="92">
        <v>46011.650729166664</v>
      </c>
    </row>
    <row r="54" spans="1:7" x14ac:dyDescent="0.2">
      <c r="A54" t="s">
        <v>317</v>
      </c>
      <c r="B54">
        <v>49.2</v>
      </c>
      <c r="C54">
        <v>29.6</v>
      </c>
      <c r="D54">
        <v>64.5</v>
      </c>
      <c r="E54">
        <v>18.399999999999999</v>
      </c>
      <c r="F54" t="s">
        <v>231</v>
      </c>
      <c r="G54" s="92">
        <v>46011.576180555552</v>
      </c>
    </row>
    <row r="55" spans="1:7" x14ac:dyDescent="0.2">
      <c r="A55" t="s">
        <v>727</v>
      </c>
      <c r="B55">
        <v>28.7</v>
      </c>
      <c r="C55">
        <v>40.200000000000003</v>
      </c>
      <c r="D55">
        <v>54.5</v>
      </c>
      <c r="E55">
        <v>28.4</v>
      </c>
      <c r="F55" t="s">
        <v>231</v>
      </c>
      <c r="G55" s="92">
        <v>46011.463865740741</v>
      </c>
    </row>
    <row r="56" spans="1:7" x14ac:dyDescent="0.2">
      <c r="A56" t="s">
        <v>728</v>
      </c>
      <c r="B56">
        <v>32.700000000000003</v>
      </c>
      <c r="C56">
        <v>18.2</v>
      </c>
      <c r="D56">
        <v>42.4</v>
      </c>
      <c r="E56">
        <v>12</v>
      </c>
      <c r="F56" t="s">
        <v>231</v>
      </c>
      <c r="G56" s="92">
        <v>46011.46675925926</v>
      </c>
    </row>
    <row r="57" spans="1:7" x14ac:dyDescent="0.2">
      <c r="A57" t="s">
        <v>726</v>
      </c>
      <c r="B57">
        <v>31.3</v>
      </c>
      <c r="C57">
        <v>35.1</v>
      </c>
      <c r="D57">
        <v>37.9</v>
      </c>
      <c r="E57">
        <v>8.6</v>
      </c>
      <c r="F57" t="s">
        <v>231</v>
      </c>
      <c r="G57" s="92">
        <v>46011.441458333335</v>
      </c>
    </row>
    <row r="58" spans="1:7" x14ac:dyDescent="0.2">
      <c r="A58" t="s">
        <v>208</v>
      </c>
      <c r="B58">
        <v>31</v>
      </c>
      <c r="C58">
        <v>32.799999999999997</v>
      </c>
      <c r="D58">
        <v>72</v>
      </c>
      <c r="E58">
        <v>1.6</v>
      </c>
      <c r="F58" t="s">
        <v>205</v>
      </c>
      <c r="G58" s="92">
        <v>46010.608553240738</v>
      </c>
    </row>
    <row r="59" spans="1:7" x14ac:dyDescent="0.2">
      <c r="A59" t="s">
        <v>207</v>
      </c>
      <c r="B59">
        <v>30.8</v>
      </c>
      <c r="C59">
        <v>32.9</v>
      </c>
      <c r="D59">
        <v>72.400000000000006</v>
      </c>
      <c r="E59">
        <v>2.2000000000000002</v>
      </c>
      <c r="F59" t="s">
        <v>205</v>
      </c>
      <c r="G59" s="92">
        <v>46010.607037037036</v>
      </c>
    </row>
    <row r="60" spans="1:7" x14ac:dyDescent="0.2">
      <c r="A60" t="s">
        <v>206</v>
      </c>
      <c r="B60">
        <v>34.1</v>
      </c>
      <c r="C60">
        <v>38.9</v>
      </c>
      <c r="D60">
        <v>39.200000000000003</v>
      </c>
      <c r="E60">
        <v>10.199999999999999</v>
      </c>
      <c r="F60" t="s">
        <v>205</v>
      </c>
      <c r="G60" s="92">
        <v>46010.572905092595</v>
      </c>
    </row>
    <row r="61" spans="1:7" x14ac:dyDescent="0.2">
      <c r="A61" t="s">
        <v>204</v>
      </c>
      <c r="B61">
        <v>27.2</v>
      </c>
      <c r="C61">
        <v>36.9</v>
      </c>
      <c r="D61">
        <v>36.700000000000003</v>
      </c>
      <c r="E61">
        <v>1.8</v>
      </c>
      <c r="F61" t="s">
        <v>205</v>
      </c>
      <c r="G61" s="92">
        <v>46010.451249999998</v>
      </c>
    </row>
    <row r="62" spans="1:7" x14ac:dyDescent="0.2">
      <c r="A62" t="s">
        <v>1094</v>
      </c>
      <c r="B62">
        <v>18.3</v>
      </c>
      <c r="C62">
        <v>14.2</v>
      </c>
      <c r="D62">
        <v>29.8</v>
      </c>
      <c r="E62">
        <v>0.5</v>
      </c>
      <c r="F62" t="s">
        <v>205</v>
      </c>
      <c r="G62" s="92">
        <v>46009.711006944446</v>
      </c>
    </row>
    <row r="63" spans="1:7" x14ac:dyDescent="0.2">
      <c r="A63" t="s">
        <v>1092</v>
      </c>
      <c r="B63">
        <v>35.1</v>
      </c>
      <c r="C63">
        <v>3.2</v>
      </c>
      <c r="D63">
        <v>37.700000000000003</v>
      </c>
      <c r="E63">
        <v>1.3</v>
      </c>
      <c r="F63" t="s">
        <v>205</v>
      </c>
      <c r="G63" s="92">
        <v>46009.61824074074</v>
      </c>
    </row>
    <row r="64" spans="1:7" x14ac:dyDescent="0.2">
      <c r="A64" t="s">
        <v>1091</v>
      </c>
      <c r="B64">
        <v>34.200000000000003</v>
      </c>
      <c r="C64">
        <v>38.9</v>
      </c>
      <c r="D64">
        <v>39.1</v>
      </c>
      <c r="E64">
        <v>3</v>
      </c>
      <c r="F64" t="s">
        <v>205</v>
      </c>
      <c r="G64" s="92">
        <v>46009.622673611113</v>
      </c>
    </row>
    <row r="65" spans="1:7" x14ac:dyDescent="0.2">
      <c r="A65" t="s">
        <v>1093</v>
      </c>
      <c r="B65">
        <v>22</v>
      </c>
      <c r="C65">
        <v>64</v>
      </c>
      <c r="D65">
        <v>62.4</v>
      </c>
      <c r="E65">
        <v>3</v>
      </c>
      <c r="F65" t="s">
        <v>205</v>
      </c>
      <c r="G65" s="92">
        <v>46009.630462962959</v>
      </c>
    </row>
    <row r="66" spans="1:7" x14ac:dyDescent="0.2">
      <c r="A66" t="s">
        <v>1251</v>
      </c>
      <c r="B66">
        <v>37.4</v>
      </c>
      <c r="C66">
        <v>32.4</v>
      </c>
      <c r="D66">
        <v>46.3</v>
      </c>
      <c r="E66">
        <v>15.8</v>
      </c>
      <c r="F66" t="s">
        <v>205</v>
      </c>
      <c r="G66" s="92">
        <v>46008.661909722221</v>
      </c>
    </row>
    <row r="67" spans="1:7" x14ac:dyDescent="0.2">
      <c r="A67" t="s">
        <v>1249</v>
      </c>
      <c r="B67">
        <v>37.299999999999997</v>
      </c>
      <c r="C67">
        <v>32.700000000000003</v>
      </c>
      <c r="D67">
        <v>46.6</v>
      </c>
      <c r="E67">
        <v>14.6</v>
      </c>
      <c r="F67" t="s">
        <v>205</v>
      </c>
      <c r="G67" s="92">
        <v>46008.661064814813</v>
      </c>
    </row>
    <row r="68" spans="1:7" x14ac:dyDescent="0.2">
      <c r="A68" t="s">
        <v>1250</v>
      </c>
      <c r="B68">
        <v>30</v>
      </c>
      <c r="C68">
        <v>18.2</v>
      </c>
      <c r="D68">
        <v>41</v>
      </c>
      <c r="E68">
        <v>8.4</v>
      </c>
      <c r="F68" t="s">
        <v>205</v>
      </c>
      <c r="G68" s="92">
        <v>46008.624895833331</v>
      </c>
    </row>
    <row r="69" spans="1:7" x14ac:dyDescent="0.2">
      <c r="A69" t="s">
        <v>442</v>
      </c>
      <c r="B69">
        <v>12.5</v>
      </c>
      <c r="C69">
        <v>13.2</v>
      </c>
      <c r="D69">
        <v>5.9</v>
      </c>
      <c r="E69">
        <v>0.2</v>
      </c>
      <c r="F69" t="s">
        <v>196</v>
      </c>
      <c r="G69" s="92">
        <v>46007.698194444441</v>
      </c>
    </row>
    <row r="70" spans="1:7" x14ac:dyDescent="0.2">
      <c r="A70" t="s">
        <v>1248</v>
      </c>
      <c r="B70">
        <v>24.8</v>
      </c>
      <c r="C70">
        <v>19.899999999999999</v>
      </c>
      <c r="D70">
        <v>4.7</v>
      </c>
      <c r="E70">
        <v>0.3</v>
      </c>
      <c r="F70" t="s">
        <v>196</v>
      </c>
      <c r="G70" s="92">
        <v>46007.697199074071</v>
      </c>
    </row>
    <row r="71" spans="1:7" x14ac:dyDescent="0.2">
      <c r="A71" t="s">
        <v>441</v>
      </c>
      <c r="B71">
        <v>28.7</v>
      </c>
      <c r="C71">
        <v>23</v>
      </c>
      <c r="D71">
        <v>12.8</v>
      </c>
      <c r="E71">
        <v>0.4</v>
      </c>
      <c r="F71" t="s">
        <v>196</v>
      </c>
      <c r="G71" s="92">
        <v>46007.697650462964</v>
      </c>
    </row>
    <row r="72" spans="1:7" x14ac:dyDescent="0.2">
      <c r="A72" t="s">
        <v>445</v>
      </c>
      <c r="B72">
        <v>85.9</v>
      </c>
      <c r="C72">
        <v>56.4</v>
      </c>
      <c r="D72">
        <v>8.5</v>
      </c>
      <c r="E72">
        <v>10.9</v>
      </c>
      <c r="F72" t="s">
        <v>196</v>
      </c>
      <c r="G72" s="92">
        <v>46007.699988425928</v>
      </c>
    </row>
    <row r="73" spans="1:7" x14ac:dyDescent="0.2">
      <c r="A73" t="s">
        <v>444</v>
      </c>
      <c r="B73">
        <v>54.2</v>
      </c>
      <c r="C73">
        <v>54.4</v>
      </c>
      <c r="D73">
        <v>40.299999999999997</v>
      </c>
      <c r="E73">
        <v>18.399999999999999</v>
      </c>
      <c r="F73" t="s">
        <v>196</v>
      </c>
      <c r="G73" s="92">
        <v>46007.699444444443</v>
      </c>
    </row>
    <row r="74" spans="1:7" x14ac:dyDescent="0.2">
      <c r="A74" t="s">
        <v>446</v>
      </c>
      <c r="B74">
        <v>53.8</v>
      </c>
      <c r="C74">
        <v>37.299999999999997</v>
      </c>
      <c r="D74">
        <v>38.1</v>
      </c>
      <c r="E74">
        <v>15</v>
      </c>
      <c r="F74" t="s">
        <v>196</v>
      </c>
      <c r="G74" s="92">
        <v>46007.700636574074</v>
      </c>
    </row>
    <row r="75" spans="1:7" x14ac:dyDescent="0.2">
      <c r="A75" t="s">
        <v>443</v>
      </c>
      <c r="B75">
        <v>24.9</v>
      </c>
      <c r="C75">
        <v>16</v>
      </c>
      <c r="D75">
        <v>13.1</v>
      </c>
      <c r="E75">
        <v>0.4</v>
      </c>
      <c r="F75" t="s">
        <v>196</v>
      </c>
      <c r="G75" s="92">
        <v>46007.699016203704</v>
      </c>
    </row>
    <row r="76" spans="1:7" x14ac:dyDescent="0.2">
      <c r="A76" t="s">
        <v>1247</v>
      </c>
      <c r="B76">
        <v>42.2</v>
      </c>
      <c r="C76">
        <v>36.700000000000003</v>
      </c>
      <c r="D76">
        <v>62.3</v>
      </c>
      <c r="E76">
        <v>20.5</v>
      </c>
      <c r="F76" t="s">
        <v>205</v>
      </c>
      <c r="G76" s="92">
        <v>46007.568356481483</v>
      </c>
    </row>
    <row r="77" spans="1:7" x14ac:dyDescent="0.2">
      <c r="A77" t="s">
        <v>1246</v>
      </c>
      <c r="B77">
        <v>33.200000000000003</v>
      </c>
      <c r="C77">
        <v>16.5</v>
      </c>
      <c r="D77">
        <v>39.700000000000003</v>
      </c>
      <c r="E77">
        <v>2</v>
      </c>
      <c r="F77" t="s">
        <v>205</v>
      </c>
      <c r="G77" s="92">
        <v>46007.439560185187</v>
      </c>
    </row>
    <row r="78" spans="1:7" x14ac:dyDescent="0.2">
      <c r="A78" t="s">
        <v>1245</v>
      </c>
      <c r="B78">
        <v>34.299999999999997</v>
      </c>
      <c r="C78">
        <v>37.200000000000003</v>
      </c>
      <c r="D78">
        <v>55.6</v>
      </c>
      <c r="E78">
        <v>3.9</v>
      </c>
      <c r="F78" t="s">
        <v>205</v>
      </c>
      <c r="G78" s="92">
        <v>46007.437476851854</v>
      </c>
    </row>
    <row r="79" spans="1:7" x14ac:dyDescent="0.2">
      <c r="A79" t="s">
        <v>1332</v>
      </c>
      <c r="B79">
        <v>27.2</v>
      </c>
      <c r="C79">
        <v>31.5</v>
      </c>
      <c r="D79">
        <v>26.7</v>
      </c>
      <c r="E79">
        <v>9.6999999999999993</v>
      </c>
      <c r="F79" t="s">
        <v>205</v>
      </c>
      <c r="G79" s="92">
        <v>46006.712407407409</v>
      </c>
    </row>
    <row r="80" spans="1:7" x14ac:dyDescent="0.2">
      <c r="A80" t="s">
        <v>1331</v>
      </c>
      <c r="B80">
        <v>26.9</v>
      </c>
      <c r="C80">
        <v>31.4</v>
      </c>
      <c r="D80">
        <v>26.3</v>
      </c>
      <c r="E80">
        <v>13.5</v>
      </c>
      <c r="F80" t="s">
        <v>205</v>
      </c>
      <c r="G80" s="92">
        <v>46006.710682870369</v>
      </c>
    </row>
    <row r="81" spans="1:7" x14ac:dyDescent="0.2">
      <c r="A81" t="s">
        <v>1328</v>
      </c>
      <c r="B81">
        <v>42.3</v>
      </c>
      <c r="C81">
        <v>19.8</v>
      </c>
      <c r="D81">
        <v>70.2</v>
      </c>
      <c r="E81">
        <v>5.4</v>
      </c>
      <c r="F81" t="s">
        <v>205</v>
      </c>
      <c r="G81" s="92">
        <v>46006.691458333335</v>
      </c>
    </row>
    <row r="82" spans="1:7" x14ac:dyDescent="0.2">
      <c r="A82" t="s">
        <v>1330</v>
      </c>
      <c r="B82">
        <v>33.200000000000003</v>
      </c>
      <c r="C82">
        <v>32.5</v>
      </c>
      <c r="D82">
        <v>43.3</v>
      </c>
      <c r="E82">
        <v>4.7</v>
      </c>
      <c r="F82" t="s">
        <v>205</v>
      </c>
      <c r="G82" s="92">
        <v>46006.685231481482</v>
      </c>
    </row>
    <row r="83" spans="1:7" x14ac:dyDescent="0.2">
      <c r="A83" t="s">
        <v>1172</v>
      </c>
      <c r="B83">
        <v>31.7</v>
      </c>
      <c r="C83">
        <v>22.4</v>
      </c>
      <c r="D83">
        <v>43.8</v>
      </c>
      <c r="E83">
        <v>16.2</v>
      </c>
      <c r="F83" t="s">
        <v>310</v>
      </c>
      <c r="G83" s="92">
        <v>46004.577881944446</v>
      </c>
    </row>
    <row r="84" spans="1:7" x14ac:dyDescent="0.2">
      <c r="A84" t="s">
        <v>1173</v>
      </c>
      <c r="B84">
        <v>30</v>
      </c>
      <c r="C84">
        <v>19.5</v>
      </c>
      <c r="D84">
        <v>41.4</v>
      </c>
      <c r="E84">
        <v>12</v>
      </c>
      <c r="F84" t="s">
        <v>310</v>
      </c>
      <c r="G84" s="92">
        <v>46004.578668981485</v>
      </c>
    </row>
    <row r="85" spans="1:7" x14ac:dyDescent="0.2">
      <c r="A85" t="s">
        <v>917</v>
      </c>
      <c r="B85">
        <v>27</v>
      </c>
      <c r="C85">
        <v>32.5</v>
      </c>
      <c r="D85">
        <v>48.9</v>
      </c>
      <c r="E85">
        <v>6.2</v>
      </c>
      <c r="F85" t="s">
        <v>205</v>
      </c>
      <c r="G85" s="92">
        <v>46003.704259259262</v>
      </c>
    </row>
    <row r="86" spans="1:7" x14ac:dyDescent="0.2">
      <c r="A86" t="s">
        <v>916</v>
      </c>
      <c r="B86">
        <v>40.1</v>
      </c>
      <c r="C86">
        <v>37.4</v>
      </c>
      <c r="D86">
        <v>57.1</v>
      </c>
      <c r="E86">
        <v>9</v>
      </c>
      <c r="F86" t="s">
        <v>205</v>
      </c>
      <c r="G86" s="92">
        <v>46003.703657407408</v>
      </c>
    </row>
    <row r="87" spans="1:7" x14ac:dyDescent="0.2">
      <c r="A87" t="s">
        <v>915</v>
      </c>
      <c r="B87">
        <v>30.7</v>
      </c>
      <c r="C87">
        <v>35.299999999999997</v>
      </c>
      <c r="D87">
        <v>39.6</v>
      </c>
      <c r="E87">
        <v>7.2</v>
      </c>
      <c r="F87" t="s">
        <v>205</v>
      </c>
      <c r="G87" s="92">
        <v>46003.703206018516</v>
      </c>
    </row>
    <row r="88" spans="1:7" x14ac:dyDescent="0.2">
      <c r="A88" t="s">
        <v>918</v>
      </c>
      <c r="B88">
        <v>20.6</v>
      </c>
      <c r="C88">
        <v>15.7</v>
      </c>
      <c r="D88">
        <v>22.7</v>
      </c>
      <c r="E88">
        <v>0.6</v>
      </c>
      <c r="F88" t="s">
        <v>205</v>
      </c>
      <c r="G88" s="92">
        <v>46003.711400462962</v>
      </c>
    </row>
    <row r="89" spans="1:7" x14ac:dyDescent="0.2">
      <c r="A89" t="s">
        <v>919</v>
      </c>
      <c r="B89">
        <v>20.3</v>
      </c>
      <c r="C89">
        <v>13.9</v>
      </c>
      <c r="D89">
        <v>24.6</v>
      </c>
      <c r="E89">
        <v>0.6</v>
      </c>
      <c r="F89" t="s">
        <v>205</v>
      </c>
      <c r="G89" s="92">
        <v>46003.711805555555</v>
      </c>
    </row>
    <row r="90" spans="1:7" x14ac:dyDescent="0.2">
      <c r="A90" t="s">
        <v>913</v>
      </c>
      <c r="B90">
        <v>23.2</v>
      </c>
      <c r="C90">
        <v>17.3</v>
      </c>
      <c r="D90">
        <v>45.5</v>
      </c>
      <c r="E90">
        <v>8</v>
      </c>
      <c r="F90" t="s">
        <v>205</v>
      </c>
      <c r="G90" s="92">
        <v>46003.608611111114</v>
      </c>
    </row>
    <row r="91" spans="1:7" x14ac:dyDescent="0.2">
      <c r="A91" t="s">
        <v>914</v>
      </c>
      <c r="B91">
        <v>37.1</v>
      </c>
      <c r="C91">
        <v>33.1</v>
      </c>
      <c r="D91">
        <v>36.799999999999997</v>
      </c>
      <c r="E91">
        <v>5.9</v>
      </c>
      <c r="F91" t="s">
        <v>205</v>
      </c>
      <c r="G91" s="92">
        <v>46003.609490740739</v>
      </c>
    </row>
    <row r="92" spans="1:7" x14ac:dyDescent="0.2">
      <c r="A92" t="s">
        <v>920</v>
      </c>
      <c r="B92">
        <v>25.3</v>
      </c>
      <c r="C92">
        <v>17.3</v>
      </c>
      <c r="D92">
        <v>31</v>
      </c>
      <c r="E92">
        <v>0.9</v>
      </c>
      <c r="F92" t="s">
        <v>205</v>
      </c>
      <c r="G92" s="92">
        <v>46003.712465277778</v>
      </c>
    </row>
    <row r="93" spans="1:7" x14ac:dyDescent="0.2">
      <c r="A93" t="s">
        <v>912</v>
      </c>
      <c r="B93">
        <v>26.6</v>
      </c>
      <c r="C93">
        <v>30</v>
      </c>
      <c r="D93">
        <v>47.9</v>
      </c>
      <c r="E93">
        <v>1.9</v>
      </c>
      <c r="F93" t="s">
        <v>205</v>
      </c>
      <c r="G93" s="92">
        <v>46003.449884259258</v>
      </c>
    </row>
    <row r="94" spans="1:7" x14ac:dyDescent="0.2">
      <c r="A94" t="s">
        <v>440</v>
      </c>
      <c r="B94">
        <v>48.2</v>
      </c>
      <c r="C94">
        <v>36.4</v>
      </c>
      <c r="D94">
        <v>48.5</v>
      </c>
      <c r="E94">
        <v>10.1</v>
      </c>
      <c r="F94" t="s">
        <v>205</v>
      </c>
      <c r="G94" s="92">
        <v>46002.692719907405</v>
      </c>
    </row>
    <row r="95" spans="1:7" x14ac:dyDescent="0.2">
      <c r="A95" t="s">
        <v>438</v>
      </c>
      <c r="B95">
        <v>18.7</v>
      </c>
      <c r="C95">
        <v>17.399999999999999</v>
      </c>
      <c r="D95">
        <v>23.8</v>
      </c>
      <c r="E95">
        <v>1</v>
      </c>
      <c r="F95" t="s">
        <v>205</v>
      </c>
      <c r="G95" s="92">
        <v>46002.619212962964</v>
      </c>
    </row>
    <row r="96" spans="1:7" x14ac:dyDescent="0.2">
      <c r="A96" t="s">
        <v>437</v>
      </c>
      <c r="B96">
        <v>36.9</v>
      </c>
      <c r="C96">
        <v>34.6</v>
      </c>
      <c r="D96">
        <v>36.700000000000003</v>
      </c>
      <c r="E96">
        <v>7.5</v>
      </c>
      <c r="F96" t="s">
        <v>205</v>
      </c>
      <c r="G96" s="92">
        <v>46002.617893518516</v>
      </c>
    </row>
    <row r="97" spans="1:7" x14ac:dyDescent="0.2">
      <c r="A97" t="s">
        <v>436</v>
      </c>
      <c r="B97">
        <v>39.4</v>
      </c>
      <c r="C97">
        <v>32.799999999999997</v>
      </c>
      <c r="D97">
        <v>45.5</v>
      </c>
      <c r="E97">
        <v>16.2</v>
      </c>
      <c r="F97" t="s">
        <v>205</v>
      </c>
      <c r="G97" s="92">
        <v>46002.600173611114</v>
      </c>
    </row>
    <row r="98" spans="1:7" x14ac:dyDescent="0.2">
      <c r="A98" t="s">
        <v>435</v>
      </c>
      <c r="B98">
        <v>28.1</v>
      </c>
      <c r="C98">
        <v>31.5</v>
      </c>
      <c r="D98">
        <v>41.3</v>
      </c>
      <c r="E98">
        <v>2.6</v>
      </c>
      <c r="F98" t="s">
        <v>205</v>
      </c>
      <c r="G98" s="92">
        <v>46002.596388888887</v>
      </c>
    </row>
    <row r="99" spans="1:7" x14ac:dyDescent="0.2">
      <c r="A99" t="s">
        <v>439</v>
      </c>
      <c r="B99">
        <v>26</v>
      </c>
      <c r="C99">
        <v>27.2</v>
      </c>
      <c r="D99">
        <v>35.200000000000003</v>
      </c>
      <c r="E99">
        <v>15.9</v>
      </c>
      <c r="F99" t="s">
        <v>205</v>
      </c>
      <c r="G99" s="92">
        <v>46002.626122685186</v>
      </c>
    </row>
    <row r="100" spans="1:7" x14ac:dyDescent="0.2">
      <c r="A100" t="s">
        <v>911</v>
      </c>
      <c r="B100">
        <v>31.2</v>
      </c>
      <c r="C100">
        <v>20.6</v>
      </c>
      <c r="D100">
        <v>40.799999999999997</v>
      </c>
      <c r="E100">
        <v>10.9</v>
      </c>
      <c r="F100" t="s">
        <v>205</v>
      </c>
      <c r="G100" s="92">
        <v>46001.732303240744</v>
      </c>
    </row>
    <row r="101" spans="1:7" x14ac:dyDescent="0.2">
      <c r="A101" t="s">
        <v>724</v>
      </c>
      <c r="B101">
        <v>25.3</v>
      </c>
      <c r="C101">
        <v>24.9</v>
      </c>
      <c r="D101">
        <v>33.9</v>
      </c>
      <c r="E101">
        <v>6.1</v>
      </c>
      <c r="F101" t="s">
        <v>205</v>
      </c>
      <c r="G101" s="92">
        <v>46001.743125000001</v>
      </c>
    </row>
    <row r="102" spans="1:7" x14ac:dyDescent="0.2">
      <c r="A102" t="s">
        <v>723</v>
      </c>
      <c r="B102">
        <v>25.3</v>
      </c>
      <c r="C102">
        <v>24.9</v>
      </c>
      <c r="D102">
        <v>34.5</v>
      </c>
      <c r="E102">
        <v>7.5</v>
      </c>
      <c r="F102" t="s">
        <v>205</v>
      </c>
      <c r="G102" s="92">
        <v>46001.742673611108</v>
      </c>
    </row>
    <row r="103" spans="1:7" x14ac:dyDescent="0.2">
      <c r="A103" t="s">
        <v>722</v>
      </c>
      <c r="B103">
        <v>25</v>
      </c>
      <c r="C103">
        <v>25.2</v>
      </c>
      <c r="D103">
        <v>33.799999999999997</v>
      </c>
      <c r="E103">
        <v>6.6</v>
      </c>
      <c r="F103" t="s">
        <v>205</v>
      </c>
      <c r="G103" s="92">
        <v>46001.742268518516</v>
      </c>
    </row>
    <row r="104" spans="1:7" x14ac:dyDescent="0.2">
      <c r="A104" t="s">
        <v>721</v>
      </c>
      <c r="B104">
        <v>29.4</v>
      </c>
      <c r="C104">
        <v>18.100000000000001</v>
      </c>
      <c r="D104">
        <v>41</v>
      </c>
      <c r="E104">
        <v>7.9</v>
      </c>
      <c r="F104" t="s">
        <v>205</v>
      </c>
      <c r="G104" s="92">
        <v>46001.741759259261</v>
      </c>
    </row>
    <row r="105" spans="1:7" x14ac:dyDescent="0.2">
      <c r="A105" t="s">
        <v>725</v>
      </c>
      <c r="B105">
        <v>42.4</v>
      </c>
      <c r="C105">
        <v>62.1</v>
      </c>
      <c r="D105">
        <v>53.6</v>
      </c>
      <c r="E105">
        <v>10.199999999999999</v>
      </c>
      <c r="F105" t="s">
        <v>205</v>
      </c>
      <c r="G105" s="92">
        <v>46001.751840277779</v>
      </c>
    </row>
    <row r="106" spans="1:7" x14ac:dyDescent="0.2">
      <c r="A106" t="s">
        <v>910</v>
      </c>
      <c r="B106">
        <v>35.5</v>
      </c>
      <c r="C106">
        <v>51.8</v>
      </c>
      <c r="D106">
        <v>49.5</v>
      </c>
      <c r="E106">
        <v>8.8000000000000007</v>
      </c>
      <c r="F106" t="s">
        <v>205</v>
      </c>
      <c r="G106" s="92">
        <v>46001.601215277777</v>
      </c>
    </row>
    <row r="107" spans="1:7" x14ac:dyDescent="0.2">
      <c r="A107" t="s">
        <v>909</v>
      </c>
      <c r="B107">
        <v>35.5</v>
      </c>
      <c r="C107">
        <v>51.8</v>
      </c>
      <c r="D107">
        <v>49.1</v>
      </c>
      <c r="E107">
        <v>5.4</v>
      </c>
      <c r="F107" t="s">
        <v>205</v>
      </c>
      <c r="G107" s="92">
        <v>46001.594027777777</v>
      </c>
    </row>
    <row r="108" spans="1:7" x14ac:dyDescent="0.2">
      <c r="A108" t="s">
        <v>908</v>
      </c>
      <c r="B108">
        <v>48</v>
      </c>
      <c r="C108">
        <v>35.9</v>
      </c>
      <c r="D108">
        <v>48</v>
      </c>
      <c r="E108">
        <v>10.8</v>
      </c>
      <c r="F108" t="s">
        <v>205</v>
      </c>
      <c r="G108" s="92">
        <v>46001.592499999999</v>
      </c>
    </row>
    <row r="109" spans="1:7" x14ac:dyDescent="0.2">
      <c r="A109" t="s">
        <v>718</v>
      </c>
      <c r="B109">
        <v>25.2</v>
      </c>
      <c r="C109">
        <v>5.0999999999999996</v>
      </c>
      <c r="D109">
        <v>33.299999999999997</v>
      </c>
      <c r="E109">
        <v>1.3</v>
      </c>
      <c r="F109" t="s">
        <v>205</v>
      </c>
      <c r="G109" s="92">
        <v>46001.740208333336</v>
      </c>
    </row>
    <row r="110" spans="1:7" x14ac:dyDescent="0.2">
      <c r="A110" t="s">
        <v>719</v>
      </c>
      <c r="B110">
        <v>31.5</v>
      </c>
      <c r="C110">
        <v>23.9</v>
      </c>
      <c r="D110">
        <v>33</v>
      </c>
      <c r="E110">
        <v>4.0999999999999996</v>
      </c>
      <c r="F110" t="s">
        <v>205</v>
      </c>
      <c r="G110" s="92">
        <v>46001.740752314814</v>
      </c>
    </row>
    <row r="111" spans="1:7" x14ac:dyDescent="0.2">
      <c r="A111" t="s">
        <v>720</v>
      </c>
      <c r="B111">
        <v>31.6</v>
      </c>
      <c r="C111">
        <v>23.8</v>
      </c>
      <c r="D111">
        <v>33</v>
      </c>
      <c r="E111">
        <v>2.7</v>
      </c>
      <c r="F111" t="s">
        <v>205</v>
      </c>
      <c r="G111" s="92">
        <v>46001.741203703707</v>
      </c>
    </row>
    <row r="112" spans="1:7" x14ac:dyDescent="0.2">
      <c r="A112" t="s">
        <v>907</v>
      </c>
      <c r="B112">
        <v>20.7</v>
      </c>
      <c r="C112">
        <v>15.2</v>
      </c>
      <c r="D112">
        <v>26</v>
      </c>
      <c r="E112">
        <v>0.3</v>
      </c>
      <c r="F112" t="s">
        <v>205</v>
      </c>
      <c r="G112" s="92">
        <v>46001.378032407411</v>
      </c>
    </row>
    <row r="113" spans="1:7" x14ac:dyDescent="0.2">
      <c r="A113" t="s">
        <v>1244</v>
      </c>
      <c r="B113">
        <v>40.299999999999997</v>
      </c>
      <c r="C113">
        <v>29.5</v>
      </c>
      <c r="D113">
        <v>59</v>
      </c>
      <c r="E113">
        <v>11.9</v>
      </c>
      <c r="F113" t="s">
        <v>205</v>
      </c>
      <c r="G113" s="92">
        <v>46000.655370370368</v>
      </c>
    </row>
    <row r="114" spans="1:7" x14ac:dyDescent="0.2">
      <c r="A114" t="s">
        <v>1242</v>
      </c>
      <c r="B114">
        <v>45.8</v>
      </c>
      <c r="C114">
        <v>43.2</v>
      </c>
      <c r="D114">
        <v>49.7</v>
      </c>
      <c r="E114">
        <v>12.4</v>
      </c>
      <c r="F114" t="s">
        <v>205</v>
      </c>
      <c r="G114" s="92">
        <v>46000.65420138889</v>
      </c>
    </row>
    <row r="115" spans="1:7" x14ac:dyDescent="0.2">
      <c r="A115" t="s">
        <v>1243</v>
      </c>
      <c r="B115">
        <v>36.6</v>
      </c>
      <c r="C115">
        <v>29</v>
      </c>
      <c r="D115">
        <v>41.9</v>
      </c>
      <c r="E115">
        <v>7.3</v>
      </c>
      <c r="F115" t="s">
        <v>205</v>
      </c>
      <c r="G115" s="92">
        <v>46000.654814814814</v>
      </c>
    </row>
    <row r="116" spans="1:7" x14ac:dyDescent="0.2">
      <c r="A116" t="s">
        <v>1241</v>
      </c>
      <c r="B116">
        <v>36.200000000000003</v>
      </c>
      <c r="C116">
        <v>26.1</v>
      </c>
      <c r="D116">
        <v>47.9</v>
      </c>
      <c r="E116">
        <v>4.5999999999999996</v>
      </c>
      <c r="F116" t="s">
        <v>196</v>
      </c>
      <c r="G116" s="92">
        <v>45999.69798611111</v>
      </c>
    </row>
    <row r="117" spans="1:7" x14ac:dyDescent="0.2">
      <c r="A117" t="s">
        <v>1240</v>
      </c>
      <c r="B117">
        <v>36.9</v>
      </c>
      <c r="C117">
        <v>26</v>
      </c>
      <c r="D117">
        <v>47.6</v>
      </c>
      <c r="E117">
        <v>6.6</v>
      </c>
      <c r="F117" t="s">
        <v>196</v>
      </c>
      <c r="G117" s="92">
        <v>45999.697650462964</v>
      </c>
    </row>
    <row r="118" spans="1:7" x14ac:dyDescent="0.2">
      <c r="A118" t="s">
        <v>198</v>
      </c>
      <c r="B118">
        <v>41.8</v>
      </c>
      <c r="C118">
        <v>32.700000000000003</v>
      </c>
      <c r="D118">
        <v>30.2</v>
      </c>
      <c r="E118">
        <v>7.9</v>
      </c>
      <c r="F118" t="s">
        <v>196</v>
      </c>
      <c r="G118" s="92">
        <v>45999.56994212963</v>
      </c>
    </row>
    <row r="119" spans="1:7" x14ac:dyDescent="0.2">
      <c r="A119" t="s">
        <v>195</v>
      </c>
      <c r="B119">
        <v>39.9</v>
      </c>
      <c r="C119">
        <v>29.4</v>
      </c>
      <c r="D119">
        <v>23.2</v>
      </c>
      <c r="E119">
        <v>5</v>
      </c>
      <c r="F119" t="s">
        <v>196</v>
      </c>
      <c r="G119" s="92">
        <v>45999.568414351852</v>
      </c>
    </row>
    <row r="120" spans="1:7" x14ac:dyDescent="0.2">
      <c r="A120" t="s">
        <v>202</v>
      </c>
      <c r="B120">
        <v>43.1</v>
      </c>
      <c r="C120">
        <v>34.1</v>
      </c>
      <c r="D120">
        <v>30.9</v>
      </c>
      <c r="E120">
        <v>8.6</v>
      </c>
      <c r="F120" t="s">
        <v>196</v>
      </c>
      <c r="G120" s="92">
        <v>45999.572442129633</v>
      </c>
    </row>
    <row r="121" spans="1:7" x14ac:dyDescent="0.2">
      <c r="A121" t="s">
        <v>199</v>
      </c>
      <c r="B121">
        <v>46.8</v>
      </c>
      <c r="C121">
        <v>35.299999999999997</v>
      </c>
      <c r="D121">
        <v>37.9</v>
      </c>
      <c r="E121">
        <v>14</v>
      </c>
      <c r="F121" t="s">
        <v>196</v>
      </c>
      <c r="G121" s="92">
        <v>45999.570729166669</v>
      </c>
    </row>
    <row r="122" spans="1:7" x14ac:dyDescent="0.2">
      <c r="A122" t="s">
        <v>197</v>
      </c>
      <c r="B122">
        <v>48.4</v>
      </c>
      <c r="C122">
        <v>29.5</v>
      </c>
      <c r="D122">
        <v>34.5</v>
      </c>
      <c r="E122">
        <v>11.2</v>
      </c>
      <c r="F122" t="s">
        <v>196</v>
      </c>
      <c r="G122" s="92">
        <v>45999.56927083333</v>
      </c>
    </row>
    <row r="123" spans="1:7" x14ac:dyDescent="0.2">
      <c r="A123" t="s">
        <v>200</v>
      </c>
      <c r="B123">
        <v>42.6</v>
      </c>
      <c r="C123">
        <v>33.700000000000003</v>
      </c>
      <c r="D123">
        <v>31.1</v>
      </c>
      <c r="E123">
        <v>9.6</v>
      </c>
      <c r="F123" t="s">
        <v>196</v>
      </c>
      <c r="G123" s="92">
        <v>45999.571296296293</v>
      </c>
    </row>
    <row r="124" spans="1:7" x14ac:dyDescent="0.2">
      <c r="A124" t="s">
        <v>201</v>
      </c>
      <c r="B124">
        <v>43.2</v>
      </c>
      <c r="C124">
        <v>34</v>
      </c>
      <c r="D124">
        <v>30.6</v>
      </c>
      <c r="E124">
        <v>10.7</v>
      </c>
      <c r="F124" t="s">
        <v>196</v>
      </c>
      <c r="G124" s="92">
        <v>45999.571886574071</v>
      </c>
    </row>
    <row r="125" spans="1:7" x14ac:dyDescent="0.2">
      <c r="A125" t="s">
        <v>203</v>
      </c>
      <c r="B125">
        <v>32</v>
      </c>
      <c r="C125">
        <v>24.3</v>
      </c>
      <c r="D125">
        <v>20.100000000000001</v>
      </c>
      <c r="E125">
        <v>4.5999999999999996</v>
      </c>
      <c r="F125" t="s">
        <v>196</v>
      </c>
      <c r="G125" s="92">
        <v>45999.572824074072</v>
      </c>
    </row>
    <row r="126" spans="1:7" x14ac:dyDescent="0.2">
      <c r="A126" t="s">
        <v>906</v>
      </c>
      <c r="B126">
        <v>71.7</v>
      </c>
      <c r="C126">
        <v>27.4</v>
      </c>
      <c r="D126">
        <v>21</v>
      </c>
      <c r="E126">
        <v>3.7</v>
      </c>
      <c r="F126" t="s">
        <v>196</v>
      </c>
      <c r="G126" s="92">
        <v>45999.464282407411</v>
      </c>
    </row>
    <row r="127" spans="1:7" x14ac:dyDescent="0.2">
      <c r="A127" t="s">
        <v>905</v>
      </c>
      <c r="B127">
        <v>72</v>
      </c>
      <c r="C127">
        <v>27.7</v>
      </c>
      <c r="D127">
        <v>21.2</v>
      </c>
      <c r="E127">
        <v>3.7</v>
      </c>
      <c r="F127" t="s">
        <v>196</v>
      </c>
      <c r="G127" s="92">
        <v>45999.463854166665</v>
      </c>
    </row>
    <row r="128" spans="1:7" x14ac:dyDescent="0.2">
      <c r="A128" t="s">
        <v>904</v>
      </c>
      <c r="B128">
        <v>27.3</v>
      </c>
      <c r="C128">
        <v>8.6</v>
      </c>
      <c r="D128">
        <v>32.4</v>
      </c>
      <c r="E128">
        <v>0.6</v>
      </c>
      <c r="F128" t="s">
        <v>205</v>
      </c>
      <c r="G128" s="92">
        <v>45997.587199074071</v>
      </c>
    </row>
    <row r="129" spans="1:7" x14ac:dyDescent="0.2">
      <c r="A129" t="s">
        <v>1438</v>
      </c>
      <c r="B129">
        <v>61.7</v>
      </c>
      <c r="C129">
        <v>33.1</v>
      </c>
      <c r="D129">
        <v>76.099999999999994</v>
      </c>
      <c r="E129">
        <v>9.8000000000000007</v>
      </c>
      <c r="F129" t="s">
        <v>210</v>
      </c>
      <c r="G129" s="92">
        <v>45996.617245370369</v>
      </c>
    </row>
    <row r="130" spans="1:7" x14ac:dyDescent="0.2">
      <c r="A130" t="s">
        <v>1437</v>
      </c>
      <c r="B130">
        <v>50.3</v>
      </c>
      <c r="C130">
        <v>40.6</v>
      </c>
      <c r="D130">
        <v>50</v>
      </c>
      <c r="E130">
        <v>9.5</v>
      </c>
      <c r="F130" t="s">
        <v>210</v>
      </c>
      <c r="G130" s="92">
        <v>45996.616053240738</v>
      </c>
    </row>
    <row r="131" spans="1:7" x14ac:dyDescent="0.2">
      <c r="A131" t="s">
        <v>1329</v>
      </c>
      <c r="B131">
        <v>32.700000000000003</v>
      </c>
      <c r="C131">
        <v>29.6</v>
      </c>
      <c r="D131">
        <v>46</v>
      </c>
      <c r="E131">
        <v>3.4</v>
      </c>
      <c r="F131" t="s">
        <v>210</v>
      </c>
      <c r="G131" s="92">
        <v>45996.567523148151</v>
      </c>
    </row>
    <row r="132" spans="1:7" x14ac:dyDescent="0.2">
      <c r="A132" t="s">
        <v>902</v>
      </c>
      <c r="B132">
        <v>20.2</v>
      </c>
      <c r="C132">
        <v>12.6</v>
      </c>
      <c r="D132">
        <v>24.5</v>
      </c>
      <c r="E132">
        <v>1.1000000000000001</v>
      </c>
      <c r="F132" t="s">
        <v>210</v>
      </c>
      <c r="G132" s="92">
        <v>45996.564108796294</v>
      </c>
    </row>
    <row r="133" spans="1:7" x14ac:dyDescent="0.2">
      <c r="A133" t="s">
        <v>900</v>
      </c>
      <c r="B133">
        <v>33.1</v>
      </c>
      <c r="C133">
        <v>21.4</v>
      </c>
      <c r="D133">
        <v>42.7</v>
      </c>
      <c r="E133">
        <v>2.5</v>
      </c>
      <c r="F133" t="s">
        <v>210</v>
      </c>
      <c r="G133" s="92">
        <v>45996.548182870371</v>
      </c>
    </row>
    <row r="134" spans="1:7" x14ac:dyDescent="0.2">
      <c r="A134" t="s">
        <v>903</v>
      </c>
      <c r="B134">
        <v>47.9</v>
      </c>
      <c r="C134">
        <v>36.6</v>
      </c>
      <c r="D134">
        <v>48.2</v>
      </c>
      <c r="E134">
        <v>9.9</v>
      </c>
      <c r="F134" t="s">
        <v>210</v>
      </c>
      <c r="G134" s="92">
        <v>45996.55133101852</v>
      </c>
    </row>
    <row r="135" spans="1:7" x14ac:dyDescent="0.2">
      <c r="A135" t="s">
        <v>898</v>
      </c>
      <c r="B135">
        <v>48.1</v>
      </c>
      <c r="C135">
        <v>36.1</v>
      </c>
      <c r="D135">
        <v>48.5</v>
      </c>
      <c r="E135">
        <v>10.7</v>
      </c>
      <c r="F135" t="s">
        <v>210</v>
      </c>
      <c r="G135" s="92">
        <v>45996.547569444447</v>
      </c>
    </row>
    <row r="136" spans="1:7" x14ac:dyDescent="0.2">
      <c r="A136" t="s">
        <v>901</v>
      </c>
      <c r="B136">
        <v>41.2</v>
      </c>
      <c r="C136">
        <v>31.9</v>
      </c>
      <c r="D136">
        <v>55.3</v>
      </c>
      <c r="E136">
        <v>8.1</v>
      </c>
      <c r="F136" t="s">
        <v>210</v>
      </c>
      <c r="G136" s="92">
        <v>45996.550266203703</v>
      </c>
    </row>
    <row r="137" spans="1:7" x14ac:dyDescent="0.2">
      <c r="A137" t="s">
        <v>1000</v>
      </c>
      <c r="B137">
        <v>28.9</v>
      </c>
      <c r="C137">
        <v>65</v>
      </c>
      <c r="D137">
        <v>29.6</v>
      </c>
      <c r="E137">
        <v>30</v>
      </c>
      <c r="F137" t="s">
        <v>210</v>
      </c>
      <c r="G137" s="92">
        <v>45995.677893518521</v>
      </c>
    </row>
    <row r="138" spans="1:7" x14ac:dyDescent="0.2">
      <c r="A138" t="s">
        <v>1001</v>
      </c>
      <c r="B138">
        <v>20.6</v>
      </c>
      <c r="C138">
        <v>12</v>
      </c>
      <c r="D138">
        <v>27.8</v>
      </c>
      <c r="E138">
        <v>0.3</v>
      </c>
      <c r="F138" t="s">
        <v>210</v>
      </c>
      <c r="G138" s="92">
        <v>45995.574861111112</v>
      </c>
    </row>
    <row r="139" spans="1:7" x14ac:dyDescent="0.2">
      <c r="A139" t="s">
        <v>1002</v>
      </c>
      <c r="B139">
        <v>19.7</v>
      </c>
      <c r="C139">
        <v>11.9</v>
      </c>
      <c r="D139">
        <v>26.3</v>
      </c>
      <c r="E139">
        <v>0.7</v>
      </c>
      <c r="F139" t="s">
        <v>210</v>
      </c>
      <c r="G139" s="92">
        <v>45995.575439814813</v>
      </c>
    </row>
    <row r="140" spans="1:7" x14ac:dyDescent="0.2">
      <c r="A140" t="s">
        <v>1003</v>
      </c>
      <c r="B140">
        <v>22.8</v>
      </c>
      <c r="C140">
        <v>15.7</v>
      </c>
      <c r="D140">
        <v>22.5</v>
      </c>
      <c r="E140">
        <v>1.9</v>
      </c>
      <c r="F140" t="s">
        <v>210</v>
      </c>
      <c r="G140" s="92">
        <v>45995.575775462959</v>
      </c>
    </row>
    <row r="141" spans="1:7" x14ac:dyDescent="0.2">
      <c r="A141" t="s">
        <v>716</v>
      </c>
      <c r="B141">
        <v>34.200000000000003</v>
      </c>
      <c r="C141">
        <v>38.1</v>
      </c>
      <c r="D141">
        <v>55.7</v>
      </c>
      <c r="E141">
        <v>3.9</v>
      </c>
      <c r="F141" t="s">
        <v>210</v>
      </c>
      <c r="G141" s="92">
        <v>45995.456956018519</v>
      </c>
    </row>
    <row r="142" spans="1:7" x14ac:dyDescent="0.2">
      <c r="A142" t="s">
        <v>715</v>
      </c>
      <c r="B142">
        <v>34.4</v>
      </c>
      <c r="C142">
        <v>38.299999999999997</v>
      </c>
      <c r="D142">
        <v>55.6</v>
      </c>
      <c r="E142">
        <v>3.8</v>
      </c>
      <c r="F142" t="s">
        <v>210</v>
      </c>
      <c r="G142" s="92">
        <v>45995.456597222219</v>
      </c>
    </row>
    <row r="143" spans="1:7" x14ac:dyDescent="0.2">
      <c r="A143" t="s">
        <v>717</v>
      </c>
      <c r="B143">
        <v>39.4</v>
      </c>
      <c r="C143">
        <v>29.6</v>
      </c>
      <c r="D143">
        <v>41.6</v>
      </c>
      <c r="E143">
        <v>7.4</v>
      </c>
      <c r="F143" t="s">
        <v>210</v>
      </c>
      <c r="G143" s="92">
        <v>45995.45753472222</v>
      </c>
    </row>
    <row r="144" spans="1:7" x14ac:dyDescent="0.2">
      <c r="A144" t="s">
        <v>897</v>
      </c>
      <c r="B144">
        <v>32.700000000000003</v>
      </c>
      <c r="C144">
        <v>36.1</v>
      </c>
      <c r="D144">
        <v>39.5</v>
      </c>
      <c r="E144">
        <v>5.5</v>
      </c>
      <c r="F144" t="s">
        <v>210</v>
      </c>
      <c r="G144" s="92">
        <v>45994.653067129628</v>
      </c>
    </row>
    <row r="145" spans="1:7" x14ac:dyDescent="0.2">
      <c r="A145" t="s">
        <v>899</v>
      </c>
      <c r="B145">
        <v>42.8</v>
      </c>
      <c r="C145">
        <v>39.1</v>
      </c>
      <c r="D145">
        <v>48.3</v>
      </c>
      <c r="E145">
        <v>4.5999999999999996</v>
      </c>
      <c r="F145" t="s">
        <v>210</v>
      </c>
      <c r="G145" s="92">
        <v>45994.654236111113</v>
      </c>
    </row>
    <row r="146" spans="1:7" x14ac:dyDescent="0.2">
      <c r="A146" t="s">
        <v>896</v>
      </c>
      <c r="B146">
        <v>34.200000000000003</v>
      </c>
      <c r="C146">
        <v>39.4</v>
      </c>
      <c r="D146">
        <v>39.1</v>
      </c>
      <c r="E146">
        <v>6</v>
      </c>
      <c r="F146" t="s">
        <v>210</v>
      </c>
      <c r="G146" s="92">
        <v>45994.625405092593</v>
      </c>
    </row>
    <row r="147" spans="1:7" x14ac:dyDescent="0.2">
      <c r="A147" t="s">
        <v>894</v>
      </c>
      <c r="B147">
        <v>15.9</v>
      </c>
      <c r="C147">
        <v>14</v>
      </c>
      <c r="D147">
        <v>25.6</v>
      </c>
      <c r="E147">
        <v>0.4</v>
      </c>
      <c r="F147" t="s">
        <v>210</v>
      </c>
      <c r="G147" s="92">
        <v>45994.604861111111</v>
      </c>
    </row>
    <row r="148" spans="1:7" x14ac:dyDescent="0.2">
      <c r="A148" t="s">
        <v>895</v>
      </c>
      <c r="B148">
        <v>53.9</v>
      </c>
      <c r="C148">
        <v>40.1</v>
      </c>
      <c r="D148">
        <v>54.1</v>
      </c>
      <c r="E148">
        <v>12.4</v>
      </c>
      <c r="F148" t="s">
        <v>210</v>
      </c>
      <c r="G148" s="92">
        <v>45994.606099537035</v>
      </c>
    </row>
    <row r="149" spans="1:7" x14ac:dyDescent="0.2">
      <c r="A149" t="s">
        <v>893</v>
      </c>
      <c r="B149">
        <v>35.799999999999997</v>
      </c>
      <c r="C149">
        <v>36.700000000000003</v>
      </c>
      <c r="D149">
        <v>48.9</v>
      </c>
      <c r="E149">
        <v>7.3</v>
      </c>
      <c r="F149" t="s">
        <v>210</v>
      </c>
      <c r="G149" s="92">
        <v>45994.407754629632</v>
      </c>
    </row>
    <row r="150" spans="1:7" x14ac:dyDescent="0.2">
      <c r="A150" t="s">
        <v>1239</v>
      </c>
      <c r="B150">
        <v>32.4</v>
      </c>
      <c r="C150">
        <v>21.4</v>
      </c>
      <c r="D150">
        <v>59.3</v>
      </c>
      <c r="E150">
        <v>1.7</v>
      </c>
      <c r="F150" t="s">
        <v>210</v>
      </c>
      <c r="G150" s="92">
        <v>45993.657777777778</v>
      </c>
    </row>
    <row r="151" spans="1:7" x14ac:dyDescent="0.2">
      <c r="A151" t="s">
        <v>1237</v>
      </c>
      <c r="B151">
        <v>33.200000000000003</v>
      </c>
      <c r="C151">
        <v>36.700000000000003</v>
      </c>
      <c r="D151">
        <v>56.6</v>
      </c>
      <c r="E151">
        <v>3.4</v>
      </c>
      <c r="F151" t="s">
        <v>210</v>
      </c>
      <c r="G151" s="92">
        <v>45993.581504629627</v>
      </c>
    </row>
    <row r="152" spans="1:7" x14ac:dyDescent="0.2">
      <c r="A152" t="s">
        <v>1238</v>
      </c>
      <c r="B152">
        <v>45.6</v>
      </c>
      <c r="C152">
        <v>46.1</v>
      </c>
      <c r="D152">
        <v>61.1</v>
      </c>
      <c r="E152">
        <v>8.6999999999999993</v>
      </c>
      <c r="F152" t="s">
        <v>210</v>
      </c>
      <c r="G152" s="92">
        <v>45993.582499999997</v>
      </c>
    </row>
    <row r="153" spans="1:7" x14ac:dyDescent="0.2">
      <c r="A153" t="s">
        <v>1090</v>
      </c>
      <c r="B153">
        <v>47.2</v>
      </c>
      <c r="C153">
        <v>41.7</v>
      </c>
      <c r="D153">
        <v>54.3</v>
      </c>
      <c r="E153">
        <v>8.1</v>
      </c>
      <c r="F153" t="s">
        <v>231</v>
      </c>
      <c r="G153" s="92">
        <v>45992.582604166666</v>
      </c>
    </row>
    <row r="154" spans="1:7" x14ac:dyDescent="0.2">
      <c r="A154" t="s">
        <v>1089</v>
      </c>
      <c r="B154">
        <v>14.6</v>
      </c>
      <c r="C154">
        <v>12.9</v>
      </c>
      <c r="D154">
        <v>23.2</v>
      </c>
      <c r="E154">
        <v>0.6</v>
      </c>
      <c r="F154" t="s">
        <v>231</v>
      </c>
      <c r="G154" s="92">
        <v>45992.582013888888</v>
      </c>
    </row>
    <row r="155" spans="1:7" x14ac:dyDescent="0.2">
      <c r="A155" t="s">
        <v>1171</v>
      </c>
      <c r="B155">
        <v>27.4</v>
      </c>
      <c r="C155">
        <v>13.8</v>
      </c>
      <c r="D155">
        <v>38.1</v>
      </c>
      <c r="E155">
        <v>0.5</v>
      </c>
      <c r="F155" t="s">
        <v>231</v>
      </c>
      <c r="G155" s="92">
        <v>45992.450983796298</v>
      </c>
    </row>
    <row r="156" spans="1:7" x14ac:dyDescent="0.2">
      <c r="A156" t="s">
        <v>1170</v>
      </c>
      <c r="B156">
        <v>33.9</v>
      </c>
      <c r="C156">
        <v>40.299999999999997</v>
      </c>
      <c r="D156">
        <v>39.799999999999997</v>
      </c>
      <c r="E156">
        <v>18.100000000000001</v>
      </c>
      <c r="F156" t="s">
        <v>205</v>
      </c>
      <c r="G156" s="92">
        <v>45992.330277777779</v>
      </c>
    </row>
    <row r="157" spans="1:7" x14ac:dyDescent="0.2">
      <c r="A157" t="s">
        <v>1169</v>
      </c>
      <c r="B157">
        <v>33.799999999999997</v>
      </c>
      <c r="C157">
        <v>39.9</v>
      </c>
      <c r="D157">
        <v>40.200000000000003</v>
      </c>
      <c r="E157">
        <v>19.3</v>
      </c>
      <c r="F157" t="s">
        <v>205</v>
      </c>
      <c r="G157" s="92">
        <v>45992.32980324074</v>
      </c>
    </row>
    <row r="158" spans="1:7" x14ac:dyDescent="0.2">
      <c r="A158" t="s">
        <v>1088</v>
      </c>
      <c r="B158">
        <v>30.5</v>
      </c>
      <c r="C158">
        <v>52.3</v>
      </c>
      <c r="D158">
        <v>31.3</v>
      </c>
      <c r="E158">
        <v>24</v>
      </c>
      <c r="F158" t="s">
        <v>210</v>
      </c>
      <c r="G158" s="92">
        <v>45989.606215277781</v>
      </c>
    </row>
    <row r="159" spans="1:7" x14ac:dyDescent="0.2">
      <c r="A159" t="s">
        <v>714</v>
      </c>
      <c r="B159">
        <v>28.7</v>
      </c>
      <c r="C159">
        <v>28</v>
      </c>
      <c r="D159">
        <v>35.1</v>
      </c>
      <c r="E159">
        <v>1.8</v>
      </c>
      <c r="F159" t="s">
        <v>210</v>
      </c>
      <c r="G159" s="92">
        <v>45989.573136574072</v>
      </c>
    </row>
    <row r="160" spans="1:7" x14ac:dyDescent="0.2">
      <c r="A160" t="s">
        <v>1087</v>
      </c>
      <c r="B160">
        <v>36.200000000000003</v>
      </c>
      <c r="C160">
        <v>42.5</v>
      </c>
      <c r="D160">
        <v>44.5</v>
      </c>
      <c r="E160">
        <v>7.6</v>
      </c>
      <c r="F160" t="s">
        <v>210</v>
      </c>
      <c r="G160" s="92">
        <v>45989.573449074072</v>
      </c>
    </row>
    <row r="161" spans="1:7" x14ac:dyDescent="0.2">
      <c r="A161" t="s">
        <v>315</v>
      </c>
      <c r="B161">
        <v>31.5</v>
      </c>
      <c r="C161">
        <v>22.2</v>
      </c>
      <c r="D161">
        <v>43.3</v>
      </c>
      <c r="E161">
        <v>10</v>
      </c>
      <c r="F161" t="s">
        <v>210</v>
      </c>
      <c r="G161" s="92">
        <v>45988.649988425925</v>
      </c>
    </row>
    <row r="162" spans="1:7" x14ac:dyDescent="0.2">
      <c r="A162" t="s">
        <v>316</v>
      </c>
      <c r="B162">
        <v>34.5</v>
      </c>
      <c r="C162">
        <v>27.6</v>
      </c>
      <c r="D162">
        <v>40.799999999999997</v>
      </c>
      <c r="E162">
        <v>9.4</v>
      </c>
      <c r="F162" t="s">
        <v>210</v>
      </c>
      <c r="G162" s="92">
        <v>45988.65047453704</v>
      </c>
    </row>
    <row r="163" spans="1:7" x14ac:dyDescent="0.2">
      <c r="A163" t="s">
        <v>314</v>
      </c>
      <c r="B163">
        <v>31.1</v>
      </c>
      <c r="C163">
        <v>20.2</v>
      </c>
      <c r="D163">
        <v>40.799999999999997</v>
      </c>
      <c r="E163">
        <v>11.1</v>
      </c>
      <c r="F163" t="s">
        <v>210</v>
      </c>
      <c r="G163" s="92">
        <v>45988.588773148149</v>
      </c>
    </row>
    <row r="164" spans="1:7" x14ac:dyDescent="0.2">
      <c r="A164" t="s">
        <v>1084</v>
      </c>
      <c r="B164">
        <v>19.100000000000001</v>
      </c>
      <c r="C164">
        <v>18.5</v>
      </c>
      <c r="D164">
        <v>25.7</v>
      </c>
      <c r="E164">
        <v>1.5</v>
      </c>
      <c r="F164" t="s">
        <v>210</v>
      </c>
      <c r="G164" s="92">
        <v>45987.646331018521</v>
      </c>
    </row>
    <row r="165" spans="1:7" x14ac:dyDescent="0.2">
      <c r="A165" t="s">
        <v>1086</v>
      </c>
      <c r="B165">
        <v>24</v>
      </c>
      <c r="C165">
        <v>25.5</v>
      </c>
      <c r="D165">
        <v>30.8</v>
      </c>
      <c r="E165">
        <v>2.9</v>
      </c>
      <c r="F165" t="s">
        <v>210</v>
      </c>
      <c r="G165" s="92">
        <v>45987.646689814814</v>
      </c>
    </row>
    <row r="166" spans="1:7" x14ac:dyDescent="0.2">
      <c r="A166" t="s">
        <v>1085</v>
      </c>
      <c r="B166">
        <v>47</v>
      </c>
      <c r="C166">
        <v>33.5</v>
      </c>
      <c r="D166">
        <v>47.1</v>
      </c>
      <c r="E166">
        <v>6.2</v>
      </c>
      <c r="F166" t="s">
        <v>210</v>
      </c>
      <c r="G166" s="92">
        <v>45987.495925925927</v>
      </c>
    </row>
    <row r="167" spans="1:7" x14ac:dyDescent="0.2">
      <c r="A167" t="s">
        <v>713</v>
      </c>
      <c r="B167">
        <v>26.7</v>
      </c>
      <c r="C167">
        <v>34.700000000000003</v>
      </c>
      <c r="D167">
        <v>79.599999999999994</v>
      </c>
      <c r="E167">
        <v>8.6</v>
      </c>
      <c r="F167" t="s">
        <v>210</v>
      </c>
      <c r="G167" s="92">
        <v>45987.490393518521</v>
      </c>
    </row>
    <row r="168" spans="1:7" x14ac:dyDescent="0.2">
      <c r="A168" t="s">
        <v>709</v>
      </c>
      <c r="B168">
        <v>29.4</v>
      </c>
      <c r="C168">
        <v>20.9</v>
      </c>
      <c r="D168">
        <v>42</v>
      </c>
      <c r="E168">
        <v>16.2</v>
      </c>
      <c r="F168" t="s">
        <v>210</v>
      </c>
      <c r="G168" s="92">
        <v>45987.468761574077</v>
      </c>
    </row>
    <row r="169" spans="1:7" x14ac:dyDescent="0.2">
      <c r="A169" t="s">
        <v>708</v>
      </c>
      <c r="B169">
        <v>31.2</v>
      </c>
      <c r="C169">
        <v>25.6</v>
      </c>
      <c r="D169">
        <v>50.3</v>
      </c>
      <c r="E169">
        <v>14.9</v>
      </c>
      <c r="F169" t="s">
        <v>210</v>
      </c>
      <c r="G169" s="92">
        <v>45987.468344907407</v>
      </c>
    </row>
    <row r="170" spans="1:7" x14ac:dyDescent="0.2">
      <c r="A170" t="s">
        <v>710</v>
      </c>
      <c r="B170">
        <v>30.7</v>
      </c>
      <c r="C170">
        <v>18.399999999999999</v>
      </c>
      <c r="D170">
        <v>42.5</v>
      </c>
      <c r="E170">
        <v>3.7</v>
      </c>
      <c r="F170" t="s">
        <v>210</v>
      </c>
      <c r="G170" s="92">
        <v>45987.469097222223</v>
      </c>
    </row>
    <row r="171" spans="1:7" x14ac:dyDescent="0.2">
      <c r="A171" t="s">
        <v>712</v>
      </c>
      <c r="B171">
        <v>35</v>
      </c>
      <c r="C171">
        <v>38</v>
      </c>
      <c r="D171">
        <v>53.8</v>
      </c>
      <c r="E171">
        <v>5</v>
      </c>
      <c r="F171" t="s">
        <v>210</v>
      </c>
      <c r="G171" s="92">
        <v>45987.47</v>
      </c>
    </row>
    <row r="172" spans="1:7" x14ac:dyDescent="0.2">
      <c r="A172" t="s">
        <v>711</v>
      </c>
      <c r="B172">
        <v>35</v>
      </c>
      <c r="C172">
        <v>38</v>
      </c>
      <c r="D172">
        <v>53.3</v>
      </c>
      <c r="E172">
        <v>5.3</v>
      </c>
      <c r="F172" t="s">
        <v>210</v>
      </c>
      <c r="G172" s="92">
        <v>45987.469571759262</v>
      </c>
    </row>
    <row r="173" spans="1:7" x14ac:dyDescent="0.2">
      <c r="A173" t="s">
        <v>707</v>
      </c>
      <c r="B173">
        <v>29.9</v>
      </c>
      <c r="C173">
        <v>18.600000000000001</v>
      </c>
      <c r="D173">
        <v>41.3</v>
      </c>
      <c r="E173">
        <v>8</v>
      </c>
      <c r="F173" t="s">
        <v>210</v>
      </c>
      <c r="G173" s="92">
        <v>45987.467951388891</v>
      </c>
    </row>
    <row r="174" spans="1:7" x14ac:dyDescent="0.2">
      <c r="A174" t="s">
        <v>892</v>
      </c>
      <c r="B174">
        <v>26.1</v>
      </c>
      <c r="C174">
        <v>27.5</v>
      </c>
      <c r="D174">
        <v>42.6</v>
      </c>
      <c r="E174">
        <v>4.3</v>
      </c>
      <c r="F174" t="s">
        <v>210</v>
      </c>
      <c r="G174" s="92">
        <v>45986.708240740743</v>
      </c>
    </row>
    <row r="175" spans="1:7" x14ac:dyDescent="0.2">
      <c r="A175" t="s">
        <v>891</v>
      </c>
      <c r="B175">
        <v>26.2</v>
      </c>
      <c r="C175">
        <v>27.5</v>
      </c>
      <c r="D175">
        <v>42.8</v>
      </c>
      <c r="E175">
        <v>4.0999999999999996</v>
      </c>
      <c r="F175" t="s">
        <v>210</v>
      </c>
      <c r="G175" s="92">
        <v>45986.707905092589</v>
      </c>
    </row>
    <row r="176" spans="1:7" x14ac:dyDescent="0.2">
      <c r="A176" t="s">
        <v>890</v>
      </c>
      <c r="B176">
        <v>26.3</v>
      </c>
      <c r="C176">
        <v>26.9</v>
      </c>
      <c r="D176">
        <v>42.8</v>
      </c>
      <c r="E176">
        <v>4.3</v>
      </c>
      <c r="F176" t="s">
        <v>210</v>
      </c>
      <c r="G176" s="92">
        <v>45986.707592592589</v>
      </c>
    </row>
    <row r="177" spans="1:7" x14ac:dyDescent="0.2">
      <c r="A177" t="s">
        <v>889</v>
      </c>
      <c r="B177">
        <v>26.3</v>
      </c>
      <c r="C177">
        <v>27.3</v>
      </c>
      <c r="D177">
        <v>42.3</v>
      </c>
      <c r="E177">
        <v>4.2</v>
      </c>
      <c r="F177" t="s">
        <v>210</v>
      </c>
      <c r="G177" s="92">
        <v>45986.707303240742</v>
      </c>
    </row>
    <row r="178" spans="1:7" x14ac:dyDescent="0.2">
      <c r="A178" t="s">
        <v>888</v>
      </c>
      <c r="B178">
        <v>26.7</v>
      </c>
      <c r="C178">
        <v>26.8</v>
      </c>
      <c r="D178">
        <v>35.6</v>
      </c>
      <c r="E178">
        <v>15.8</v>
      </c>
      <c r="F178" t="s">
        <v>210</v>
      </c>
      <c r="G178" s="92">
        <v>45986.475069444445</v>
      </c>
    </row>
    <row r="179" spans="1:7" x14ac:dyDescent="0.2">
      <c r="A179" t="s">
        <v>886</v>
      </c>
      <c r="B179">
        <v>22.1</v>
      </c>
      <c r="C179">
        <v>21.6</v>
      </c>
      <c r="D179">
        <v>31.6</v>
      </c>
      <c r="E179">
        <v>0.5</v>
      </c>
      <c r="F179" t="s">
        <v>210</v>
      </c>
      <c r="G179" s="92">
        <v>45986.473124999997</v>
      </c>
    </row>
    <row r="180" spans="1:7" x14ac:dyDescent="0.2">
      <c r="A180" t="s">
        <v>887</v>
      </c>
      <c r="B180">
        <v>17.5</v>
      </c>
      <c r="C180">
        <v>24.6</v>
      </c>
      <c r="D180">
        <v>20.100000000000001</v>
      </c>
      <c r="E180">
        <v>0.8</v>
      </c>
      <c r="F180" t="s">
        <v>210</v>
      </c>
      <c r="G180" s="92">
        <v>45986.473460648151</v>
      </c>
    </row>
    <row r="181" spans="1:7" x14ac:dyDescent="0.2">
      <c r="A181" t="s">
        <v>706</v>
      </c>
      <c r="B181">
        <v>34.799999999999997</v>
      </c>
      <c r="C181">
        <v>19.2</v>
      </c>
      <c r="D181">
        <v>14.1</v>
      </c>
      <c r="E181">
        <v>1.6</v>
      </c>
      <c r="F181" t="s">
        <v>216</v>
      </c>
      <c r="G181" s="92">
        <v>45983.471574074072</v>
      </c>
    </row>
    <row r="182" spans="1:7" x14ac:dyDescent="0.2">
      <c r="A182" t="s">
        <v>1327</v>
      </c>
      <c r="B182">
        <v>24.1</v>
      </c>
      <c r="C182">
        <v>35.799999999999997</v>
      </c>
      <c r="D182">
        <v>17.3</v>
      </c>
      <c r="E182">
        <v>1.4</v>
      </c>
      <c r="F182" t="s">
        <v>216</v>
      </c>
      <c r="G182" s="92">
        <v>45982.685312499998</v>
      </c>
    </row>
    <row r="183" spans="1:7" x14ac:dyDescent="0.2">
      <c r="A183" t="s">
        <v>1436</v>
      </c>
      <c r="B183">
        <v>29</v>
      </c>
      <c r="C183">
        <v>40.4</v>
      </c>
      <c r="D183">
        <v>25.4</v>
      </c>
      <c r="E183">
        <v>2.4</v>
      </c>
      <c r="F183" t="s">
        <v>216</v>
      </c>
      <c r="G183" s="92">
        <v>45982.643391203703</v>
      </c>
    </row>
    <row r="184" spans="1:7" x14ac:dyDescent="0.2">
      <c r="A184" t="s">
        <v>1434</v>
      </c>
      <c r="B184">
        <v>51.3</v>
      </c>
      <c r="C184">
        <v>42.1</v>
      </c>
      <c r="D184">
        <v>12.7</v>
      </c>
      <c r="E184">
        <v>3.1</v>
      </c>
      <c r="F184" t="s">
        <v>216</v>
      </c>
      <c r="G184" s="92">
        <v>45982.641979166663</v>
      </c>
    </row>
    <row r="185" spans="1:7" x14ac:dyDescent="0.2">
      <c r="A185" t="s">
        <v>1435</v>
      </c>
      <c r="B185">
        <v>30.8</v>
      </c>
      <c r="C185">
        <v>31.2</v>
      </c>
      <c r="D185">
        <v>52.3</v>
      </c>
      <c r="E185">
        <v>24</v>
      </c>
      <c r="F185" t="s">
        <v>216</v>
      </c>
      <c r="G185" s="92">
        <v>45982.642754629633</v>
      </c>
    </row>
    <row r="186" spans="1:7" x14ac:dyDescent="0.2">
      <c r="A186" t="s">
        <v>1236</v>
      </c>
      <c r="B186">
        <v>37.200000000000003</v>
      </c>
      <c r="C186">
        <v>40.1</v>
      </c>
      <c r="D186">
        <v>32</v>
      </c>
      <c r="E186">
        <v>3.5</v>
      </c>
      <c r="F186" t="s">
        <v>216</v>
      </c>
      <c r="G186" s="92">
        <v>45982.593692129631</v>
      </c>
    </row>
    <row r="187" spans="1:7" x14ac:dyDescent="0.2">
      <c r="A187" t="s">
        <v>705</v>
      </c>
      <c r="B187">
        <v>43</v>
      </c>
      <c r="C187">
        <v>54.8</v>
      </c>
      <c r="D187">
        <v>38.1</v>
      </c>
      <c r="E187">
        <v>7.3</v>
      </c>
      <c r="F187" t="s">
        <v>216</v>
      </c>
      <c r="G187" s="92">
        <v>45982.495300925926</v>
      </c>
    </row>
    <row r="188" spans="1:7" x14ac:dyDescent="0.2">
      <c r="A188" t="s">
        <v>703</v>
      </c>
      <c r="B188">
        <v>25.2</v>
      </c>
      <c r="C188">
        <v>25.9</v>
      </c>
      <c r="D188">
        <v>26.1</v>
      </c>
      <c r="E188">
        <v>1.2</v>
      </c>
      <c r="F188" t="s">
        <v>216</v>
      </c>
      <c r="G188" s="92">
        <v>45982.493125000001</v>
      </c>
    </row>
    <row r="189" spans="1:7" x14ac:dyDescent="0.2">
      <c r="A189" t="s">
        <v>704</v>
      </c>
      <c r="B189">
        <v>33.6</v>
      </c>
      <c r="C189">
        <v>38.700000000000003</v>
      </c>
      <c r="D189">
        <v>28.5</v>
      </c>
      <c r="E189">
        <v>1.4</v>
      </c>
      <c r="F189" t="s">
        <v>216</v>
      </c>
      <c r="G189" s="92">
        <v>45982.493946759256</v>
      </c>
    </row>
    <row r="190" spans="1:7" x14ac:dyDescent="0.2">
      <c r="A190" t="s">
        <v>1433</v>
      </c>
      <c r="B190">
        <v>21.6</v>
      </c>
      <c r="C190">
        <v>34.4</v>
      </c>
      <c r="D190">
        <v>39.5</v>
      </c>
      <c r="E190">
        <v>7.2</v>
      </c>
      <c r="F190" t="s">
        <v>210</v>
      </c>
      <c r="G190" s="92">
        <v>45981.70815972222</v>
      </c>
    </row>
    <row r="191" spans="1:7" x14ac:dyDescent="0.2">
      <c r="A191" t="s">
        <v>885</v>
      </c>
      <c r="B191">
        <v>22.8</v>
      </c>
      <c r="C191">
        <v>10.8</v>
      </c>
      <c r="D191">
        <v>32</v>
      </c>
      <c r="E191">
        <v>3.5</v>
      </c>
      <c r="F191" t="s">
        <v>210</v>
      </c>
      <c r="G191" s="92">
        <v>45981.554108796299</v>
      </c>
    </row>
    <row r="192" spans="1:7" x14ac:dyDescent="0.2">
      <c r="A192" t="s">
        <v>884</v>
      </c>
      <c r="B192">
        <v>29.7</v>
      </c>
      <c r="C192">
        <v>34.700000000000003</v>
      </c>
      <c r="D192">
        <v>27.9</v>
      </c>
      <c r="E192">
        <v>5.3</v>
      </c>
      <c r="F192" t="s">
        <v>210</v>
      </c>
      <c r="G192" s="92">
        <v>45981.551770833335</v>
      </c>
    </row>
    <row r="193" spans="1:7" x14ac:dyDescent="0.2">
      <c r="A193" t="s">
        <v>883</v>
      </c>
      <c r="B193">
        <v>14.5</v>
      </c>
      <c r="C193">
        <v>14.1</v>
      </c>
      <c r="D193">
        <v>22.8</v>
      </c>
      <c r="E193">
        <v>0.3</v>
      </c>
      <c r="F193" t="s">
        <v>210</v>
      </c>
      <c r="G193" s="92">
        <v>45981.551134259258</v>
      </c>
    </row>
    <row r="194" spans="1:7" x14ac:dyDescent="0.2">
      <c r="A194" t="s">
        <v>881</v>
      </c>
      <c r="B194">
        <v>20.9</v>
      </c>
      <c r="C194">
        <v>19.8</v>
      </c>
      <c r="D194">
        <v>33</v>
      </c>
      <c r="E194">
        <v>1.9</v>
      </c>
      <c r="F194" t="s">
        <v>210</v>
      </c>
      <c r="G194" s="92">
        <v>45981.477951388886</v>
      </c>
    </row>
    <row r="195" spans="1:7" x14ac:dyDescent="0.2">
      <c r="A195" t="s">
        <v>882</v>
      </c>
      <c r="B195">
        <v>26.1</v>
      </c>
      <c r="C195">
        <v>74.3</v>
      </c>
      <c r="D195">
        <v>61.2</v>
      </c>
      <c r="E195">
        <v>8.3000000000000007</v>
      </c>
      <c r="F195" t="s">
        <v>210</v>
      </c>
      <c r="G195" s="92">
        <v>45981.550011574072</v>
      </c>
    </row>
    <row r="196" spans="1:7" x14ac:dyDescent="0.2">
      <c r="A196" t="s">
        <v>702</v>
      </c>
      <c r="B196">
        <v>35.5</v>
      </c>
      <c r="C196">
        <v>33.9</v>
      </c>
      <c r="D196">
        <v>35.6</v>
      </c>
      <c r="E196">
        <v>8.3000000000000007</v>
      </c>
      <c r="F196" t="s">
        <v>695</v>
      </c>
      <c r="G196" s="92">
        <v>45980.59578703704</v>
      </c>
    </row>
    <row r="197" spans="1:7" x14ac:dyDescent="0.2">
      <c r="A197" t="s">
        <v>1326</v>
      </c>
      <c r="B197">
        <v>30.5</v>
      </c>
      <c r="C197">
        <v>17.3</v>
      </c>
      <c r="D197">
        <v>35</v>
      </c>
      <c r="E197">
        <v>2.4</v>
      </c>
      <c r="F197" t="s">
        <v>695</v>
      </c>
      <c r="G197" s="92">
        <v>45980.583287037036</v>
      </c>
    </row>
    <row r="198" spans="1:7" x14ac:dyDescent="0.2">
      <c r="A198" t="s">
        <v>701</v>
      </c>
      <c r="B198">
        <v>25.1</v>
      </c>
      <c r="C198">
        <v>26.5</v>
      </c>
      <c r="D198">
        <v>23.1</v>
      </c>
      <c r="E198">
        <v>0.4</v>
      </c>
      <c r="F198" t="s">
        <v>695</v>
      </c>
      <c r="G198" s="92">
        <v>45980.574444444443</v>
      </c>
    </row>
    <row r="199" spans="1:7" x14ac:dyDescent="0.2">
      <c r="A199" t="s">
        <v>1432</v>
      </c>
      <c r="B199">
        <v>31.4</v>
      </c>
      <c r="C199">
        <v>13</v>
      </c>
      <c r="D199">
        <v>28.4</v>
      </c>
      <c r="E199">
        <v>1.3</v>
      </c>
      <c r="F199" t="s">
        <v>695</v>
      </c>
      <c r="G199" s="92">
        <v>45980.55746527778</v>
      </c>
    </row>
    <row r="200" spans="1:7" x14ac:dyDescent="0.2">
      <c r="A200" t="s">
        <v>1431</v>
      </c>
      <c r="B200">
        <v>30.7</v>
      </c>
      <c r="C200">
        <v>14.6</v>
      </c>
      <c r="D200">
        <v>28.7</v>
      </c>
      <c r="E200">
        <v>1.3</v>
      </c>
      <c r="F200" t="s">
        <v>695</v>
      </c>
      <c r="G200" s="92">
        <v>45980.557129629633</v>
      </c>
    </row>
    <row r="201" spans="1:7" x14ac:dyDescent="0.2">
      <c r="A201" t="s">
        <v>1083</v>
      </c>
      <c r="B201">
        <v>27.9</v>
      </c>
      <c r="C201">
        <v>18.399999999999999</v>
      </c>
      <c r="D201">
        <v>51.6</v>
      </c>
      <c r="E201">
        <v>12.3</v>
      </c>
      <c r="F201" t="s">
        <v>695</v>
      </c>
      <c r="G201" s="92">
        <v>45980.567986111113</v>
      </c>
    </row>
    <row r="202" spans="1:7" x14ac:dyDescent="0.2">
      <c r="A202" t="s">
        <v>1082</v>
      </c>
      <c r="B202">
        <v>41.2</v>
      </c>
      <c r="C202">
        <v>17.3</v>
      </c>
      <c r="D202">
        <v>56.5</v>
      </c>
      <c r="E202">
        <v>13.3</v>
      </c>
      <c r="F202" t="s">
        <v>310</v>
      </c>
      <c r="G202" s="92">
        <v>45979.644918981481</v>
      </c>
    </row>
    <row r="203" spans="1:7" x14ac:dyDescent="0.2">
      <c r="A203" t="s">
        <v>1081</v>
      </c>
      <c r="B203">
        <v>25.5</v>
      </c>
      <c r="C203">
        <v>13</v>
      </c>
      <c r="D203">
        <v>33.700000000000003</v>
      </c>
      <c r="E203">
        <v>3.3</v>
      </c>
      <c r="F203" t="s">
        <v>310</v>
      </c>
      <c r="G203" s="92">
        <v>45979.644317129627</v>
      </c>
    </row>
    <row r="204" spans="1:7" x14ac:dyDescent="0.2">
      <c r="A204" t="s">
        <v>1080</v>
      </c>
      <c r="B204">
        <v>41.8</v>
      </c>
      <c r="C204">
        <v>12.5</v>
      </c>
      <c r="D204">
        <v>51.2</v>
      </c>
      <c r="E204">
        <v>6.2</v>
      </c>
      <c r="F204" t="s">
        <v>310</v>
      </c>
      <c r="G204" s="92">
        <v>45979.643680555557</v>
      </c>
    </row>
    <row r="205" spans="1:7" x14ac:dyDescent="0.2">
      <c r="A205" t="s">
        <v>1235</v>
      </c>
      <c r="B205">
        <v>30.9</v>
      </c>
      <c r="C205">
        <v>28.2</v>
      </c>
      <c r="D205">
        <v>40.4</v>
      </c>
      <c r="E205">
        <v>6.5</v>
      </c>
      <c r="F205" t="s">
        <v>310</v>
      </c>
      <c r="G205" s="92">
        <v>45979.476041666669</v>
      </c>
    </row>
    <row r="206" spans="1:7" x14ac:dyDescent="0.2">
      <c r="A206" t="s">
        <v>1168</v>
      </c>
      <c r="B206">
        <v>25.6</v>
      </c>
      <c r="C206">
        <v>22.4</v>
      </c>
      <c r="D206">
        <v>35.1</v>
      </c>
      <c r="E206">
        <v>1.5</v>
      </c>
      <c r="F206" t="s">
        <v>310</v>
      </c>
      <c r="G206" s="92">
        <v>45979.438356481478</v>
      </c>
    </row>
    <row r="207" spans="1:7" x14ac:dyDescent="0.2">
      <c r="A207" t="s">
        <v>700</v>
      </c>
      <c r="B207">
        <v>37.1</v>
      </c>
      <c r="C207">
        <v>39.9</v>
      </c>
      <c r="D207">
        <v>37.1</v>
      </c>
      <c r="E207">
        <v>22.1</v>
      </c>
      <c r="F207" t="s">
        <v>310</v>
      </c>
      <c r="G207" s="92">
        <v>45978.495335648149</v>
      </c>
    </row>
    <row r="208" spans="1:7" x14ac:dyDescent="0.2">
      <c r="A208" t="s">
        <v>698</v>
      </c>
      <c r="B208">
        <v>14.7</v>
      </c>
      <c r="C208">
        <v>13.3</v>
      </c>
      <c r="D208">
        <v>23</v>
      </c>
      <c r="E208">
        <v>0.4</v>
      </c>
      <c r="F208" t="s">
        <v>310</v>
      </c>
      <c r="G208" s="92">
        <v>45978.463564814818</v>
      </c>
    </row>
    <row r="209" spans="1:7" x14ac:dyDescent="0.2">
      <c r="A209" t="s">
        <v>696</v>
      </c>
      <c r="B209">
        <v>34.200000000000003</v>
      </c>
      <c r="C209">
        <v>16.100000000000001</v>
      </c>
      <c r="D209">
        <v>32.6</v>
      </c>
      <c r="E209">
        <v>1.4</v>
      </c>
      <c r="F209" t="s">
        <v>695</v>
      </c>
      <c r="G209" s="92">
        <v>45976.564351851855</v>
      </c>
    </row>
    <row r="210" spans="1:7" x14ac:dyDescent="0.2">
      <c r="A210" t="s">
        <v>697</v>
      </c>
      <c r="B210">
        <v>39.9</v>
      </c>
      <c r="C210">
        <v>20</v>
      </c>
      <c r="D210">
        <v>35.299999999999997</v>
      </c>
      <c r="E210">
        <v>2.9</v>
      </c>
      <c r="F210" t="s">
        <v>695</v>
      </c>
      <c r="G210" s="92">
        <v>45976.557013888887</v>
      </c>
    </row>
    <row r="211" spans="1:7" x14ac:dyDescent="0.2">
      <c r="A211" t="s">
        <v>699</v>
      </c>
      <c r="B211">
        <v>34.5</v>
      </c>
      <c r="C211">
        <v>15.9</v>
      </c>
      <c r="D211">
        <v>32.5</v>
      </c>
      <c r="E211">
        <v>1.4</v>
      </c>
      <c r="F211" t="s">
        <v>695</v>
      </c>
      <c r="G211" s="92">
        <v>45976.563726851855</v>
      </c>
    </row>
    <row r="212" spans="1:7" x14ac:dyDescent="0.2">
      <c r="A212" t="s">
        <v>694</v>
      </c>
      <c r="B212">
        <v>35.4</v>
      </c>
      <c r="C212">
        <v>20.6</v>
      </c>
      <c r="D212">
        <v>39.5</v>
      </c>
      <c r="E212">
        <v>2.9</v>
      </c>
      <c r="F212" t="s">
        <v>695</v>
      </c>
      <c r="G212" s="92">
        <v>45976.556504629632</v>
      </c>
    </row>
    <row r="213" spans="1:7" x14ac:dyDescent="0.2">
      <c r="A213" t="s">
        <v>1167</v>
      </c>
      <c r="B213">
        <v>54.1</v>
      </c>
      <c r="C213">
        <v>38.5</v>
      </c>
      <c r="D213">
        <v>37.299999999999997</v>
      </c>
      <c r="E213">
        <v>16.7</v>
      </c>
      <c r="F213" t="s">
        <v>695</v>
      </c>
      <c r="G213" s="92">
        <v>45976.571342592593</v>
      </c>
    </row>
    <row r="214" spans="1:7" x14ac:dyDescent="0.2">
      <c r="A214" t="s">
        <v>1430</v>
      </c>
      <c r="B214">
        <v>51.3</v>
      </c>
      <c r="C214">
        <v>12.6</v>
      </c>
      <c r="D214">
        <v>41.9</v>
      </c>
      <c r="E214">
        <v>13.3</v>
      </c>
      <c r="F214" t="s">
        <v>695</v>
      </c>
      <c r="G214" s="92">
        <v>45976.462071759262</v>
      </c>
    </row>
    <row r="215" spans="1:7" x14ac:dyDescent="0.2">
      <c r="A215" t="s">
        <v>1374</v>
      </c>
      <c r="B215">
        <v>36.6</v>
      </c>
      <c r="C215">
        <v>26.3</v>
      </c>
      <c r="D215">
        <v>47.6</v>
      </c>
      <c r="E215">
        <v>7.9</v>
      </c>
      <c r="F215" t="s">
        <v>310</v>
      </c>
      <c r="G215" s="92">
        <v>45975.594166666669</v>
      </c>
    </row>
    <row r="216" spans="1:7" x14ac:dyDescent="0.2">
      <c r="A216" t="s">
        <v>1166</v>
      </c>
      <c r="B216">
        <v>36.5</v>
      </c>
      <c r="C216">
        <v>25.9</v>
      </c>
      <c r="D216">
        <v>47.6</v>
      </c>
      <c r="E216">
        <v>4.5999999999999996</v>
      </c>
      <c r="F216" t="s">
        <v>310</v>
      </c>
      <c r="G216" s="92">
        <v>45974.705243055556</v>
      </c>
    </row>
    <row r="217" spans="1:7" x14ac:dyDescent="0.2">
      <c r="A217" t="s">
        <v>1165</v>
      </c>
      <c r="B217">
        <v>30</v>
      </c>
      <c r="C217">
        <v>32.799999999999997</v>
      </c>
      <c r="D217">
        <v>34.299999999999997</v>
      </c>
      <c r="E217">
        <v>4.3</v>
      </c>
      <c r="F217" t="s">
        <v>310</v>
      </c>
      <c r="G217" s="92">
        <v>45974.704502314817</v>
      </c>
    </row>
    <row r="218" spans="1:7" x14ac:dyDescent="0.2">
      <c r="A218" t="s">
        <v>1164</v>
      </c>
      <c r="B218">
        <v>30.1</v>
      </c>
      <c r="C218">
        <v>32.799999999999997</v>
      </c>
      <c r="D218">
        <v>34.4</v>
      </c>
      <c r="E218">
        <v>4.2</v>
      </c>
      <c r="F218" t="s">
        <v>310</v>
      </c>
      <c r="G218" s="92">
        <v>45974.704062500001</v>
      </c>
    </row>
    <row r="219" spans="1:7" x14ac:dyDescent="0.2">
      <c r="A219" t="s">
        <v>1163</v>
      </c>
      <c r="B219">
        <v>27.6</v>
      </c>
      <c r="C219">
        <v>39.9</v>
      </c>
      <c r="D219">
        <v>37.4</v>
      </c>
      <c r="E219">
        <v>5.7</v>
      </c>
      <c r="F219" t="s">
        <v>310</v>
      </c>
      <c r="G219" s="92">
        <v>45974.703009259261</v>
      </c>
    </row>
    <row r="220" spans="1:7" x14ac:dyDescent="0.2">
      <c r="A220" t="s">
        <v>1162</v>
      </c>
      <c r="B220">
        <v>34.1</v>
      </c>
      <c r="C220">
        <v>39</v>
      </c>
      <c r="D220">
        <v>39.200000000000003</v>
      </c>
      <c r="E220">
        <v>4.5999999999999996</v>
      </c>
      <c r="F220" t="s">
        <v>310</v>
      </c>
      <c r="G220" s="92">
        <v>45974.701631944445</v>
      </c>
    </row>
    <row r="221" spans="1:7" x14ac:dyDescent="0.2">
      <c r="A221" t="s">
        <v>693</v>
      </c>
      <c r="B221">
        <v>42.1</v>
      </c>
      <c r="C221">
        <v>54.2</v>
      </c>
      <c r="D221">
        <v>51.6</v>
      </c>
      <c r="E221">
        <v>9</v>
      </c>
      <c r="F221" t="s">
        <v>310</v>
      </c>
      <c r="G221" s="92">
        <v>45974.570763888885</v>
      </c>
    </row>
    <row r="222" spans="1:7" x14ac:dyDescent="0.2">
      <c r="A222" t="s">
        <v>692</v>
      </c>
      <c r="B222">
        <v>41.9</v>
      </c>
      <c r="C222">
        <v>54.2</v>
      </c>
      <c r="D222">
        <v>52.2</v>
      </c>
      <c r="E222">
        <v>15.2</v>
      </c>
      <c r="F222" t="s">
        <v>310</v>
      </c>
      <c r="G222" s="92">
        <v>45974.569699074076</v>
      </c>
    </row>
    <row r="223" spans="1:7" x14ac:dyDescent="0.2">
      <c r="A223" t="s">
        <v>691</v>
      </c>
      <c r="B223">
        <v>32.5</v>
      </c>
      <c r="C223">
        <v>18.600000000000001</v>
      </c>
      <c r="D223">
        <v>37.700000000000003</v>
      </c>
      <c r="E223">
        <v>16.399999999999999</v>
      </c>
      <c r="F223" t="s">
        <v>310</v>
      </c>
      <c r="G223" s="92">
        <v>45974.568159722221</v>
      </c>
    </row>
    <row r="224" spans="1:7" x14ac:dyDescent="0.2">
      <c r="A224" t="s">
        <v>689</v>
      </c>
      <c r="B224">
        <v>30.3</v>
      </c>
      <c r="C224">
        <v>24.8</v>
      </c>
      <c r="D224">
        <v>47.3</v>
      </c>
      <c r="E224">
        <v>6.6</v>
      </c>
      <c r="F224" t="s">
        <v>310</v>
      </c>
      <c r="G224" s="92">
        <v>45974.560983796298</v>
      </c>
    </row>
    <row r="225" spans="1:7" x14ac:dyDescent="0.2">
      <c r="A225" t="s">
        <v>1371</v>
      </c>
      <c r="B225">
        <v>38</v>
      </c>
      <c r="C225">
        <v>33.299999999999997</v>
      </c>
      <c r="D225">
        <v>37.200000000000003</v>
      </c>
      <c r="E225">
        <v>4.4000000000000004</v>
      </c>
      <c r="F225" t="s">
        <v>310</v>
      </c>
      <c r="G225" s="92">
        <v>45973.667442129627</v>
      </c>
    </row>
    <row r="226" spans="1:7" x14ac:dyDescent="0.2">
      <c r="A226" t="s">
        <v>1372</v>
      </c>
      <c r="B226">
        <v>26.6</v>
      </c>
      <c r="C226">
        <v>29.6</v>
      </c>
      <c r="D226">
        <v>35.6</v>
      </c>
      <c r="E226">
        <v>1.7</v>
      </c>
      <c r="F226" t="s">
        <v>310</v>
      </c>
      <c r="G226" s="92">
        <v>45973.668287037035</v>
      </c>
    </row>
    <row r="227" spans="1:7" x14ac:dyDescent="0.2">
      <c r="A227" t="s">
        <v>1373</v>
      </c>
      <c r="B227">
        <v>40.200000000000003</v>
      </c>
      <c r="C227">
        <v>29.3</v>
      </c>
      <c r="D227">
        <v>59.1</v>
      </c>
      <c r="E227">
        <v>3.2</v>
      </c>
      <c r="F227" t="s">
        <v>310</v>
      </c>
      <c r="G227" s="92">
        <v>45973.668946759259</v>
      </c>
    </row>
    <row r="228" spans="1:7" x14ac:dyDescent="0.2">
      <c r="A228" t="s">
        <v>690</v>
      </c>
      <c r="B228">
        <v>36</v>
      </c>
      <c r="C228">
        <v>31.5</v>
      </c>
      <c r="D228">
        <v>40.5</v>
      </c>
      <c r="E228">
        <v>6.4</v>
      </c>
      <c r="F228" t="s">
        <v>310</v>
      </c>
      <c r="G228" s="92">
        <v>45973.461273148147</v>
      </c>
    </row>
    <row r="229" spans="1:7" x14ac:dyDescent="0.2">
      <c r="A229" t="s">
        <v>1370</v>
      </c>
      <c r="B229">
        <v>19.8</v>
      </c>
      <c r="C229">
        <v>16.2</v>
      </c>
      <c r="D229">
        <v>27.3</v>
      </c>
      <c r="E229">
        <v>0.5</v>
      </c>
      <c r="F229" t="s">
        <v>310</v>
      </c>
      <c r="G229" s="92">
        <v>45972.682696759257</v>
      </c>
    </row>
    <row r="230" spans="1:7" x14ac:dyDescent="0.2">
      <c r="A230" t="s">
        <v>1369</v>
      </c>
      <c r="B230">
        <v>22.8</v>
      </c>
      <c r="C230">
        <v>16.100000000000001</v>
      </c>
      <c r="D230">
        <v>26.4</v>
      </c>
      <c r="E230">
        <v>1.7</v>
      </c>
      <c r="F230" t="s">
        <v>310</v>
      </c>
      <c r="G230" s="92">
        <v>45972.681238425925</v>
      </c>
    </row>
    <row r="231" spans="1:7" x14ac:dyDescent="0.2">
      <c r="A231" t="s">
        <v>1325</v>
      </c>
      <c r="B231">
        <v>35.200000000000003</v>
      </c>
      <c r="C231">
        <v>35.6</v>
      </c>
      <c r="D231">
        <v>35.1</v>
      </c>
      <c r="E231">
        <v>15.8</v>
      </c>
      <c r="F231" t="s">
        <v>310</v>
      </c>
      <c r="G231" s="92">
        <v>45972.591446759259</v>
      </c>
    </row>
    <row r="232" spans="1:7" x14ac:dyDescent="0.2">
      <c r="A232" t="s">
        <v>880</v>
      </c>
      <c r="B232">
        <v>37.200000000000003</v>
      </c>
      <c r="C232">
        <v>32.4</v>
      </c>
      <c r="D232">
        <v>43.2</v>
      </c>
      <c r="E232">
        <v>12.4</v>
      </c>
      <c r="F232" t="s">
        <v>310</v>
      </c>
      <c r="G232" s="92">
        <v>45972.566087962965</v>
      </c>
    </row>
    <row r="233" spans="1:7" x14ac:dyDescent="0.2">
      <c r="A233" t="s">
        <v>1161</v>
      </c>
      <c r="B233">
        <v>33.299999999999997</v>
      </c>
      <c r="C233">
        <v>29.7</v>
      </c>
      <c r="D233">
        <v>45.7</v>
      </c>
      <c r="E233">
        <v>1.8</v>
      </c>
      <c r="F233" t="s">
        <v>310</v>
      </c>
      <c r="G233" s="92">
        <v>45972.492696759262</v>
      </c>
    </row>
    <row r="234" spans="1:7" x14ac:dyDescent="0.2">
      <c r="A234" t="s">
        <v>313</v>
      </c>
      <c r="B234">
        <v>17.3</v>
      </c>
      <c r="C234">
        <v>13.3</v>
      </c>
      <c r="D234">
        <v>24.1</v>
      </c>
      <c r="E234">
        <v>0.2</v>
      </c>
      <c r="F234" t="s">
        <v>310</v>
      </c>
      <c r="G234" s="92">
        <v>45971.664386574077</v>
      </c>
    </row>
    <row r="235" spans="1:7" x14ac:dyDescent="0.2">
      <c r="A235" t="s">
        <v>311</v>
      </c>
      <c r="B235">
        <v>22.2</v>
      </c>
      <c r="C235">
        <v>13.7</v>
      </c>
      <c r="D235">
        <v>22.5</v>
      </c>
      <c r="E235">
        <v>0.5</v>
      </c>
      <c r="F235" t="s">
        <v>310</v>
      </c>
      <c r="G235" s="92">
        <v>45971.59615740741</v>
      </c>
    </row>
    <row r="236" spans="1:7" x14ac:dyDescent="0.2">
      <c r="A236" t="s">
        <v>312</v>
      </c>
      <c r="B236">
        <v>37</v>
      </c>
      <c r="C236">
        <v>17.100000000000001</v>
      </c>
      <c r="D236">
        <v>58.3</v>
      </c>
      <c r="E236">
        <v>6.2</v>
      </c>
      <c r="F236" t="s">
        <v>310</v>
      </c>
      <c r="G236" s="92">
        <v>45971.59710648148</v>
      </c>
    </row>
    <row r="237" spans="1:7" x14ac:dyDescent="0.2">
      <c r="A237" t="s">
        <v>309</v>
      </c>
      <c r="B237">
        <v>20.5</v>
      </c>
      <c r="C237">
        <v>10.9</v>
      </c>
      <c r="D237">
        <v>26.5</v>
      </c>
      <c r="E237">
        <v>0.9</v>
      </c>
      <c r="F237" t="s">
        <v>310</v>
      </c>
      <c r="G237" s="92">
        <v>45971.549351851849</v>
      </c>
    </row>
    <row r="238" spans="1:7" x14ac:dyDescent="0.2">
      <c r="A238" t="s">
        <v>1429</v>
      </c>
      <c r="B238">
        <v>33.299999999999997</v>
      </c>
      <c r="C238">
        <v>5.7</v>
      </c>
      <c r="D238">
        <v>25.3</v>
      </c>
      <c r="E238">
        <v>0.5</v>
      </c>
      <c r="F238" t="s">
        <v>695</v>
      </c>
      <c r="G238" s="92">
        <v>45969.497581018521</v>
      </c>
    </row>
    <row r="239" spans="1:7" x14ac:dyDescent="0.2">
      <c r="A239" t="s">
        <v>871</v>
      </c>
      <c r="B239">
        <v>21.1</v>
      </c>
      <c r="C239">
        <v>15.5</v>
      </c>
      <c r="D239">
        <v>15.5</v>
      </c>
      <c r="E239">
        <v>0.6</v>
      </c>
      <c r="F239" t="s">
        <v>196</v>
      </c>
      <c r="G239" s="92">
        <v>45968.60497685185</v>
      </c>
    </row>
    <row r="240" spans="1:7" x14ac:dyDescent="0.2">
      <c r="A240" t="s">
        <v>875</v>
      </c>
      <c r="B240">
        <v>59.6</v>
      </c>
      <c r="C240">
        <v>40.4</v>
      </c>
      <c r="D240">
        <v>38.6</v>
      </c>
      <c r="E240">
        <v>17.2</v>
      </c>
      <c r="F240" t="s">
        <v>196</v>
      </c>
      <c r="G240" s="92">
        <v>45968.607187499998</v>
      </c>
    </row>
    <row r="241" spans="1:7" x14ac:dyDescent="0.2">
      <c r="A241" t="s">
        <v>877</v>
      </c>
      <c r="B241">
        <v>60</v>
      </c>
      <c r="C241">
        <v>40.4</v>
      </c>
      <c r="D241">
        <v>38.5</v>
      </c>
      <c r="E241">
        <v>17.100000000000001</v>
      </c>
      <c r="F241" t="s">
        <v>196</v>
      </c>
      <c r="G241" s="92">
        <v>45968.608101851853</v>
      </c>
    </row>
    <row r="242" spans="1:7" x14ac:dyDescent="0.2">
      <c r="A242" t="s">
        <v>874</v>
      </c>
      <c r="B242">
        <v>58.9</v>
      </c>
      <c r="C242">
        <v>40.200000000000003</v>
      </c>
      <c r="D242">
        <v>39.799999999999997</v>
      </c>
      <c r="E242">
        <v>15.9</v>
      </c>
      <c r="F242" t="s">
        <v>196</v>
      </c>
      <c r="G242" s="92">
        <v>45968.606736111113</v>
      </c>
    </row>
    <row r="243" spans="1:7" x14ac:dyDescent="0.2">
      <c r="A243" t="s">
        <v>878</v>
      </c>
      <c r="B243">
        <v>38.200000000000003</v>
      </c>
      <c r="C243">
        <v>37.1</v>
      </c>
      <c r="D243">
        <v>39.200000000000003</v>
      </c>
      <c r="E243">
        <v>11.1</v>
      </c>
      <c r="F243" t="s">
        <v>196</v>
      </c>
      <c r="G243" s="92">
        <v>45968.608599537038</v>
      </c>
    </row>
    <row r="244" spans="1:7" x14ac:dyDescent="0.2">
      <c r="A244" t="s">
        <v>873</v>
      </c>
      <c r="B244">
        <v>59.3</v>
      </c>
      <c r="C244">
        <v>40.299999999999997</v>
      </c>
      <c r="D244">
        <v>38.299999999999997</v>
      </c>
      <c r="E244">
        <v>15.5</v>
      </c>
      <c r="F244" t="s">
        <v>196</v>
      </c>
      <c r="G244" s="92">
        <v>45968.606261574074</v>
      </c>
    </row>
    <row r="245" spans="1:7" x14ac:dyDescent="0.2">
      <c r="A245" t="s">
        <v>876</v>
      </c>
      <c r="B245">
        <v>59</v>
      </c>
      <c r="C245">
        <v>40.6</v>
      </c>
      <c r="D245">
        <v>38.799999999999997</v>
      </c>
      <c r="E245">
        <v>15.6</v>
      </c>
      <c r="F245" t="s">
        <v>196</v>
      </c>
      <c r="G245" s="92">
        <v>45968.607615740744</v>
      </c>
    </row>
    <row r="246" spans="1:7" x14ac:dyDescent="0.2">
      <c r="A246" t="s">
        <v>872</v>
      </c>
      <c r="B246">
        <v>58.9</v>
      </c>
      <c r="C246">
        <v>40.299999999999997</v>
      </c>
      <c r="D246">
        <v>38.6</v>
      </c>
      <c r="E246">
        <v>15.7</v>
      </c>
      <c r="F246" t="s">
        <v>196</v>
      </c>
      <c r="G246" s="92">
        <v>45968.605798611112</v>
      </c>
    </row>
    <row r="247" spans="1:7" x14ac:dyDescent="0.2">
      <c r="A247" t="s">
        <v>879</v>
      </c>
      <c r="B247">
        <v>31</v>
      </c>
      <c r="C247">
        <v>30.8</v>
      </c>
      <c r="D247">
        <v>18.399999999999999</v>
      </c>
      <c r="E247">
        <v>1.9</v>
      </c>
      <c r="F247" t="s">
        <v>196</v>
      </c>
      <c r="G247" s="92">
        <v>45968.60974537037</v>
      </c>
    </row>
    <row r="248" spans="1:7" x14ac:dyDescent="0.2">
      <c r="A248" t="s">
        <v>1160</v>
      </c>
      <c r="B248">
        <v>19.2</v>
      </c>
      <c r="C248">
        <v>54.4</v>
      </c>
      <c r="D248">
        <v>16.100000000000001</v>
      </c>
      <c r="E248">
        <v>0.7</v>
      </c>
      <c r="F248" t="s">
        <v>216</v>
      </c>
      <c r="G248" s="92">
        <v>45967.465196759258</v>
      </c>
    </row>
    <row r="249" spans="1:7" x14ac:dyDescent="0.2">
      <c r="A249" t="s">
        <v>1159</v>
      </c>
      <c r="B249">
        <v>33.799999999999997</v>
      </c>
      <c r="C249">
        <v>39.1</v>
      </c>
      <c r="D249">
        <v>28.9</v>
      </c>
      <c r="E249">
        <v>1.4</v>
      </c>
      <c r="F249" t="s">
        <v>216</v>
      </c>
      <c r="G249" s="92">
        <v>45967.464803240742</v>
      </c>
    </row>
    <row r="250" spans="1:7" x14ac:dyDescent="0.2">
      <c r="A250" t="s">
        <v>1158</v>
      </c>
      <c r="B250">
        <v>51.4</v>
      </c>
      <c r="C250">
        <v>31.3</v>
      </c>
      <c r="D250">
        <v>48.6</v>
      </c>
      <c r="E250">
        <v>8.6999999999999993</v>
      </c>
      <c r="F250" t="s">
        <v>216</v>
      </c>
      <c r="G250" s="92">
        <v>45967.464317129627</v>
      </c>
    </row>
    <row r="251" spans="1:7" x14ac:dyDescent="0.2">
      <c r="A251" t="s">
        <v>997</v>
      </c>
      <c r="B251">
        <v>41.2</v>
      </c>
      <c r="C251">
        <v>30.2</v>
      </c>
      <c r="D251">
        <v>18.399999999999999</v>
      </c>
      <c r="E251">
        <v>7.9</v>
      </c>
      <c r="F251" t="s">
        <v>196</v>
      </c>
      <c r="G251" s="92">
        <v>45966.704710648148</v>
      </c>
    </row>
    <row r="252" spans="1:7" x14ac:dyDescent="0.2">
      <c r="A252" t="s">
        <v>996</v>
      </c>
      <c r="B252">
        <v>41.1</v>
      </c>
      <c r="C252">
        <v>39.6</v>
      </c>
      <c r="D252">
        <v>29.7</v>
      </c>
      <c r="E252">
        <v>7.4</v>
      </c>
      <c r="F252" t="s">
        <v>196</v>
      </c>
      <c r="G252" s="92">
        <v>45966.704108796293</v>
      </c>
    </row>
    <row r="253" spans="1:7" x14ac:dyDescent="0.2">
      <c r="A253" t="s">
        <v>995</v>
      </c>
      <c r="B253">
        <v>47.8</v>
      </c>
      <c r="C253">
        <v>27.7</v>
      </c>
      <c r="D253">
        <v>33.1</v>
      </c>
      <c r="E253">
        <v>6.1</v>
      </c>
      <c r="F253" t="s">
        <v>196</v>
      </c>
      <c r="G253" s="92">
        <v>45966.703287037039</v>
      </c>
    </row>
    <row r="254" spans="1:7" x14ac:dyDescent="0.2">
      <c r="A254" t="s">
        <v>998</v>
      </c>
      <c r="B254">
        <v>47.3</v>
      </c>
      <c r="C254">
        <v>47.5</v>
      </c>
      <c r="D254">
        <v>32.700000000000003</v>
      </c>
      <c r="E254">
        <v>10.1</v>
      </c>
      <c r="F254" t="s">
        <v>196</v>
      </c>
      <c r="G254" s="92">
        <v>45966.705370370371</v>
      </c>
    </row>
    <row r="255" spans="1:7" x14ac:dyDescent="0.2">
      <c r="A255" t="s">
        <v>999</v>
      </c>
      <c r="B255">
        <v>31.4</v>
      </c>
      <c r="C255">
        <v>32.1</v>
      </c>
      <c r="D255">
        <v>32.1</v>
      </c>
      <c r="E255">
        <v>9.8000000000000007</v>
      </c>
      <c r="F255" t="s">
        <v>196</v>
      </c>
      <c r="G255" s="92">
        <v>45966.705729166664</v>
      </c>
    </row>
    <row r="256" spans="1:7" x14ac:dyDescent="0.2">
      <c r="A256" t="s">
        <v>1428</v>
      </c>
      <c r="B256">
        <v>39.9</v>
      </c>
      <c r="C256">
        <v>40.299999999999997</v>
      </c>
      <c r="D256">
        <v>33.9</v>
      </c>
      <c r="E256">
        <v>7.2</v>
      </c>
      <c r="F256" t="s">
        <v>196</v>
      </c>
      <c r="G256" s="92">
        <v>45965.569571759261</v>
      </c>
    </row>
    <row r="257" spans="1:7" x14ac:dyDescent="0.2">
      <c r="A257" t="s">
        <v>1368</v>
      </c>
      <c r="B257">
        <v>37.1</v>
      </c>
      <c r="C257">
        <v>27.1</v>
      </c>
      <c r="D257">
        <v>36.700000000000003</v>
      </c>
      <c r="E257">
        <v>1.4</v>
      </c>
      <c r="F257" t="s">
        <v>196</v>
      </c>
      <c r="G257" s="92">
        <v>45965.467731481483</v>
      </c>
    </row>
    <row r="258" spans="1:7" x14ac:dyDescent="0.2">
      <c r="A258" t="s">
        <v>994</v>
      </c>
      <c r="B258">
        <v>20.2</v>
      </c>
      <c r="C258">
        <v>8.6999999999999993</v>
      </c>
      <c r="D258">
        <v>6.3</v>
      </c>
      <c r="E258">
        <v>0.6</v>
      </c>
      <c r="F258" t="s">
        <v>196</v>
      </c>
      <c r="G258" s="92">
        <v>45961.65761574074</v>
      </c>
    </row>
    <row r="259" spans="1:7" x14ac:dyDescent="0.2">
      <c r="A259" t="s">
        <v>993</v>
      </c>
      <c r="B259">
        <v>54.7</v>
      </c>
      <c r="C259">
        <v>35.1</v>
      </c>
      <c r="D259">
        <v>25</v>
      </c>
      <c r="E259">
        <v>7.2</v>
      </c>
      <c r="F259" t="s">
        <v>196</v>
      </c>
      <c r="G259" s="92">
        <v>45961.656261574077</v>
      </c>
    </row>
    <row r="260" spans="1:7" x14ac:dyDescent="0.2">
      <c r="A260" t="s">
        <v>869</v>
      </c>
      <c r="B260">
        <v>33.5</v>
      </c>
      <c r="C260">
        <v>32.6</v>
      </c>
      <c r="D260">
        <v>22.3</v>
      </c>
      <c r="E260">
        <v>1.6</v>
      </c>
      <c r="F260" t="s">
        <v>196</v>
      </c>
      <c r="G260" s="92">
        <v>45961.476284722223</v>
      </c>
    </row>
    <row r="261" spans="1:7" x14ac:dyDescent="0.2">
      <c r="A261" t="s">
        <v>870</v>
      </c>
      <c r="B261">
        <v>29.8</v>
      </c>
      <c r="C261">
        <v>18.899999999999999</v>
      </c>
      <c r="D261">
        <v>10.8</v>
      </c>
      <c r="E261">
        <v>0.2</v>
      </c>
      <c r="F261" t="s">
        <v>196</v>
      </c>
      <c r="G261" s="92">
        <v>45961.476863425924</v>
      </c>
    </row>
    <row r="262" spans="1:7" x14ac:dyDescent="0.2">
      <c r="A262" t="s">
        <v>1157</v>
      </c>
      <c r="B262">
        <v>34.200000000000003</v>
      </c>
      <c r="C262">
        <v>29.7</v>
      </c>
      <c r="D262">
        <v>23.1</v>
      </c>
      <c r="E262">
        <v>3.7</v>
      </c>
      <c r="F262" t="s">
        <v>196</v>
      </c>
      <c r="G262" s="92">
        <v>45960.615254629629</v>
      </c>
    </row>
    <row r="263" spans="1:7" x14ac:dyDescent="0.2">
      <c r="A263" t="s">
        <v>1155</v>
      </c>
      <c r="B263">
        <v>25.4</v>
      </c>
      <c r="C263">
        <v>20.399999999999999</v>
      </c>
      <c r="D263">
        <v>15.8</v>
      </c>
      <c r="E263">
        <v>0.7</v>
      </c>
      <c r="F263" t="s">
        <v>196</v>
      </c>
      <c r="G263" s="92">
        <v>45960.613900462966</v>
      </c>
    </row>
    <row r="264" spans="1:7" x14ac:dyDescent="0.2">
      <c r="A264" t="s">
        <v>1156</v>
      </c>
      <c r="B264">
        <v>41</v>
      </c>
      <c r="C264">
        <v>28.4</v>
      </c>
      <c r="D264">
        <v>39.1</v>
      </c>
      <c r="E264">
        <v>3.2</v>
      </c>
      <c r="F264" t="s">
        <v>196</v>
      </c>
      <c r="G264" s="92">
        <v>45960.614699074074</v>
      </c>
    </row>
    <row r="265" spans="1:7" x14ac:dyDescent="0.2">
      <c r="A265" t="s">
        <v>1321</v>
      </c>
      <c r="B265">
        <v>56.2</v>
      </c>
      <c r="C265">
        <v>31</v>
      </c>
      <c r="D265">
        <v>46.2</v>
      </c>
      <c r="E265">
        <v>8</v>
      </c>
      <c r="F265" t="s">
        <v>196</v>
      </c>
      <c r="G265" s="92">
        <v>45959.662499999999</v>
      </c>
    </row>
    <row r="266" spans="1:7" x14ac:dyDescent="0.2">
      <c r="A266" t="s">
        <v>1322</v>
      </c>
      <c r="B266">
        <v>69.400000000000006</v>
      </c>
      <c r="C266">
        <v>37.4</v>
      </c>
      <c r="D266">
        <v>37.1</v>
      </c>
      <c r="E266">
        <v>9.1</v>
      </c>
      <c r="F266" t="s">
        <v>196</v>
      </c>
      <c r="G266" s="92">
        <v>45959.663460648146</v>
      </c>
    </row>
    <row r="267" spans="1:7" x14ac:dyDescent="0.2">
      <c r="A267" t="s">
        <v>868</v>
      </c>
      <c r="B267">
        <v>32.4</v>
      </c>
      <c r="C267">
        <v>20.6</v>
      </c>
      <c r="D267">
        <v>18.5</v>
      </c>
      <c r="E267">
        <v>3.5</v>
      </c>
      <c r="F267" t="s">
        <v>196</v>
      </c>
      <c r="G267" s="92">
        <v>45959.597303240742</v>
      </c>
    </row>
    <row r="268" spans="1:7" x14ac:dyDescent="0.2">
      <c r="A268" t="s">
        <v>1323</v>
      </c>
      <c r="B268">
        <v>34.799999999999997</v>
      </c>
      <c r="C268">
        <v>28</v>
      </c>
      <c r="D268">
        <v>21.6</v>
      </c>
      <c r="E268">
        <v>0.8</v>
      </c>
      <c r="F268" t="s">
        <v>196</v>
      </c>
      <c r="G268" s="92">
        <v>45959.66479166667</v>
      </c>
    </row>
    <row r="269" spans="1:7" x14ac:dyDescent="0.2">
      <c r="A269" t="s">
        <v>1319</v>
      </c>
      <c r="B269">
        <v>52.8</v>
      </c>
      <c r="C269">
        <v>49.5</v>
      </c>
      <c r="D269">
        <v>33.4</v>
      </c>
      <c r="E269">
        <v>6.2</v>
      </c>
      <c r="F269" t="s">
        <v>196</v>
      </c>
      <c r="G269" s="92">
        <v>45959.660821759258</v>
      </c>
    </row>
    <row r="270" spans="1:7" x14ac:dyDescent="0.2">
      <c r="A270" t="s">
        <v>1320</v>
      </c>
      <c r="B270">
        <v>32.200000000000003</v>
      </c>
      <c r="C270">
        <v>27.3</v>
      </c>
      <c r="D270">
        <v>8.8000000000000007</v>
      </c>
      <c r="E270">
        <v>1.9</v>
      </c>
      <c r="F270" t="s">
        <v>196</v>
      </c>
      <c r="G270" s="92">
        <v>45959.661631944444</v>
      </c>
    </row>
    <row r="271" spans="1:7" x14ac:dyDescent="0.2">
      <c r="A271" t="s">
        <v>1078</v>
      </c>
      <c r="B271">
        <v>34.5</v>
      </c>
      <c r="C271">
        <v>25.1</v>
      </c>
      <c r="D271">
        <v>25.3</v>
      </c>
      <c r="E271">
        <v>6.9</v>
      </c>
      <c r="F271" t="s">
        <v>695</v>
      </c>
      <c r="G271" s="92">
        <v>45959.657430555555</v>
      </c>
    </row>
    <row r="272" spans="1:7" x14ac:dyDescent="0.2">
      <c r="A272" t="s">
        <v>1324</v>
      </c>
      <c r="B272">
        <v>59.9</v>
      </c>
      <c r="C272">
        <v>43.9</v>
      </c>
      <c r="D272">
        <v>36.1</v>
      </c>
      <c r="E272">
        <v>4.2</v>
      </c>
      <c r="F272" t="s">
        <v>196</v>
      </c>
      <c r="G272" s="92">
        <v>45959.66574074074</v>
      </c>
    </row>
    <row r="273" spans="1:7" x14ac:dyDescent="0.2">
      <c r="A273" t="s">
        <v>1318</v>
      </c>
      <c r="B273">
        <v>78.099999999999994</v>
      </c>
      <c r="C273">
        <v>40.299999999999997</v>
      </c>
      <c r="D273">
        <v>39.5</v>
      </c>
      <c r="E273">
        <v>6</v>
      </c>
      <c r="F273" t="s">
        <v>196</v>
      </c>
      <c r="G273" s="92">
        <v>45959.66</v>
      </c>
    </row>
    <row r="274" spans="1:7" x14ac:dyDescent="0.2">
      <c r="A274" t="s">
        <v>1234</v>
      </c>
      <c r="B274">
        <v>45.8</v>
      </c>
      <c r="C274">
        <v>32.799999999999997</v>
      </c>
      <c r="D274">
        <v>37.4</v>
      </c>
      <c r="E274">
        <v>13.7</v>
      </c>
      <c r="F274" t="s">
        <v>695</v>
      </c>
      <c r="G274" s="92">
        <v>45958.65824074074</v>
      </c>
    </row>
    <row r="275" spans="1:7" x14ac:dyDescent="0.2">
      <c r="A275" t="s">
        <v>1365</v>
      </c>
      <c r="B275">
        <v>58.2</v>
      </c>
      <c r="C275">
        <v>29.3</v>
      </c>
      <c r="D275">
        <v>49.7</v>
      </c>
      <c r="E275">
        <v>4.2</v>
      </c>
      <c r="F275" t="s">
        <v>196</v>
      </c>
      <c r="G275" s="92">
        <v>45958.566574074073</v>
      </c>
    </row>
    <row r="276" spans="1:7" x14ac:dyDescent="0.2">
      <c r="A276" t="s">
        <v>1366</v>
      </c>
      <c r="B276">
        <v>39.5</v>
      </c>
      <c r="C276">
        <v>34.4</v>
      </c>
      <c r="D276">
        <v>39.1</v>
      </c>
      <c r="E276">
        <v>11.9</v>
      </c>
      <c r="F276" t="s">
        <v>196</v>
      </c>
      <c r="G276" s="92">
        <v>45958.570763888885</v>
      </c>
    </row>
    <row r="277" spans="1:7" x14ac:dyDescent="0.2">
      <c r="A277" t="s">
        <v>1367</v>
      </c>
      <c r="B277">
        <v>77.7</v>
      </c>
      <c r="C277">
        <v>34.799999999999997</v>
      </c>
      <c r="D277">
        <v>38.9</v>
      </c>
      <c r="E277">
        <v>8.6999999999999993</v>
      </c>
      <c r="F277" t="s">
        <v>196</v>
      </c>
      <c r="G277" s="92">
        <v>45958.571435185186</v>
      </c>
    </row>
    <row r="278" spans="1:7" x14ac:dyDescent="0.2">
      <c r="A278" t="s">
        <v>991</v>
      </c>
      <c r="B278">
        <v>37.4</v>
      </c>
      <c r="C278">
        <v>30.4</v>
      </c>
      <c r="D278">
        <v>39.9</v>
      </c>
      <c r="E278">
        <v>4.2</v>
      </c>
      <c r="F278" t="s">
        <v>695</v>
      </c>
      <c r="G278" s="92">
        <v>45957.573645833334</v>
      </c>
    </row>
    <row r="279" spans="1:7" x14ac:dyDescent="0.2">
      <c r="A279" t="s">
        <v>992</v>
      </c>
      <c r="B279">
        <v>37.4</v>
      </c>
      <c r="C279">
        <v>31.2</v>
      </c>
      <c r="D279">
        <v>39.5</v>
      </c>
      <c r="E279">
        <v>4.2</v>
      </c>
      <c r="F279" t="s">
        <v>695</v>
      </c>
      <c r="G279" s="92">
        <v>45957.573171296295</v>
      </c>
    </row>
    <row r="280" spans="1:7" x14ac:dyDescent="0.2">
      <c r="A280" t="s">
        <v>1427</v>
      </c>
      <c r="B280">
        <v>37.1</v>
      </c>
      <c r="C280">
        <v>40.200000000000003</v>
      </c>
      <c r="D280">
        <v>36.700000000000003</v>
      </c>
      <c r="E280">
        <v>22.1</v>
      </c>
      <c r="F280" t="s">
        <v>695</v>
      </c>
      <c r="G280" s="92">
        <v>45957.563611111109</v>
      </c>
    </row>
    <row r="281" spans="1:7" x14ac:dyDescent="0.2">
      <c r="A281" t="s">
        <v>1317</v>
      </c>
      <c r="B281">
        <v>33</v>
      </c>
      <c r="C281">
        <v>29.8</v>
      </c>
      <c r="D281">
        <v>46.2</v>
      </c>
      <c r="E281">
        <v>8.9</v>
      </c>
      <c r="F281" t="s">
        <v>695</v>
      </c>
      <c r="G281" s="92">
        <v>45957.553715277776</v>
      </c>
    </row>
    <row r="282" spans="1:7" x14ac:dyDescent="0.2">
      <c r="A282" t="s">
        <v>1315</v>
      </c>
      <c r="B282">
        <v>26.6</v>
      </c>
      <c r="C282">
        <v>14.3</v>
      </c>
      <c r="D282">
        <v>20.5</v>
      </c>
      <c r="E282">
        <v>0.4</v>
      </c>
      <c r="F282" t="s">
        <v>210</v>
      </c>
      <c r="G282" s="92">
        <v>45955.552083333336</v>
      </c>
    </row>
    <row r="283" spans="1:7" x14ac:dyDescent="0.2">
      <c r="A283" t="s">
        <v>1316</v>
      </c>
      <c r="B283">
        <v>23.1</v>
      </c>
      <c r="C283">
        <v>24.2</v>
      </c>
      <c r="D283">
        <v>31.1</v>
      </c>
      <c r="E283">
        <v>1.5</v>
      </c>
      <c r="F283" t="s">
        <v>210</v>
      </c>
      <c r="G283" s="92">
        <v>45955.552395833336</v>
      </c>
    </row>
    <row r="284" spans="1:7" x14ac:dyDescent="0.2">
      <c r="A284" t="s">
        <v>1314</v>
      </c>
      <c r="B284">
        <v>35</v>
      </c>
      <c r="C284">
        <v>41.4</v>
      </c>
      <c r="D284">
        <v>40.1</v>
      </c>
      <c r="E284">
        <v>5.2</v>
      </c>
      <c r="F284" t="s">
        <v>210</v>
      </c>
      <c r="G284" s="92">
        <v>45955.551689814813</v>
      </c>
    </row>
    <row r="285" spans="1:7" x14ac:dyDescent="0.2">
      <c r="A285" t="s">
        <v>866</v>
      </c>
      <c r="B285">
        <v>31.1</v>
      </c>
      <c r="C285">
        <v>33.4</v>
      </c>
      <c r="D285">
        <v>71.900000000000006</v>
      </c>
      <c r="E285">
        <v>4.9000000000000004</v>
      </c>
      <c r="F285" t="s">
        <v>695</v>
      </c>
      <c r="G285" s="92">
        <v>45954.463506944441</v>
      </c>
    </row>
    <row r="286" spans="1:7" x14ac:dyDescent="0.2">
      <c r="A286" t="s">
        <v>867</v>
      </c>
      <c r="B286">
        <v>31.1</v>
      </c>
      <c r="C286">
        <v>33.6</v>
      </c>
      <c r="D286">
        <v>71.900000000000006</v>
      </c>
      <c r="E286">
        <v>7.9</v>
      </c>
      <c r="F286" t="s">
        <v>695</v>
      </c>
      <c r="G286" s="92">
        <v>45954.464178240742</v>
      </c>
    </row>
    <row r="287" spans="1:7" x14ac:dyDescent="0.2">
      <c r="A287" t="s">
        <v>1154</v>
      </c>
      <c r="B287">
        <v>16.5</v>
      </c>
      <c r="C287">
        <v>20.6</v>
      </c>
      <c r="D287">
        <v>30.6</v>
      </c>
      <c r="E287">
        <v>1.2</v>
      </c>
      <c r="F287" t="s">
        <v>216</v>
      </c>
      <c r="G287" s="92">
        <v>45953.699328703704</v>
      </c>
    </row>
    <row r="288" spans="1:7" x14ac:dyDescent="0.2">
      <c r="A288" t="s">
        <v>1153</v>
      </c>
      <c r="B288">
        <v>18</v>
      </c>
      <c r="C288">
        <v>11.7</v>
      </c>
      <c r="D288">
        <v>32</v>
      </c>
      <c r="E288">
        <v>1.4</v>
      </c>
      <c r="F288" t="s">
        <v>216</v>
      </c>
      <c r="G288" s="92">
        <v>45953.677546296298</v>
      </c>
    </row>
    <row r="289" spans="1:7" x14ac:dyDescent="0.2">
      <c r="A289" t="s">
        <v>1152</v>
      </c>
      <c r="B289">
        <v>18.7</v>
      </c>
      <c r="C289">
        <v>12</v>
      </c>
      <c r="D289">
        <v>32.200000000000003</v>
      </c>
      <c r="E289">
        <v>1.4</v>
      </c>
      <c r="F289" t="s">
        <v>216</v>
      </c>
      <c r="G289" s="92">
        <v>45953.677222222221</v>
      </c>
    </row>
    <row r="290" spans="1:7" x14ac:dyDescent="0.2">
      <c r="A290" t="s">
        <v>865</v>
      </c>
      <c r="B290">
        <v>33.4</v>
      </c>
      <c r="C290">
        <v>18.3</v>
      </c>
      <c r="D290">
        <v>46.8</v>
      </c>
      <c r="E290">
        <v>1.4</v>
      </c>
      <c r="F290" t="s">
        <v>216</v>
      </c>
      <c r="G290" s="92">
        <v>45953.692453703705</v>
      </c>
    </row>
    <row r="291" spans="1:7" x14ac:dyDescent="0.2">
      <c r="A291" t="s">
        <v>864</v>
      </c>
      <c r="B291">
        <v>34.4</v>
      </c>
      <c r="C291">
        <v>39.1</v>
      </c>
      <c r="D291">
        <v>38.799999999999997</v>
      </c>
      <c r="E291">
        <v>7.1</v>
      </c>
      <c r="F291" t="s">
        <v>216</v>
      </c>
      <c r="G291" s="92">
        <v>45953.692129629628</v>
      </c>
    </row>
    <row r="292" spans="1:7" x14ac:dyDescent="0.2">
      <c r="A292" t="s">
        <v>1079</v>
      </c>
      <c r="B292">
        <v>30.9</v>
      </c>
      <c r="C292">
        <v>14.6</v>
      </c>
      <c r="D292">
        <v>48.5</v>
      </c>
      <c r="E292">
        <v>1.7</v>
      </c>
      <c r="F292" t="s">
        <v>216</v>
      </c>
      <c r="G292" s="92">
        <v>45953.660474537035</v>
      </c>
    </row>
    <row r="293" spans="1:7" x14ac:dyDescent="0.2">
      <c r="A293" t="s">
        <v>1077</v>
      </c>
      <c r="B293">
        <v>33.4</v>
      </c>
      <c r="C293">
        <v>40.200000000000003</v>
      </c>
      <c r="D293">
        <v>48</v>
      </c>
      <c r="E293">
        <v>9.1</v>
      </c>
      <c r="F293" t="s">
        <v>216</v>
      </c>
      <c r="G293" s="92">
        <v>45953.65934027778</v>
      </c>
    </row>
    <row r="294" spans="1:7" x14ac:dyDescent="0.2">
      <c r="A294" t="s">
        <v>1076</v>
      </c>
      <c r="B294">
        <v>53.4</v>
      </c>
      <c r="C294">
        <v>27.8</v>
      </c>
      <c r="D294">
        <v>36.6</v>
      </c>
      <c r="E294">
        <v>7.5</v>
      </c>
      <c r="F294" t="s">
        <v>216</v>
      </c>
      <c r="G294" s="92">
        <v>45953.658761574072</v>
      </c>
    </row>
    <row r="295" spans="1:7" x14ac:dyDescent="0.2">
      <c r="A295" t="s">
        <v>1313</v>
      </c>
      <c r="B295">
        <v>32</v>
      </c>
      <c r="C295">
        <v>18.5</v>
      </c>
      <c r="D295">
        <v>43.8</v>
      </c>
      <c r="E295">
        <v>11.4</v>
      </c>
      <c r="F295" t="s">
        <v>695</v>
      </c>
      <c r="G295" s="92">
        <v>45953.593969907408</v>
      </c>
    </row>
    <row r="296" spans="1:7" x14ac:dyDescent="0.2">
      <c r="A296" t="s">
        <v>1426</v>
      </c>
      <c r="B296">
        <v>31.2</v>
      </c>
      <c r="C296">
        <v>33.4</v>
      </c>
      <c r="D296">
        <v>72</v>
      </c>
      <c r="E296">
        <v>4.9000000000000004</v>
      </c>
      <c r="F296" t="s">
        <v>695</v>
      </c>
      <c r="G296" s="92">
        <v>45953.590254629627</v>
      </c>
    </row>
    <row r="297" spans="1:7" x14ac:dyDescent="0.2">
      <c r="A297" t="s">
        <v>1425</v>
      </c>
      <c r="B297">
        <v>31.1</v>
      </c>
      <c r="C297">
        <v>33.299999999999997</v>
      </c>
      <c r="D297">
        <v>71.599999999999994</v>
      </c>
      <c r="E297">
        <v>7.9</v>
      </c>
      <c r="F297" t="s">
        <v>695</v>
      </c>
      <c r="G297" s="92">
        <v>45953.58966435185</v>
      </c>
    </row>
    <row r="298" spans="1:7" x14ac:dyDescent="0.2">
      <c r="A298" t="s">
        <v>863</v>
      </c>
      <c r="B298">
        <v>34.700000000000003</v>
      </c>
      <c r="C298">
        <v>39.4</v>
      </c>
      <c r="D298">
        <v>36.5</v>
      </c>
      <c r="E298">
        <v>9</v>
      </c>
      <c r="F298" t="s">
        <v>695</v>
      </c>
      <c r="G298" s="92">
        <v>45952.687002314815</v>
      </c>
    </row>
    <row r="299" spans="1:7" x14ac:dyDescent="0.2">
      <c r="A299" t="s">
        <v>1151</v>
      </c>
      <c r="B299">
        <v>25.1</v>
      </c>
      <c r="C299">
        <v>36.799999999999997</v>
      </c>
      <c r="D299">
        <v>49.4</v>
      </c>
      <c r="E299">
        <v>15.3</v>
      </c>
      <c r="F299" t="s">
        <v>695</v>
      </c>
      <c r="G299" s="92">
        <v>45952.691018518519</v>
      </c>
    </row>
    <row r="300" spans="1:7" x14ac:dyDescent="0.2">
      <c r="A300" t="s">
        <v>1312</v>
      </c>
      <c r="B300">
        <v>31.1</v>
      </c>
      <c r="C300">
        <v>33.299999999999997</v>
      </c>
      <c r="D300">
        <v>71.8</v>
      </c>
      <c r="E300">
        <v>4.9000000000000004</v>
      </c>
      <c r="F300" t="s">
        <v>695</v>
      </c>
      <c r="G300" s="92">
        <v>45952.699895833335</v>
      </c>
    </row>
    <row r="301" spans="1:7" x14ac:dyDescent="0.2">
      <c r="A301" t="s">
        <v>1075</v>
      </c>
      <c r="B301">
        <v>31.6</v>
      </c>
      <c r="C301">
        <v>33.200000000000003</v>
      </c>
      <c r="D301">
        <v>72.099999999999994</v>
      </c>
      <c r="E301">
        <v>7.9</v>
      </c>
      <c r="F301" t="s">
        <v>695</v>
      </c>
      <c r="G301" s="92">
        <v>45952.701006944444</v>
      </c>
    </row>
    <row r="302" spans="1:7" x14ac:dyDescent="0.2">
      <c r="A302" t="s">
        <v>1074</v>
      </c>
      <c r="B302">
        <v>28.6</v>
      </c>
      <c r="C302">
        <v>25.6</v>
      </c>
      <c r="D302">
        <v>37.700000000000003</v>
      </c>
      <c r="E302">
        <v>1.8</v>
      </c>
      <c r="F302" t="s">
        <v>695</v>
      </c>
      <c r="G302" s="92">
        <v>45951.698136574072</v>
      </c>
    </row>
    <row r="303" spans="1:7" x14ac:dyDescent="0.2">
      <c r="A303" t="s">
        <v>1147</v>
      </c>
      <c r="B303">
        <v>27.6</v>
      </c>
      <c r="C303">
        <v>11.7</v>
      </c>
      <c r="D303">
        <v>21.4</v>
      </c>
      <c r="E303">
        <v>0.5</v>
      </c>
      <c r="F303" t="s">
        <v>695</v>
      </c>
      <c r="G303" s="92">
        <v>45951.587824074071</v>
      </c>
    </row>
    <row r="304" spans="1:7" x14ac:dyDescent="0.2">
      <c r="A304" t="s">
        <v>1148</v>
      </c>
      <c r="B304">
        <v>33.5</v>
      </c>
      <c r="C304">
        <v>35.799999999999997</v>
      </c>
      <c r="D304">
        <v>39</v>
      </c>
      <c r="E304">
        <v>7.1</v>
      </c>
      <c r="F304" t="s">
        <v>695</v>
      </c>
      <c r="G304" s="92">
        <v>45951.615046296298</v>
      </c>
    </row>
    <row r="305" spans="1:7" x14ac:dyDescent="0.2">
      <c r="A305" t="s">
        <v>1150</v>
      </c>
      <c r="B305">
        <v>33.6</v>
      </c>
      <c r="C305">
        <v>35.6</v>
      </c>
      <c r="D305">
        <v>39.299999999999997</v>
      </c>
      <c r="E305">
        <v>7.1</v>
      </c>
      <c r="F305" t="s">
        <v>695</v>
      </c>
      <c r="G305" s="92">
        <v>45951.643912037034</v>
      </c>
    </row>
    <row r="306" spans="1:7" x14ac:dyDescent="0.2">
      <c r="A306" t="s">
        <v>1364</v>
      </c>
      <c r="B306">
        <v>34.4</v>
      </c>
      <c r="C306">
        <v>46.9</v>
      </c>
      <c r="D306">
        <v>42</v>
      </c>
      <c r="E306">
        <v>4.5999999999999996</v>
      </c>
      <c r="F306" t="s">
        <v>695</v>
      </c>
      <c r="G306" s="92">
        <v>45951.480879629627</v>
      </c>
    </row>
    <row r="307" spans="1:7" x14ac:dyDescent="0.2">
      <c r="A307" t="s">
        <v>990</v>
      </c>
      <c r="B307">
        <v>30.9</v>
      </c>
      <c r="C307">
        <v>36.700000000000003</v>
      </c>
      <c r="D307">
        <v>32.299999999999997</v>
      </c>
      <c r="E307">
        <v>16.600000000000001</v>
      </c>
      <c r="F307" t="s">
        <v>695</v>
      </c>
      <c r="G307" s="92">
        <v>45951.379733796297</v>
      </c>
    </row>
    <row r="308" spans="1:7" x14ac:dyDescent="0.2">
      <c r="A308" t="s">
        <v>1145</v>
      </c>
      <c r="B308">
        <v>22.5</v>
      </c>
      <c r="C308">
        <v>28.7</v>
      </c>
      <c r="D308">
        <v>22.7</v>
      </c>
      <c r="E308">
        <v>2.7</v>
      </c>
      <c r="F308" t="s">
        <v>695</v>
      </c>
      <c r="G308" s="92">
        <v>45950.58630787037</v>
      </c>
    </row>
    <row r="309" spans="1:7" x14ac:dyDescent="0.2">
      <c r="A309" t="s">
        <v>1144</v>
      </c>
      <c r="B309">
        <v>22.3</v>
      </c>
      <c r="C309">
        <v>29</v>
      </c>
      <c r="D309">
        <v>22.4</v>
      </c>
      <c r="E309">
        <v>2.7</v>
      </c>
      <c r="F309" t="s">
        <v>695</v>
      </c>
      <c r="G309" s="92">
        <v>45950.585358796299</v>
      </c>
    </row>
    <row r="310" spans="1:7" x14ac:dyDescent="0.2">
      <c r="A310" t="s">
        <v>1146</v>
      </c>
      <c r="B310">
        <v>30.4</v>
      </c>
      <c r="C310">
        <v>24.1</v>
      </c>
      <c r="D310">
        <v>24.7</v>
      </c>
      <c r="E310">
        <v>0.5</v>
      </c>
      <c r="F310" t="s">
        <v>695</v>
      </c>
      <c r="G310" s="92">
        <v>45950.588414351849</v>
      </c>
    </row>
    <row r="311" spans="1:7" x14ac:dyDescent="0.2">
      <c r="A311" t="s">
        <v>989</v>
      </c>
      <c r="B311">
        <v>61.9</v>
      </c>
      <c r="C311">
        <v>33.1</v>
      </c>
      <c r="D311">
        <v>75.8</v>
      </c>
      <c r="E311">
        <v>7.1</v>
      </c>
      <c r="F311" t="s">
        <v>231</v>
      </c>
      <c r="G311" s="92">
        <v>45948.585798611108</v>
      </c>
    </row>
    <row r="312" spans="1:7" x14ac:dyDescent="0.2">
      <c r="A312" t="s">
        <v>1311</v>
      </c>
      <c r="B312">
        <v>30.9</v>
      </c>
      <c r="C312">
        <v>16.3</v>
      </c>
      <c r="D312">
        <v>34.9</v>
      </c>
      <c r="E312">
        <v>1.2</v>
      </c>
      <c r="F312" t="s">
        <v>231</v>
      </c>
      <c r="G312" s="92">
        <v>45948.473900462966</v>
      </c>
    </row>
    <row r="313" spans="1:7" x14ac:dyDescent="0.2">
      <c r="A313" t="s">
        <v>1142</v>
      </c>
      <c r="B313">
        <v>30.2</v>
      </c>
      <c r="C313">
        <v>29.7</v>
      </c>
      <c r="D313">
        <v>52.5</v>
      </c>
      <c r="E313">
        <v>19.3</v>
      </c>
      <c r="F313" t="s">
        <v>695</v>
      </c>
      <c r="G313" s="92">
        <v>45947.605196759258</v>
      </c>
    </row>
    <row r="314" spans="1:7" x14ac:dyDescent="0.2">
      <c r="A314" t="s">
        <v>1073</v>
      </c>
      <c r="B314">
        <v>31.8</v>
      </c>
      <c r="C314">
        <v>15.4</v>
      </c>
      <c r="D314">
        <v>24.5</v>
      </c>
      <c r="E314">
        <v>6.6</v>
      </c>
      <c r="F314" t="s">
        <v>695</v>
      </c>
      <c r="G314" s="92">
        <v>45947.593159722222</v>
      </c>
    </row>
    <row r="315" spans="1:7" x14ac:dyDescent="0.2">
      <c r="A315" t="s">
        <v>1310</v>
      </c>
      <c r="B315">
        <v>69.599999999999994</v>
      </c>
      <c r="C315">
        <v>42.8</v>
      </c>
      <c r="D315">
        <v>29.1</v>
      </c>
      <c r="E315">
        <v>6.5</v>
      </c>
      <c r="F315" t="s">
        <v>216</v>
      </c>
      <c r="G315" s="92">
        <v>45946.715057870373</v>
      </c>
    </row>
    <row r="316" spans="1:7" x14ac:dyDescent="0.2">
      <c r="A316" t="s">
        <v>1072</v>
      </c>
      <c r="B316">
        <v>27.5</v>
      </c>
      <c r="C316">
        <v>38</v>
      </c>
      <c r="D316">
        <v>40.200000000000003</v>
      </c>
      <c r="E316">
        <v>4.2</v>
      </c>
      <c r="F316" t="s">
        <v>216</v>
      </c>
      <c r="G316" s="92">
        <v>45946.645879629628</v>
      </c>
    </row>
    <row r="317" spans="1:7" x14ac:dyDescent="0.2">
      <c r="A317" t="s">
        <v>862</v>
      </c>
      <c r="B317">
        <v>28.8</v>
      </c>
      <c r="C317">
        <v>38.9</v>
      </c>
      <c r="D317">
        <v>31.6</v>
      </c>
      <c r="E317">
        <v>6.8</v>
      </c>
      <c r="F317" t="s">
        <v>216</v>
      </c>
      <c r="G317" s="92">
        <v>45946.566342592596</v>
      </c>
    </row>
    <row r="318" spans="1:7" x14ac:dyDescent="0.2">
      <c r="A318" t="s">
        <v>1071</v>
      </c>
      <c r="B318">
        <v>37.1</v>
      </c>
      <c r="C318">
        <v>35.799999999999997</v>
      </c>
      <c r="D318">
        <v>14.1</v>
      </c>
      <c r="E318">
        <v>1.4</v>
      </c>
      <c r="F318" t="s">
        <v>216</v>
      </c>
      <c r="G318" s="92">
        <v>45946.476261574076</v>
      </c>
    </row>
    <row r="319" spans="1:7" x14ac:dyDescent="0.2">
      <c r="A319" t="s">
        <v>1363</v>
      </c>
      <c r="B319">
        <v>36</v>
      </c>
      <c r="C319">
        <v>32.299999999999997</v>
      </c>
      <c r="D319">
        <v>40.4</v>
      </c>
      <c r="E319">
        <v>6.8</v>
      </c>
      <c r="F319" t="s">
        <v>695</v>
      </c>
      <c r="G319" s="92">
        <v>45945.704953703702</v>
      </c>
    </row>
    <row r="320" spans="1:7" x14ac:dyDescent="0.2">
      <c r="A320" t="s">
        <v>1362</v>
      </c>
      <c r="B320">
        <v>36.299999999999997</v>
      </c>
      <c r="C320">
        <v>32.4</v>
      </c>
      <c r="D320">
        <v>40.4</v>
      </c>
      <c r="E320">
        <v>6.8</v>
      </c>
      <c r="F320" t="s">
        <v>695</v>
      </c>
      <c r="G320" s="92">
        <v>45945.704664351855</v>
      </c>
    </row>
    <row r="321" spans="1:7" x14ac:dyDescent="0.2">
      <c r="A321" t="s">
        <v>1360</v>
      </c>
      <c r="B321">
        <v>36.4</v>
      </c>
      <c r="C321">
        <v>32.200000000000003</v>
      </c>
      <c r="D321">
        <v>40.6</v>
      </c>
      <c r="E321">
        <v>6.8</v>
      </c>
      <c r="F321" t="s">
        <v>695</v>
      </c>
      <c r="G321" s="92">
        <v>45945.704074074078</v>
      </c>
    </row>
    <row r="322" spans="1:7" x14ac:dyDescent="0.2">
      <c r="A322" t="s">
        <v>1361</v>
      </c>
      <c r="B322">
        <v>36.1</v>
      </c>
      <c r="C322">
        <v>32.700000000000003</v>
      </c>
      <c r="D322">
        <v>40.4</v>
      </c>
      <c r="E322">
        <v>6.8</v>
      </c>
      <c r="F322" t="s">
        <v>695</v>
      </c>
      <c r="G322" s="92">
        <v>45945.704351851855</v>
      </c>
    </row>
    <row r="323" spans="1:7" x14ac:dyDescent="0.2">
      <c r="A323" t="s">
        <v>1070</v>
      </c>
      <c r="B323">
        <v>34.9</v>
      </c>
      <c r="C323">
        <v>10.7</v>
      </c>
      <c r="D323">
        <v>41.1</v>
      </c>
      <c r="E323">
        <v>2.4</v>
      </c>
      <c r="F323" t="s">
        <v>695</v>
      </c>
      <c r="G323" s="92">
        <v>45945.622939814813</v>
      </c>
    </row>
    <row r="324" spans="1:7" x14ac:dyDescent="0.2">
      <c r="A324" t="s">
        <v>1143</v>
      </c>
      <c r="B324">
        <v>20.2</v>
      </c>
      <c r="C324">
        <v>39.9</v>
      </c>
      <c r="D324">
        <v>30.8</v>
      </c>
      <c r="E324">
        <v>10.9</v>
      </c>
      <c r="F324" t="s">
        <v>695</v>
      </c>
      <c r="G324" s="92">
        <v>45945.614270833335</v>
      </c>
    </row>
    <row r="325" spans="1:7" x14ac:dyDescent="0.2">
      <c r="A325" t="s">
        <v>1422</v>
      </c>
      <c r="B325">
        <v>41.5</v>
      </c>
      <c r="C325">
        <v>58.6</v>
      </c>
      <c r="D325">
        <v>57.8</v>
      </c>
      <c r="E325">
        <v>10.4</v>
      </c>
      <c r="F325" t="s">
        <v>695</v>
      </c>
      <c r="G325" s="92">
        <v>45944.497106481482</v>
      </c>
    </row>
    <row r="326" spans="1:7" x14ac:dyDescent="0.2">
      <c r="A326" t="s">
        <v>1423</v>
      </c>
      <c r="B326">
        <v>19.899999999999999</v>
      </c>
      <c r="C326">
        <v>19</v>
      </c>
      <c r="D326">
        <v>16.3</v>
      </c>
      <c r="E326">
        <v>0.3</v>
      </c>
      <c r="F326" t="s">
        <v>695</v>
      </c>
      <c r="G326" s="92">
        <v>45944.497557870367</v>
      </c>
    </row>
    <row r="327" spans="1:7" x14ac:dyDescent="0.2">
      <c r="A327" t="s">
        <v>1424</v>
      </c>
      <c r="B327">
        <v>24.6</v>
      </c>
      <c r="C327">
        <v>24.5</v>
      </c>
      <c r="D327">
        <v>30.2</v>
      </c>
      <c r="E327">
        <v>0.4</v>
      </c>
      <c r="F327" t="s">
        <v>695</v>
      </c>
      <c r="G327" s="92">
        <v>45944.498668981483</v>
      </c>
    </row>
    <row r="328" spans="1:7" x14ac:dyDescent="0.2">
      <c r="A328" t="s">
        <v>988</v>
      </c>
      <c r="B328">
        <v>32.700000000000003</v>
      </c>
      <c r="C328">
        <v>17</v>
      </c>
      <c r="D328">
        <v>38.700000000000003</v>
      </c>
      <c r="E328">
        <v>1.7</v>
      </c>
      <c r="F328" t="s">
        <v>695</v>
      </c>
      <c r="G328" s="92">
        <v>45944.458194444444</v>
      </c>
    </row>
    <row r="329" spans="1:7" x14ac:dyDescent="0.2">
      <c r="A329" t="s">
        <v>987</v>
      </c>
      <c r="B329">
        <v>32.700000000000003</v>
      </c>
      <c r="C329">
        <v>16.7</v>
      </c>
      <c r="D329">
        <v>37.9</v>
      </c>
      <c r="E329">
        <v>1.7</v>
      </c>
      <c r="F329" t="s">
        <v>695</v>
      </c>
      <c r="G329" s="92">
        <v>45944.457870370374</v>
      </c>
    </row>
    <row r="330" spans="1:7" x14ac:dyDescent="0.2">
      <c r="A330" t="s">
        <v>986</v>
      </c>
      <c r="B330">
        <v>32.6</v>
      </c>
      <c r="C330">
        <v>15.5</v>
      </c>
      <c r="D330">
        <v>38.6</v>
      </c>
      <c r="E330">
        <v>1.7</v>
      </c>
      <c r="F330" t="s">
        <v>695</v>
      </c>
      <c r="G330" s="92">
        <v>45944.457592592589</v>
      </c>
    </row>
    <row r="331" spans="1:7" x14ac:dyDescent="0.2">
      <c r="A331" t="s">
        <v>985</v>
      </c>
      <c r="B331">
        <v>32.9</v>
      </c>
      <c r="C331">
        <v>17.100000000000001</v>
      </c>
      <c r="D331">
        <v>38.200000000000003</v>
      </c>
      <c r="E331">
        <v>1.3</v>
      </c>
      <c r="F331" t="s">
        <v>695</v>
      </c>
      <c r="G331" s="92">
        <v>45944.456689814811</v>
      </c>
    </row>
    <row r="332" spans="1:7" x14ac:dyDescent="0.2">
      <c r="A332" t="s">
        <v>1141</v>
      </c>
      <c r="B332">
        <v>30.6</v>
      </c>
      <c r="C332">
        <v>32</v>
      </c>
      <c r="D332">
        <v>34.4</v>
      </c>
      <c r="E332">
        <v>1.6</v>
      </c>
      <c r="F332" t="s">
        <v>695</v>
      </c>
      <c r="G332" s="92">
        <v>45944.412986111114</v>
      </c>
    </row>
    <row r="333" spans="1:7" x14ac:dyDescent="0.2">
      <c r="A333" t="s">
        <v>1140</v>
      </c>
      <c r="B333">
        <v>30.5</v>
      </c>
      <c r="C333">
        <v>33.200000000000003</v>
      </c>
      <c r="D333">
        <v>34.700000000000003</v>
      </c>
      <c r="E333">
        <v>3.2</v>
      </c>
      <c r="F333" t="s">
        <v>695</v>
      </c>
      <c r="G333" s="92">
        <v>45944.412511574075</v>
      </c>
    </row>
    <row r="334" spans="1:7" x14ac:dyDescent="0.2">
      <c r="A334" t="s">
        <v>1359</v>
      </c>
      <c r="B334">
        <v>19.399999999999999</v>
      </c>
      <c r="C334">
        <v>12.2</v>
      </c>
      <c r="D334">
        <v>26.9</v>
      </c>
      <c r="E334">
        <v>0.5</v>
      </c>
      <c r="F334" t="s">
        <v>695</v>
      </c>
      <c r="G334" s="92">
        <v>45940.628240740742</v>
      </c>
    </row>
    <row r="335" spans="1:7" x14ac:dyDescent="0.2">
      <c r="A335" t="s">
        <v>1309</v>
      </c>
      <c r="B335">
        <v>30.4</v>
      </c>
      <c r="C335">
        <v>29.8</v>
      </c>
      <c r="D335">
        <v>76.5</v>
      </c>
      <c r="E335">
        <v>52.1</v>
      </c>
      <c r="F335" t="s">
        <v>695</v>
      </c>
      <c r="G335" s="92">
        <v>45940.650196759256</v>
      </c>
    </row>
    <row r="336" spans="1:7" x14ac:dyDescent="0.2">
      <c r="A336" t="s">
        <v>861</v>
      </c>
      <c r="B336">
        <v>31.7</v>
      </c>
      <c r="C336">
        <v>24.7</v>
      </c>
      <c r="D336">
        <v>33.1</v>
      </c>
      <c r="E336">
        <v>2.7</v>
      </c>
      <c r="F336" t="s">
        <v>695</v>
      </c>
      <c r="G336" s="92">
        <v>45939.599074074074</v>
      </c>
    </row>
    <row r="337" spans="1:7" x14ac:dyDescent="0.2">
      <c r="A337" t="s">
        <v>860</v>
      </c>
      <c r="B337">
        <v>26.8</v>
      </c>
      <c r="C337">
        <v>26.7</v>
      </c>
      <c r="D337">
        <v>35.5</v>
      </c>
      <c r="E337">
        <v>15.7</v>
      </c>
      <c r="F337" t="s">
        <v>695</v>
      </c>
      <c r="G337" s="92">
        <v>45939.598194444443</v>
      </c>
    </row>
    <row r="338" spans="1:7" x14ac:dyDescent="0.2">
      <c r="A338" t="s">
        <v>984</v>
      </c>
      <c r="B338">
        <v>29.7</v>
      </c>
      <c r="C338">
        <v>21.2</v>
      </c>
      <c r="D338">
        <v>33.799999999999997</v>
      </c>
      <c r="E338">
        <v>0.7</v>
      </c>
      <c r="F338" t="s">
        <v>695</v>
      </c>
      <c r="G338" s="92">
        <v>45939.585462962961</v>
      </c>
    </row>
    <row r="339" spans="1:7" x14ac:dyDescent="0.2">
      <c r="A339" t="s">
        <v>983</v>
      </c>
      <c r="B339">
        <v>34.700000000000003</v>
      </c>
      <c r="C339">
        <v>38.4</v>
      </c>
      <c r="D339">
        <v>52.4</v>
      </c>
      <c r="E339">
        <v>4.5999999999999996</v>
      </c>
      <c r="F339" t="s">
        <v>695</v>
      </c>
      <c r="G339" s="92">
        <v>45939.560266203705</v>
      </c>
    </row>
    <row r="340" spans="1:7" x14ac:dyDescent="0.2">
      <c r="A340" t="s">
        <v>1233</v>
      </c>
      <c r="B340">
        <v>27.9</v>
      </c>
      <c r="C340">
        <v>18.600000000000001</v>
      </c>
      <c r="D340">
        <v>50.8</v>
      </c>
      <c r="E340">
        <v>12.3</v>
      </c>
      <c r="F340" t="s">
        <v>695</v>
      </c>
      <c r="G340" s="92">
        <v>45938.666655092595</v>
      </c>
    </row>
    <row r="341" spans="1:7" x14ac:dyDescent="0.2">
      <c r="A341" t="s">
        <v>859</v>
      </c>
      <c r="B341">
        <v>28.7</v>
      </c>
      <c r="C341">
        <v>40.6</v>
      </c>
      <c r="D341">
        <v>54.3</v>
      </c>
      <c r="E341">
        <v>25</v>
      </c>
      <c r="F341" t="s">
        <v>695</v>
      </c>
      <c r="G341" s="92">
        <v>45938.65115740741</v>
      </c>
    </row>
    <row r="342" spans="1:7" x14ac:dyDescent="0.2">
      <c r="A342" t="s">
        <v>1232</v>
      </c>
      <c r="B342">
        <v>36.4</v>
      </c>
      <c r="C342">
        <v>31.4</v>
      </c>
      <c r="D342">
        <v>40.6</v>
      </c>
      <c r="E342">
        <v>6.3</v>
      </c>
      <c r="F342" t="s">
        <v>695</v>
      </c>
      <c r="G342" s="92">
        <v>45938.65520833333</v>
      </c>
    </row>
    <row r="343" spans="1:7" x14ac:dyDescent="0.2">
      <c r="A343" t="s">
        <v>1308</v>
      </c>
      <c r="B343">
        <v>27.2</v>
      </c>
      <c r="C343">
        <v>11.8</v>
      </c>
      <c r="D343">
        <v>32.200000000000003</v>
      </c>
      <c r="E343">
        <v>2.2000000000000002</v>
      </c>
      <c r="F343" t="s">
        <v>695</v>
      </c>
      <c r="G343" s="92">
        <v>45937.655243055553</v>
      </c>
    </row>
    <row r="344" spans="1:7" x14ac:dyDescent="0.2">
      <c r="A344" t="s">
        <v>982</v>
      </c>
      <c r="B344">
        <v>35</v>
      </c>
      <c r="C344">
        <v>38.799999999999997</v>
      </c>
      <c r="D344">
        <v>39.799999999999997</v>
      </c>
      <c r="E344">
        <v>8.9</v>
      </c>
      <c r="F344" t="s">
        <v>695</v>
      </c>
      <c r="G344" s="92">
        <v>45937.652060185188</v>
      </c>
    </row>
    <row r="345" spans="1:7" x14ac:dyDescent="0.2">
      <c r="A345" t="s">
        <v>981</v>
      </c>
      <c r="B345">
        <v>41.3</v>
      </c>
      <c r="C345">
        <v>20.3</v>
      </c>
      <c r="D345">
        <v>31</v>
      </c>
      <c r="E345">
        <v>2.2999999999999998</v>
      </c>
      <c r="F345" t="s">
        <v>695</v>
      </c>
      <c r="G345" s="92">
        <v>45937.64539351852</v>
      </c>
    </row>
    <row r="346" spans="1:7" x14ac:dyDescent="0.2">
      <c r="A346" t="s">
        <v>979</v>
      </c>
      <c r="B346">
        <v>32</v>
      </c>
      <c r="C346">
        <v>15.4</v>
      </c>
      <c r="D346">
        <v>24.6</v>
      </c>
      <c r="E346">
        <v>6.1</v>
      </c>
      <c r="F346" t="s">
        <v>695</v>
      </c>
      <c r="G346" s="92">
        <v>45937.554409722223</v>
      </c>
    </row>
    <row r="347" spans="1:7" x14ac:dyDescent="0.2">
      <c r="A347" t="s">
        <v>980</v>
      </c>
      <c r="B347">
        <v>33</v>
      </c>
      <c r="C347">
        <v>5.6</v>
      </c>
      <c r="D347">
        <v>25.4</v>
      </c>
      <c r="E347">
        <v>2</v>
      </c>
      <c r="F347" t="s">
        <v>695</v>
      </c>
      <c r="G347" s="92">
        <v>45937.554791666669</v>
      </c>
    </row>
    <row r="348" spans="1:7" x14ac:dyDescent="0.2">
      <c r="A348" t="s">
        <v>978</v>
      </c>
      <c r="B348">
        <v>35.200000000000003</v>
      </c>
      <c r="C348">
        <v>41.5</v>
      </c>
      <c r="D348">
        <v>79.3</v>
      </c>
      <c r="E348">
        <v>28.6</v>
      </c>
      <c r="F348" t="s">
        <v>695</v>
      </c>
      <c r="G348" s="92">
        <v>45937.553680555553</v>
      </c>
    </row>
    <row r="349" spans="1:7" x14ac:dyDescent="0.2">
      <c r="A349" t="s">
        <v>1139</v>
      </c>
      <c r="B349">
        <v>34.700000000000003</v>
      </c>
      <c r="C349">
        <v>22.7</v>
      </c>
      <c r="D349">
        <v>44.9</v>
      </c>
      <c r="E349">
        <v>5.6</v>
      </c>
      <c r="F349" t="s">
        <v>695</v>
      </c>
      <c r="G349" s="92">
        <v>45936.64644675926</v>
      </c>
    </row>
    <row r="350" spans="1:7" x14ac:dyDescent="0.2">
      <c r="A350" t="s">
        <v>1231</v>
      </c>
      <c r="B350">
        <v>18.100000000000001</v>
      </c>
      <c r="C350">
        <v>22.1</v>
      </c>
      <c r="D350">
        <v>20.8</v>
      </c>
      <c r="E350">
        <v>0.9</v>
      </c>
      <c r="F350" t="s">
        <v>695</v>
      </c>
      <c r="G350" s="92">
        <v>45936.487708333334</v>
      </c>
    </row>
    <row r="351" spans="1:7" x14ac:dyDescent="0.2">
      <c r="A351" t="s">
        <v>1230</v>
      </c>
      <c r="B351">
        <v>34.299999999999997</v>
      </c>
      <c r="C351">
        <v>19.399999999999999</v>
      </c>
      <c r="D351">
        <v>37.4</v>
      </c>
      <c r="E351">
        <v>9.3000000000000007</v>
      </c>
      <c r="F351" t="s">
        <v>695</v>
      </c>
      <c r="G351" s="92">
        <v>45936.369016203702</v>
      </c>
    </row>
    <row r="352" spans="1:7" x14ac:dyDescent="0.2">
      <c r="A352" t="s">
        <v>854</v>
      </c>
      <c r="B352">
        <v>19.100000000000001</v>
      </c>
      <c r="C352">
        <v>11.9</v>
      </c>
      <c r="D352">
        <v>27.2</v>
      </c>
      <c r="E352">
        <v>0.6</v>
      </c>
      <c r="F352" t="s">
        <v>205</v>
      </c>
      <c r="G352" s="92">
        <v>45934.553842592592</v>
      </c>
    </row>
    <row r="353" spans="1:7" x14ac:dyDescent="0.2">
      <c r="A353" t="s">
        <v>853</v>
      </c>
      <c r="B353">
        <v>41.3</v>
      </c>
      <c r="C353">
        <v>32.200000000000003</v>
      </c>
      <c r="D353">
        <v>67.400000000000006</v>
      </c>
      <c r="E353">
        <v>5</v>
      </c>
      <c r="F353" t="s">
        <v>205</v>
      </c>
      <c r="G353" s="92">
        <v>45934.553437499999</v>
      </c>
    </row>
    <row r="354" spans="1:7" x14ac:dyDescent="0.2">
      <c r="A354" t="s">
        <v>856</v>
      </c>
      <c r="B354">
        <v>33.6</v>
      </c>
      <c r="C354">
        <v>39.299999999999997</v>
      </c>
      <c r="D354">
        <v>48.2</v>
      </c>
      <c r="E354">
        <v>9.5</v>
      </c>
      <c r="F354" t="s">
        <v>205</v>
      </c>
      <c r="G354" s="92">
        <v>45934.554513888892</v>
      </c>
    </row>
    <row r="355" spans="1:7" x14ac:dyDescent="0.2">
      <c r="A355" t="s">
        <v>857</v>
      </c>
      <c r="B355">
        <v>33.200000000000003</v>
      </c>
      <c r="C355">
        <v>48</v>
      </c>
      <c r="D355">
        <v>48.1</v>
      </c>
      <c r="E355">
        <v>17.7</v>
      </c>
      <c r="F355" t="s">
        <v>205</v>
      </c>
      <c r="G355" s="92">
        <v>45934.555</v>
      </c>
    </row>
    <row r="356" spans="1:7" x14ac:dyDescent="0.2">
      <c r="A356" t="s">
        <v>855</v>
      </c>
      <c r="B356">
        <v>31</v>
      </c>
      <c r="C356">
        <v>31.7</v>
      </c>
      <c r="D356">
        <v>30.6</v>
      </c>
      <c r="E356">
        <v>0.9</v>
      </c>
      <c r="F356" t="s">
        <v>205</v>
      </c>
      <c r="G356" s="92">
        <v>45934.554143518515</v>
      </c>
    </row>
    <row r="357" spans="1:7" x14ac:dyDescent="0.2">
      <c r="A357" t="s">
        <v>1069</v>
      </c>
      <c r="B357">
        <v>32.1</v>
      </c>
      <c r="C357">
        <v>36.4</v>
      </c>
      <c r="D357">
        <v>31.1</v>
      </c>
      <c r="E357">
        <v>16.899999999999999</v>
      </c>
      <c r="F357" t="s">
        <v>695</v>
      </c>
      <c r="G357" s="92">
        <v>45933.7106712963</v>
      </c>
    </row>
    <row r="358" spans="1:7" x14ac:dyDescent="0.2">
      <c r="A358" t="s">
        <v>1307</v>
      </c>
      <c r="B358">
        <v>43.4</v>
      </c>
      <c r="C358">
        <v>28.7</v>
      </c>
      <c r="D358">
        <v>31.6</v>
      </c>
      <c r="E358">
        <v>1.9</v>
      </c>
      <c r="F358" t="s">
        <v>695</v>
      </c>
      <c r="G358" s="92">
        <v>45933.696493055555</v>
      </c>
    </row>
    <row r="359" spans="1:7" x14ac:dyDescent="0.2">
      <c r="A359" t="s">
        <v>1358</v>
      </c>
      <c r="B359">
        <v>31.9</v>
      </c>
      <c r="C359">
        <v>29.1</v>
      </c>
      <c r="D359">
        <v>43</v>
      </c>
      <c r="E359">
        <v>1</v>
      </c>
      <c r="F359" t="s">
        <v>695</v>
      </c>
      <c r="G359" s="92">
        <v>45933.684247685182</v>
      </c>
    </row>
    <row r="360" spans="1:7" x14ac:dyDescent="0.2">
      <c r="A360" t="s">
        <v>1138</v>
      </c>
      <c r="B360">
        <v>24.7</v>
      </c>
      <c r="C360">
        <v>34</v>
      </c>
      <c r="D360">
        <v>79.5</v>
      </c>
      <c r="E360">
        <v>9.6999999999999993</v>
      </c>
      <c r="F360" t="s">
        <v>695</v>
      </c>
      <c r="G360" s="92">
        <v>45933.6484837963</v>
      </c>
    </row>
    <row r="361" spans="1:7" x14ac:dyDescent="0.2">
      <c r="A361" t="s">
        <v>1137</v>
      </c>
      <c r="B361">
        <v>24.7</v>
      </c>
      <c r="C361">
        <v>34</v>
      </c>
      <c r="D361">
        <v>79.099999999999994</v>
      </c>
      <c r="E361">
        <v>9.6999999999999993</v>
      </c>
      <c r="F361" t="s">
        <v>695</v>
      </c>
      <c r="G361" s="92">
        <v>45933.647523148145</v>
      </c>
    </row>
    <row r="362" spans="1:7" x14ac:dyDescent="0.2">
      <c r="A362" t="s">
        <v>1303</v>
      </c>
      <c r="B362">
        <v>38.1</v>
      </c>
      <c r="C362">
        <v>18.600000000000001</v>
      </c>
      <c r="D362">
        <v>32.4</v>
      </c>
      <c r="E362">
        <v>16.7</v>
      </c>
      <c r="F362" t="s">
        <v>695</v>
      </c>
      <c r="G362" s="92">
        <v>45933.623715277776</v>
      </c>
    </row>
    <row r="363" spans="1:7" x14ac:dyDescent="0.2">
      <c r="A363" t="s">
        <v>1305</v>
      </c>
      <c r="B363">
        <v>41.9</v>
      </c>
      <c r="C363">
        <v>12.5</v>
      </c>
      <c r="D363">
        <v>51</v>
      </c>
      <c r="E363">
        <v>4.7</v>
      </c>
      <c r="F363" t="s">
        <v>695</v>
      </c>
      <c r="G363" s="92">
        <v>45933.625474537039</v>
      </c>
    </row>
    <row r="364" spans="1:7" x14ac:dyDescent="0.2">
      <c r="A364" t="s">
        <v>1304</v>
      </c>
      <c r="B364">
        <v>42.6</v>
      </c>
      <c r="C364">
        <v>12.5</v>
      </c>
      <c r="D364">
        <v>51.3</v>
      </c>
      <c r="E364">
        <v>3.1</v>
      </c>
      <c r="F364" t="s">
        <v>695</v>
      </c>
      <c r="G364" s="92">
        <v>45933.625150462962</v>
      </c>
    </row>
    <row r="365" spans="1:7" x14ac:dyDescent="0.2">
      <c r="A365" t="s">
        <v>1306</v>
      </c>
      <c r="B365">
        <v>42</v>
      </c>
      <c r="C365">
        <v>12.5</v>
      </c>
      <c r="D365">
        <v>51.7</v>
      </c>
      <c r="E365">
        <v>4.9000000000000004</v>
      </c>
      <c r="F365" t="s">
        <v>695</v>
      </c>
      <c r="G365" s="92">
        <v>45933.625868055555</v>
      </c>
    </row>
    <row r="366" spans="1:7" x14ac:dyDescent="0.2">
      <c r="A366" t="s">
        <v>1421</v>
      </c>
      <c r="B366">
        <v>26</v>
      </c>
      <c r="C366">
        <v>29.7</v>
      </c>
      <c r="D366">
        <v>37.1</v>
      </c>
      <c r="E366">
        <v>2.6</v>
      </c>
      <c r="F366" t="s">
        <v>695</v>
      </c>
      <c r="G366" s="92">
        <v>45933.609606481485</v>
      </c>
    </row>
    <row r="367" spans="1:7" x14ac:dyDescent="0.2">
      <c r="A367" t="s">
        <v>1420</v>
      </c>
      <c r="B367">
        <v>40.9</v>
      </c>
      <c r="C367">
        <v>35.200000000000003</v>
      </c>
      <c r="D367">
        <v>79.400000000000006</v>
      </c>
      <c r="E367">
        <v>11.7</v>
      </c>
      <c r="F367" t="s">
        <v>695</v>
      </c>
      <c r="G367" s="92">
        <v>45933.602939814817</v>
      </c>
    </row>
    <row r="368" spans="1:7" x14ac:dyDescent="0.2">
      <c r="A368" t="s">
        <v>1419</v>
      </c>
      <c r="B368">
        <v>58</v>
      </c>
      <c r="C368">
        <v>40</v>
      </c>
      <c r="D368">
        <v>44.6</v>
      </c>
      <c r="E368">
        <v>5.8</v>
      </c>
      <c r="F368" t="s">
        <v>695</v>
      </c>
      <c r="G368" s="92">
        <v>45933.601851851854</v>
      </c>
    </row>
    <row r="369" spans="1:7" x14ac:dyDescent="0.2">
      <c r="A369" t="s">
        <v>852</v>
      </c>
      <c r="B369">
        <v>23.3</v>
      </c>
      <c r="C369">
        <v>64.3</v>
      </c>
      <c r="D369">
        <v>23.6</v>
      </c>
      <c r="E369">
        <v>23.3</v>
      </c>
      <c r="F369" t="s">
        <v>695</v>
      </c>
      <c r="G369" s="92">
        <v>45933.36409722222</v>
      </c>
    </row>
    <row r="370" spans="1:7" x14ac:dyDescent="0.2">
      <c r="A370" t="s">
        <v>977</v>
      </c>
      <c r="B370">
        <v>32</v>
      </c>
      <c r="C370">
        <v>17.899999999999999</v>
      </c>
      <c r="D370">
        <v>50.9</v>
      </c>
      <c r="E370">
        <v>11.7</v>
      </c>
      <c r="F370" t="s">
        <v>695</v>
      </c>
      <c r="G370" s="92">
        <v>45932.72115740741</v>
      </c>
    </row>
    <row r="371" spans="1:7" x14ac:dyDescent="0.2">
      <c r="A371" t="s">
        <v>1068</v>
      </c>
      <c r="B371">
        <v>50.2</v>
      </c>
      <c r="C371">
        <v>31.4</v>
      </c>
      <c r="D371">
        <v>28.6</v>
      </c>
      <c r="E371">
        <v>7.8</v>
      </c>
      <c r="F371" t="s">
        <v>695</v>
      </c>
      <c r="G371" s="92">
        <v>45932.698946759258</v>
      </c>
    </row>
    <row r="372" spans="1:7" x14ac:dyDescent="0.2">
      <c r="A372" t="s">
        <v>1229</v>
      </c>
      <c r="B372">
        <v>69.8</v>
      </c>
      <c r="C372">
        <v>28.9</v>
      </c>
      <c r="D372">
        <v>42.8</v>
      </c>
      <c r="E372">
        <v>5.9</v>
      </c>
      <c r="F372" t="s">
        <v>695</v>
      </c>
      <c r="G372" s="92">
        <v>45932.726666666669</v>
      </c>
    </row>
    <row r="373" spans="1:7" x14ac:dyDescent="0.2">
      <c r="A373" t="s">
        <v>851</v>
      </c>
      <c r="B373">
        <v>28.2</v>
      </c>
      <c r="C373">
        <v>28.5</v>
      </c>
      <c r="D373">
        <v>35.5</v>
      </c>
      <c r="E373">
        <v>8.1999999999999993</v>
      </c>
      <c r="F373" t="s">
        <v>695</v>
      </c>
      <c r="G373" s="92">
        <v>45931.688321759262</v>
      </c>
    </row>
    <row r="374" spans="1:7" x14ac:dyDescent="0.2">
      <c r="A374" t="s">
        <v>1302</v>
      </c>
      <c r="B374">
        <v>23.1</v>
      </c>
      <c r="C374">
        <v>9</v>
      </c>
      <c r="D374">
        <v>30.5</v>
      </c>
      <c r="E374">
        <v>2.5</v>
      </c>
      <c r="F374" t="s">
        <v>695</v>
      </c>
      <c r="G374" s="92">
        <v>45931.565787037034</v>
      </c>
    </row>
    <row r="375" spans="1:7" x14ac:dyDescent="0.2">
      <c r="A375" t="s">
        <v>1356</v>
      </c>
      <c r="B375">
        <v>20.399999999999999</v>
      </c>
      <c r="C375">
        <v>14.8</v>
      </c>
      <c r="D375">
        <v>24.1</v>
      </c>
      <c r="E375">
        <v>0.6</v>
      </c>
      <c r="F375" t="s">
        <v>310</v>
      </c>
      <c r="G375" s="92">
        <v>45924.615381944444</v>
      </c>
    </row>
    <row r="376" spans="1:7" x14ac:dyDescent="0.2">
      <c r="A376" t="s">
        <v>849</v>
      </c>
      <c r="B376">
        <v>27.5</v>
      </c>
      <c r="C376">
        <v>21.3</v>
      </c>
      <c r="D376">
        <v>71.099999999999994</v>
      </c>
      <c r="E376">
        <v>3.8</v>
      </c>
      <c r="F376" t="s">
        <v>310</v>
      </c>
      <c r="G376" s="92">
        <v>45924.477731481478</v>
      </c>
    </row>
    <row r="377" spans="1:7" x14ac:dyDescent="0.2">
      <c r="A377" t="s">
        <v>848</v>
      </c>
      <c r="B377">
        <v>27.3</v>
      </c>
      <c r="C377">
        <v>21.3</v>
      </c>
      <c r="D377">
        <v>71.599999999999994</v>
      </c>
      <c r="E377">
        <v>3.8</v>
      </c>
      <c r="F377" t="s">
        <v>310</v>
      </c>
      <c r="G377" s="92">
        <v>45924.477002314816</v>
      </c>
    </row>
    <row r="378" spans="1:7" x14ac:dyDescent="0.2">
      <c r="A378" t="s">
        <v>1296</v>
      </c>
      <c r="B378">
        <v>20.6</v>
      </c>
      <c r="C378">
        <v>11.8</v>
      </c>
      <c r="D378">
        <v>28</v>
      </c>
      <c r="E378">
        <v>0.4</v>
      </c>
      <c r="F378" t="s">
        <v>310</v>
      </c>
      <c r="G378" s="92">
        <v>45922.594953703701</v>
      </c>
    </row>
    <row r="379" spans="1:7" x14ac:dyDescent="0.2">
      <c r="A379" t="s">
        <v>1418</v>
      </c>
      <c r="B379">
        <v>34.5</v>
      </c>
      <c r="C379">
        <v>40.4</v>
      </c>
      <c r="D379">
        <v>39.299999999999997</v>
      </c>
      <c r="E379">
        <v>7.7</v>
      </c>
      <c r="F379" t="s">
        <v>310</v>
      </c>
      <c r="G379" s="92">
        <v>45922.566944444443</v>
      </c>
    </row>
    <row r="380" spans="1:7" x14ac:dyDescent="0.2">
      <c r="A380" t="s">
        <v>974</v>
      </c>
      <c r="B380">
        <v>24.5</v>
      </c>
      <c r="C380">
        <v>37.200000000000003</v>
      </c>
      <c r="D380">
        <v>23.6</v>
      </c>
      <c r="E380">
        <v>19.5</v>
      </c>
      <c r="F380" t="s">
        <v>310</v>
      </c>
      <c r="G380" s="92">
        <v>45922.450671296298</v>
      </c>
    </row>
    <row r="381" spans="1:7" x14ac:dyDescent="0.2">
      <c r="A381" t="s">
        <v>975</v>
      </c>
      <c r="B381">
        <v>37.1</v>
      </c>
      <c r="C381">
        <v>39.4</v>
      </c>
      <c r="D381">
        <v>37.4</v>
      </c>
      <c r="E381">
        <v>22.1</v>
      </c>
      <c r="F381" t="s">
        <v>310</v>
      </c>
      <c r="G381" s="92">
        <v>45922.451886574076</v>
      </c>
    </row>
    <row r="382" spans="1:7" x14ac:dyDescent="0.2">
      <c r="A382" t="s">
        <v>1136</v>
      </c>
      <c r="B382">
        <v>23</v>
      </c>
      <c r="C382">
        <v>17.8</v>
      </c>
      <c r="D382">
        <v>30.4</v>
      </c>
      <c r="E382">
        <v>1.6</v>
      </c>
      <c r="F382" t="s">
        <v>310</v>
      </c>
      <c r="G382" s="92">
        <v>45919.611168981479</v>
      </c>
    </row>
    <row r="383" spans="1:7" x14ac:dyDescent="0.2">
      <c r="A383" t="s">
        <v>1224</v>
      </c>
      <c r="B383">
        <v>26.3</v>
      </c>
      <c r="C383">
        <v>20</v>
      </c>
      <c r="D383">
        <v>33</v>
      </c>
      <c r="E383">
        <v>2</v>
      </c>
      <c r="F383" t="s">
        <v>310</v>
      </c>
      <c r="G383" s="92">
        <v>45919.590138888889</v>
      </c>
    </row>
    <row r="384" spans="1:7" x14ac:dyDescent="0.2">
      <c r="A384" t="s">
        <v>1295</v>
      </c>
      <c r="B384">
        <v>41.5</v>
      </c>
      <c r="C384">
        <v>15.3</v>
      </c>
      <c r="D384">
        <v>47.5</v>
      </c>
      <c r="E384">
        <v>13.9</v>
      </c>
      <c r="F384" t="s">
        <v>210</v>
      </c>
      <c r="G384" s="92">
        <v>45919.336608796293</v>
      </c>
    </row>
    <row r="385" spans="1:7" x14ac:dyDescent="0.2">
      <c r="A385" t="s">
        <v>1066</v>
      </c>
      <c r="B385">
        <v>30.8</v>
      </c>
      <c r="C385">
        <v>22</v>
      </c>
      <c r="D385">
        <v>38.299999999999997</v>
      </c>
      <c r="E385">
        <v>1.8</v>
      </c>
      <c r="F385" t="s">
        <v>310</v>
      </c>
      <c r="G385" s="92">
        <v>45918.66369212963</v>
      </c>
    </row>
    <row r="386" spans="1:7" x14ac:dyDescent="0.2">
      <c r="A386" t="s">
        <v>847</v>
      </c>
      <c r="B386">
        <v>21.3</v>
      </c>
      <c r="C386">
        <v>11.6</v>
      </c>
      <c r="D386">
        <v>20.7</v>
      </c>
      <c r="E386">
        <v>1</v>
      </c>
      <c r="F386" t="s">
        <v>310</v>
      </c>
      <c r="G386" s="92">
        <v>45918.60974537037</v>
      </c>
    </row>
    <row r="387" spans="1:7" x14ac:dyDescent="0.2">
      <c r="A387" t="s">
        <v>845</v>
      </c>
      <c r="B387">
        <v>15</v>
      </c>
      <c r="C387">
        <v>11.6</v>
      </c>
      <c r="D387">
        <v>20</v>
      </c>
      <c r="E387">
        <v>0.8</v>
      </c>
      <c r="F387" t="s">
        <v>310</v>
      </c>
      <c r="G387" s="92">
        <v>45918.60733796296</v>
      </c>
    </row>
    <row r="388" spans="1:7" x14ac:dyDescent="0.2">
      <c r="A388" t="s">
        <v>846</v>
      </c>
      <c r="B388">
        <v>16.899999999999999</v>
      </c>
      <c r="C388">
        <v>12.6</v>
      </c>
      <c r="D388">
        <v>24.1</v>
      </c>
      <c r="E388">
        <v>0.8</v>
      </c>
      <c r="F388" t="s">
        <v>310</v>
      </c>
      <c r="G388" s="92">
        <v>45918.606412037036</v>
      </c>
    </row>
    <row r="389" spans="1:7" x14ac:dyDescent="0.2">
      <c r="A389" t="s">
        <v>1294</v>
      </c>
      <c r="B389">
        <v>34.299999999999997</v>
      </c>
      <c r="C389">
        <v>39</v>
      </c>
      <c r="D389">
        <v>39</v>
      </c>
      <c r="E389">
        <v>5.2</v>
      </c>
      <c r="F389" t="s">
        <v>310</v>
      </c>
      <c r="G389" s="92">
        <v>45918.562037037038</v>
      </c>
    </row>
    <row r="390" spans="1:7" x14ac:dyDescent="0.2">
      <c r="A390" t="s">
        <v>1293</v>
      </c>
      <c r="B390">
        <v>34.5</v>
      </c>
      <c r="C390">
        <v>39.700000000000003</v>
      </c>
      <c r="D390">
        <v>38.9</v>
      </c>
      <c r="E390">
        <v>3.2</v>
      </c>
      <c r="F390" t="s">
        <v>310</v>
      </c>
      <c r="G390" s="92">
        <v>45918.485937500001</v>
      </c>
    </row>
    <row r="391" spans="1:7" x14ac:dyDescent="0.2">
      <c r="A391" t="s">
        <v>973</v>
      </c>
      <c r="B391">
        <v>16.2</v>
      </c>
      <c r="C391">
        <v>5.7</v>
      </c>
      <c r="D391">
        <v>22.5</v>
      </c>
      <c r="E391">
        <v>0.1</v>
      </c>
      <c r="F391" t="s">
        <v>205</v>
      </c>
      <c r="G391" s="92">
        <v>45917.358888888892</v>
      </c>
    </row>
    <row r="392" spans="1:7" x14ac:dyDescent="0.2">
      <c r="A392" t="s">
        <v>1135</v>
      </c>
      <c r="B392">
        <v>21.9</v>
      </c>
      <c r="C392">
        <v>17.3</v>
      </c>
      <c r="D392">
        <v>30.1</v>
      </c>
      <c r="E392">
        <v>2.9</v>
      </c>
      <c r="F392" t="s">
        <v>205</v>
      </c>
      <c r="G392" s="92">
        <v>45916.626527777778</v>
      </c>
    </row>
    <row r="393" spans="1:7" x14ac:dyDescent="0.2">
      <c r="A393" t="s">
        <v>1134</v>
      </c>
      <c r="B393">
        <v>20.6</v>
      </c>
      <c r="C393">
        <v>7.9</v>
      </c>
      <c r="D393">
        <v>30.4</v>
      </c>
      <c r="E393">
        <v>0.5</v>
      </c>
      <c r="F393" t="s">
        <v>205</v>
      </c>
      <c r="G393" s="92">
        <v>45916.419444444444</v>
      </c>
    </row>
    <row r="394" spans="1:7" x14ac:dyDescent="0.2">
      <c r="A394" t="s">
        <v>1133</v>
      </c>
      <c r="B394">
        <v>21.1</v>
      </c>
      <c r="C394">
        <v>18.7</v>
      </c>
      <c r="D394">
        <v>31.1</v>
      </c>
      <c r="E394">
        <v>0.7</v>
      </c>
      <c r="F394" t="s">
        <v>205</v>
      </c>
      <c r="G394" s="92">
        <v>45916.418854166666</v>
      </c>
    </row>
    <row r="395" spans="1:7" x14ac:dyDescent="0.2">
      <c r="A395" t="s">
        <v>1131</v>
      </c>
      <c r="B395">
        <v>37</v>
      </c>
      <c r="C395">
        <v>13.7</v>
      </c>
      <c r="D395">
        <v>49.9</v>
      </c>
      <c r="E395">
        <v>13.3</v>
      </c>
      <c r="F395" t="s">
        <v>310</v>
      </c>
      <c r="G395" s="92">
        <v>45913.604467592595</v>
      </c>
    </row>
    <row r="396" spans="1:7" x14ac:dyDescent="0.2">
      <c r="A396" t="s">
        <v>1132</v>
      </c>
      <c r="B396">
        <v>29</v>
      </c>
      <c r="C396">
        <v>27.9</v>
      </c>
      <c r="D396">
        <v>54.5</v>
      </c>
      <c r="E396">
        <v>17.2</v>
      </c>
      <c r="F396" t="s">
        <v>310</v>
      </c>
      <c r="G396" s="92">
        <v>45913.605254629627</v>
      </c>
    </row>
    <row r="397" spans="1:7" x14ac:dyDescent="0.2">
      <c r="A397" t="s">
        <v>1130</v>
      </c>
      <c r="B397">
        <v>37.200000000000003</v>
      </c>
      <c r="C397">
        <v>37.200000000000003</v>
      </c>
      <c r="D397">
        <v>39.6</v>
      </c>
      <c r="E397">
        <v>22.2</v>
      </c>
      <c r="F397" t="s">
        <v>196</v>
      </c>
      <c r="G397" s="92">
        <v>45912.656238425923</v>
      </c>
    </row>
    <row r="398" spans="1:7" x14ac:dyDescent="0.2">
      <c r="A398" t="s">
        <v>1129</v>
      </c>
      <c r="B398">
        <v>31.7</v>
      </c>
      <c r="C398">
        <v>23.7</v>
      </c>
      <c r="D398">
        <v>24.7</v>
      </c>
      <c r="E398">
        <v>1.6</v>
      </c>
      <c r="F398" t="s">
        <v>196</v>
      </c>
      <c r="G398" s="92">
        <v>45912.653634259259</v>
      </c>
    </row>
    <row r="399" spans="1:7" x14ac:dyDescent="0.2">
      <c r="A399" t="s">
        <v>1128</v>
      </c>
      <c r="B399">
        <v>69.5</v>
      </c>
      <c r="C399">
        <v>42.6</v>
      </c>
      <c r="D399">
        <v>28.2</v>
      </c>
      <c r="E399">
        <v>6</v>
      </c>
      <c r="F399" t="s">
        <v>196</v>
      </c>
      <c r="G399" s="92">
        <v>45912.393761574072</v>
      </c>
    </row>
    <row r="400" spans="1:7" x14ac:dyDescent="0.2">
      <c r="A400" t="s">
        <v>1292</v>
      </c>
      <c r="B400">
        <v>59.6</v>
      </c>
      <c r="C400">
        <v>45.4</v>
      </c>
      <c r="D400">
        <v>45.9</v>
      </c>
      <c r="E400">
        <v>20.8</v>
      </c>
      <c r="F400" t="s">
        <v>196</v>
      </c>
      <c r="G400" s="92">
        <v>45911.648148148146</v>
      </c>
    </row>
    <row r="401" spans="1:7" x14ac:dyDescent="0.2">
      <c r="A401" t="s">
        <v>1290</v>
      </c>
      <c r="B401">
        <v>31.6</v>
      </c>
      <c r="C401">
        <v>22.8</v>
      </c>
      <c r="D401">
        <v>17.7</v>
      </c>
      <c r="E401">
        <v>1.2</v>
      </c>
      <c r="F401" t="s">
        <v>196</v>
      </c>
      <c r="G401" s="92">
        <v>45911.646979166668</v>
      </c>
    </row>
    <row r="402" spans="1:7" x14ac:dyDescent="0.2">
      <c r="A402" t="s">
        <v>1291</v>
      </c>
      <c r="B402">
        <v>30.8</v>
      </c>
      <c r="C402">
        <v>22.7</v>
      </c>
      <c r="D402">
        <v>18</v>
      </c>
      <c r="E402">
        <v>1.2</v>
      </c>
      <c r="F402" t="s">
        <v>196</v>
      </c>
      <c r="G402" s="92">
        <v>45911.647349537037</v>
      </c>
    </row>
    <row r="403" spans="1:7" x14ac:dyDescent="0.2">
      <c r="A403" t="s">
        <v>1289</v>
      </c>
      <c r="B403">
        <v>38.9</v>
      </c>
      <c r="C403">
        <v>28.8</v>
      </c>
      <c r="D403">
        <v>31.9</v>
      </c>
      <c r="E403">
        <v>4.3</v>
      </c>
      <c r="F403" t="s">
        <v>196</v>
      </c>
      <c r="G403" s="92">
        <v>45911.646562499998</v>
      </c>
    </row>
    <row r="404" spans="1:7" x14ac:dyDescent="0.2">
      <c r="A404" t="s">
        <v>1417</v>
      </c>
      <c r="B404">
        <v>48.9</v>
      </c>
      <c r="C404">
        <v>31.3</v>
      </c>
      <c r="D404">
        <v>15.7</v>
      </c>
      <c r="E404">
        <v>1.9</v>
      </c>
      <c r="F404" t="s">
        <v>196</v>
      </c>
      <c r="G404" s="92">
        <v>45910.656539351854</v>
      </c>
    </row>
    <row r="405" spans="1:7" x14ac:dyDescent="0.2">
      <c r="A405" t="s">
        <v>1416</v>
      </c>
      <c r="B405">
        <v>22.9</v>
      </c>
      <c r="C405">
        <v>14.6</v>
      </c>
      <c r="D405">
        <v>12.8</v>
      </c>
      <c r="E405">
        <v>0.3</v>
      </c>
      <c r="F405" t="s">
        <v>196</v>
      </c>
      <c r="G405" s="92">
        <v>45910.655891203707</v>
      </c>
    </row>
    <row r="406" spans="1:7" x14ac:dyDescent="0.2">
      <c r="A406" t="s">
        <v>1414</v>
      </c>
      <c r="B406">
        <v>34.799999999999997</v>
      </c>
      <c r="C406">
        <v>17.3</v>
      </c>
      <c r="D406">
        <v>24.8</v>
      </c>
      <c r="E406">
        <v>7.5</v>
      </c>
      <c r="F406" t="s">
        <v>196</v>
      </c>
      <c r="G406" s="92">
        <v>45910.58489583333</v>
      </c>
    </row>
    <row r="407" spans="1:7" x14ac:dyDescent="0.2">
      <c r="A407" t="s">
        <v>1415</v>
      </c>
      <c r="B407">
        <v>35.700000000000003</v>
      </c>
      <c r="C407">
        <v>19</v>
      </c>
      <c r="D407">
        <v>10.4</v>
      </c>
      <c r="E407">
        <v>0.5</v>
      </c>
      <c r="F407" t="s">
        <v>196</v>
      </c>
      <c r="G407" s="92">
        <v>45910.584386574075</v>
      </c>
    </row>
    <row r="408" spans="1:7" x14ac:dyDescent="0.2">
      <c r="A408" t="s">
        <v>1127</v>
      </c>
      <c r="B408">
        <v>35.5</v>
      </c>
      <c r="C408">
        <v>27.7</v>
      </c>
      <c r="D408">
        <v>4.5999999999999996</v>
      </c>
      <c r="E408">
        <v>272</v>
      </c>
      <c r="F408" t="s">
        <v>196</v>
      </c>
      <c r="G408" s="92">
        <v>45908.640636574077</v>
      </c>
    </row>
    <row r="409" spans="1:7" x14ac:dyDescent="0.2">
      <c r="A409" t="s">
        <v>1124</v>
      </c>
      <c r="B409">
        <v>52.7</v>
      </c>
      <c r="C409">
        <v>42</v>
      </c>
      <c r="D409">
        <v>68.900000000000006</v>
      </c>
      <c r="E409">
        <v>11.4</v>
      </c>
      <c r="F409" t="s">
        <v>196</v>
      </c>
      <c r="G409" s="92">
        <v>45908.633194444446</v>
      </c>
    </row>
    <row r="410" spans="1:7" x14ac:dyDescent="0.2">
      <c r="A410" t="s">
        <v>1125</v>
      </c>
      <c r="B410">
        <v>42.9</v>
      </c>
      <c r="C410">
        <v>28</v>
      </c>
      <c r="D410">
        <v>26.2</v>
      </c>
      <c r="E410">
        <v>18.600000000000001</v>
      </c>
      <c r="F410" t="s">
        <v>196</v>
      </c>
      <c r="G410" s="92">
        <v>45908.639004629629</v>
      </c>
    </row>
    <row r="411" spans="1:7" x14ac:dyDescent="0.2">
      <c r="A411" t="s">
        <v>1126</v>
      </c>
      <c r="B411">
        <v>51</v>
      </c>
      <c r="C411">
        <v>28.2</v>
      </c>
      <c r="D411">
        <v>18.100000000000001</v>
      </c>
      <c r="E411">
        <v>8.5</v>
      </c>
      <c r="F411" t="s">
        <v>196</v>
      </c>
      <c r="G411" s="92">
        <v>45908.638310185182</v>
      </c>
    </row>
    <row r="412" spans="1:7" x14ac:dyDescent="0.2">
      <c r="A412" t="s">
        <v>1223</v>
      </c>
      <c r="B412">
        <v>43.4</v>
      </c>
      <c r="C412">
        <v>34.9</v>
      </c>
      <c r="D412">
        <v>29.8</v>
      </c>
      <c r="E412">
        <v>9.4</v>
      </c>
      <c r="F412" t="s">
        <v>196</v>
      </c>
      <c r="G412" s="92">
        <v>45905.680104166669</v>
      </c>
    </row>
    <row r="413" spans="1:7" x14ac:dyDescent="0.2">
      <c r="A413" t="s">
        <v>1287</v>
      </c>
      <c r="B413">
        <v>38.5</v>
      </c>
      <c r="C413">
        <v>32.700000000000003</v>
      </c>
      <c r="D413">
        <v>16.3</v>
      </c>
      <c r="E413">
        <v>1.8</v>
      </c>
      <c r="F413" t="s">
        <v>196</v>
      </c>
      <c r="G413" s="92">
        <v>45905.607939814814</v>
      </c>
    </row>
    <row r="414" spans="1:7" x14ac:dyDescent="0.2">
      <c r="A414" t="s">
        <v>1288</v>
      </c>
      <c r="B414">
        <v>38.9</v>
      </c>
      <c r="C414">
        <v>32.4</v>
      </c>
      <c r="D414">
        <v>16</v>
      </c>
      <c r="E414">
        <v>1.7</v>
      </c>
      <c r="F414" t="s">
        <v>196</v>
      </c>
      <c r="G414" s="92">
        <v>45905.608437499999</v>
      </c>
    </row>
    <row r="415" spans="1:7" x14ac:dyDescent="0.2">
      <c r="A415" t="s">
        <v>1285</v>
      </c>
      <c r="B415">
        <v>38.700000000000003</v>
      </c>
      <c r="C415">
        <v>32.6</v>
      </c>
      <c r="D415">
        <v>16.100000000000001</v>
      </c>
      <c r="E415">
        <v>1.6</v>
      </c>
      <c r="F415" t="s">
        <v>196</v>
      </c>
      <c r="G415" s="92">
        <v>45905.607407407406</v>
      </c>
    </row>
    <row r="416" spans="1:7" x14ac:dyDescent="0.2">
      <c r="A416" t="s">
        <v>1286</v>
      </c>
      <c r="B416">
        <v>25.1</v>
      </c>
      <c r="C416">
        <v>26</v>
      </c>
      <c r="D416">
        <v>46.3</v>
      </c>
      <c r="E416">
        <v>1.4</v>
      </c>
      <c r="F416" t="s">
        <v>196</v>
      </c>
      <c r="G416" s="92">
        <v>45905.605902777781</v>
      </c>
    </row>
    <row r="417" spans="1:7" x14ac:dyDescent="0.2">
      <c r="A417" t="s">
        <v>972</v>
      </c>
      <c r="B417">
        <v>33.4</v>
      </c>
      <c r="C417">
        <v>19</v>
      </c>
      <c r="D417">
        <v>17.3</v>
      </c>
      <c r="E417">
        <v>0.8</v>
      </c>
      <c r="F417" t="s">
        <v>196</v>
      </c>
      <c r="G417" s="92">
        <v>45904.699513888889</v>
      </c>
    </row>
    <row r="418" spans="1:7" x14ac:dyDescent="0.2">
      <c r="A418" t="s">
        <v>971</v>
      </c>
      <c r="B418">
        <v>33.6</v>
      </c>
      <c r="C418">
        <v>19</v>
      </c>
      <c r="D418">
        <v>17.100000000000001</v>
      </c>
      <c r="E418">
        <v>0.8</v>
      </c>
      <c r="F418" t="s">
        <v>196</v>
      </c>
      <c r="G418" s="92">
        <v>45904.699236111112</v>
      </c>
    </row>
    <row r="419" spans="1:7" x14ac:dyDescent="0.2">
      <c r="A419" t="s">
        <v>970</v>
      </c>
      <c r="B419">
        <v>35.700000000000003</v>
      </c>
      <c r="C419">
        <v>31.9</v>
      </c>
      <c r="D419">
        <v>10.3</v>
      </c>
      <c r="E419">
        <v>0.6</v>
      </c>
      <c r="F419" t="s">
        <v>196</v>
      </c>
      <c r="G419" s="92">
        <v>45904.698923611111</v>
      </c>
    </row>
    <row r="420" spans="1:7" x14ac:dyDescent="0.2">
      <c r="A420" t="s">
        <v>968</v>
      </c>
      <c r="B420">
        <v>47.6</v>
      </c>
      <c r="C420">
        <v>27.4</v>
      </c>
      <c r="D420">
        <v>33.6</v>
      </c>
      <c r="E420">
        <v>6.2</v>
      </c>
      <c r="F420" t="s">
        <v>196</v>
      </c>
      <c r="G420" s="92">
        <v>45904.675879629627</v>
      </c>
    </row>
    <row r="421" spans="1:7" x14ac:dyDescent="0.2">
      <c r="A421" t="s">
        <v>967</v>
      </c>
      <c r="B421">
        <v>48.2</v>
      </c>
      <c r="C421">
        <v>27.4</v>
      </c>
      <c r="D421">
        <v>33.1</v>
      </c>
      <c r="E421">
        <v>6.2</v>
      </c>
      <c r="F421" t="s">
        <v>196</v>
      </c>
      <c r="G421" s="92">
        <v>45904.675532407404</v>
      </c>
    </row>
    <row r="422" spans="1:7" x14ac:dyDescent="0.2">
      <c r="A422" t="s">
        <v>969</v>
      </c>
      <c r="B422">
        <v>48.9</v>
      </c>
      <c r="C422">
        <v>36.9</v>
      </c>
      <c r="D422">
        <v>28.2</v>
      </c>
      <c r="E422">
        <v>4.0999999999999996</v>
      </c>
      <c r="F422" t="s">
        <v>196</v>
      </c>
      <c r="G422" s="92">
        <v>45904.676215277781</v>
      </c>
    </row>
    <row r="423" spans="1:7" x14ac:dyDescent="0.2">
      <c r="A423" t="s">
        <v>966</v>
      </c>
      <c r="B423">
        <v>39.200000000000003</v>
      </c>
      <c r="C423">
        <v>34.200000000000003</v>
      </c>
      <c r="D423">
        <v>39.9</v>
      </c>
      <c r="E423">
        <v>3.7</v>
      </c>
      <c r="F423" t="s">
        <v>196</v>
      </c>
      <c r="G423" s="92">
        <v>45904.671099537038</v>
      </c>
    </row>
    <row r="424" spans="1:7" x14ac:dyDescent="0.2">
      <c r="A424" t="s">
        <v>965</v>
      </c>
      <c r="B424">
        <v>41.7</v>
      </c>
      <c r="C424">
        <v>39.9</v>
      </c>
      <c r="D424">
        <v>29.5</v>
      </c>
      <c r="E424">
        <v>8.3000000000000007</v>
      </c>
      <c r="F424" t="s">
        <v>196</v>
      </c>
      <c r="G424" s="92">
        <v>45904.670381944445</v>
      </c>
    </row>
    <row r="425" spans="1:7" x14ac:dyDescent="0.2">
      <c r="A425" t="s">
        <v>963</v>
      </c>
      <c r="B425">
        <v>41.3</v>
      </c>
      <c r="C425">
        <v>39.9</v>
      </c>
      <c r="D425">
        <v>29.6</v>
      </c>
      <c r="E425">
        <v>13.1</v>
      </c>
      <c r="F425" t="s">
        <v>196</v>
      </c>
      <c r="G425" s="92">
        <v>45904.669317129628</v>
      </c>
    </row>
    <row r="426" spans="1:7" x14ac:dyDescent="0.2">
      <c r="A426" t="s">
        <v>964</v>
      </c>
      <c r="B426">
        <v>42.3</v>
      </c>
      <c r="C426">
        <v>30</v>
      </c>
      <c r="D426">
        <v>19.399999999999999</v>
      </c>
      <c r="E426">
        <v>12.4</v>
      </c>
      <c r="F426" t="s">
        <v>196</v>
      </c>
      <c r="G426" s="92">
        <v>45904.668611111112</v>
      </c>
    </row>
    <row r="427" spans="1:7" x14ac:dyDescent="0.2">
      <c r="A427" t="s">
        <v>1411</v>
      </c>
      <c r="B427">
        <v>27.3</v>
      </c>
      <c r="C427">
        <v>11.6</v>
      </c>
      <c r="D427">
        <v>32.4</v>
      </c>
      <c r="E427">
        <v>1</v>
      </c>
      <c r="F427" t="s">
        <v>310</v>
      </c>
      <c r="G427" s="92">
        <v>45902.670115740744</v>
      </c>
    </row>
    <row r="428" spans="1:7" x14ac:dyDescent="0.2">
      <c r="A428" t="s">
        <v>1412</v>
      </c>
      <c r="B428">
        <v>38.799999999999997</v>
      </c>
      <c r="C428">
        <v>65</v>
      </c>
      <c r="D428">
        <v>47.9</v>
      </c>
      <c r="E428">
        <v>24.1</v>
      </c>
      <c r="F428" t="s">
        <v>310</v>
      </c>
      <c r="G428" s="92">
        <v>45902.671689814815</v>
      </c>
    </row>
    <row r="429" spans="1:7" x14ac:dyDescent="0.2">
      <c r="A429" t="s">
        <v>1413</v>
      </c>
      <c r="B429">
        <v>40.1</v>
      </c>
      <c r="C429">
        <v>34.299999999999997</v>
      </c>
      <c r="D429">
        <v>39.799999999999997</v>
      </c>
      <c r="E429">
        <v>7.3</v>
      </c>
      <c r="F429" t="s">
        <v>310</v>
      </c>
      <c r="G429" s="92">
        <v>45902.688958333332</v>
      </c>
    </row>
    <row r="430" spans="1:7" x14ac:dyDescent="0.2">
      <c r="A430" t="s">
        <v>1219</v>
      </c>
      <c r="B430">
        <v>53.1</v>
      </c>
      <c r="C430">
        <v>37.299999999999997</v>
      </c>
      <c r="D430">
        <v>38.700000000000003</v>
      </c>
      <c r="E430">
        <v>12.1</v>
      </c>
      <c r="F430" t="s">
        <v>196</v>
      </c>
      <c r="G430" s="92">
        <v>45901.671435185184</v>
      </c>
    </row>
    <row r="431" spans="1:7" x14ac:dyDescent="0.2">
      <c r="A431" t="s">
        <v>1221</v>
      </c>
      <c r="B431">
        <v>60.8</v>
      </c>
      <c r="C431">
        <v>32.1</v>
      </c>
      <c r="D431">
        <v>31.8</v>
      </c>
      <c r="E431">
        <v>4.0999999999999996</v>
      </c>
      <c r="F431" t="s">
        <v>196</v>
      </c>
      <c r="G431" s="92">
        <v>45901.673622685186</v>
      </c>
    </row>
    <row r="432" spans="1:7" x14ac:dyDescent="0.2">
      <c r="A432" t="s">
        <v>1222</v>
      </c>
      <c r="B432">
        <v>71.900000000000006</v>
      </c>
      <c r="C432">
        <v>27.6</v>
      </c>
      <c r="D432">
        <v>21.1</v>
      </c>
      <c r="E432">
        <v>4</v>
      </c>
      <c r="F432" t="s">
        <v>196</v>
      </c>
      <c r="G432" s="92">
        <v>45901.674872685187</v>
      </c>
    </row>
    <row r="433" spans="1:7" x14ac:dyDescent="0.2">
      <c r="A433" t="s">
        <v>1220</v>
      </c>
      <c r="B433">
        <v>28.7</v>
      </c>
      <c r="C433">
        <v>18</v>
      </c>
      <c r="D433">
        <v>21</v>
      </c>
      <c r="E433">
        <v>2.4</v>
      </c>
      <c r="F433" t="s">
        <v>196</v>
      </c>
      <c r="G433" s="92">
        <v>45901.672384259262</v>
      </c>
    </row>
    <row r="434" spans="1:7" x14ac:dyDescent="0.2">
      <c r="A434" t="s">
        <v>1218</v>
      </c>
      <c r="B434">
        <v>29.3</v>
      </c>
      <c r="C434">
        <v>33.200000000000003</v>
      </c>
      <c r="D434">
        <v>36.6</v>
      </c>
      <c r="E434">
        <v>9.6</v>
      </c>
      <c r="F434" t="s">
        <v>196</v>
      </c>
      <c r="G434" s="92">
        <v>45901.666238425925</v>
      </c>
    </row>
    <row r="435" spans="1:7" x14ac:dyDescent="0.2">
      <c r="A435" t="s">
        <v>1301</v>
      </c>
      <c r="B435">
        <v>37.299999999999997</v>
      </c>
      <c r="C435">
        <v>32.5</v>
      </c>
      <c r="D435">
        <v>46.3</v>
      </c>
      <c r="E435">
        <v>14.7</v>
      </c>
      <c r="F435" t="s">
        <v>216</v>
      </c>
      <c r="G435" s="92">
        <v>45930.698657407411</v>
      </c>
    </row>
    <row r="436" spans="1:7" x14ac:dyDescent="0.2">
      <c r="A436" t="s">
        <v>976</v>
      </c>
      <c r="B436">
        <v>31.5</v>
      </c>
      <c r="C436">
        <v>22.9</v>
      </c>
      <c r="D436">
        <v>38.299999999999997</v>
      </c>
      <c r="E436">
        <v>8.9</v>
      </c>
      <c r="F436" t="s">
        <v>695</v>
      </c>
      <c r="G436" s="92">
        <v>45929.582627314812</v>
      </c>
    </row>
    <row r="437" spans="1:7" x14ac:dyDescent="0.2">
      <c r="A437" t="s">
        <v>1067</v>
      </c>
      <c r="B437">
        <v>37</v>
      </c>
      <c r="C437">
        <v>18.3</v>
      </c>
      <c r="D437">
        <v>45</v>
      </c>
      <c r="E437">
        <v>1.6</v>
      </c>
      <c r="F437" t="s">
        <v>310</v>
      </c>
      <c r="G437" s="92">
        <v>45927.498414351852</v>
      </c>
    </row>
    <row r="438" spans="1:7" x14ac:dyDescent="0.2">
      <c r="A438" t="s">
        <v>1065</v>
      </c>
      <c r="B438">
        <v>23.4</v>
      </c>
      <c r="C438">
        <v>24.5</v>
      </c>
      <c r="D438">
        <v>31.7</v>
      </c>
      <c r="E438">
        <v>1.9</v>
      </c>
      <c r="F438" t="s">
        <v>310</v>
      </c>
      <c r="G438" s="92">
        <v>45927.497604166667</v>
      </c>
    </row>
    <row r="439" spans="1:7" x14ac:dyDescent="0.2">
      <c r="A439" t="s">
        <v>1225</v>
      </c>
      <c r="B439">
        <v>34.299999999999997</v>
      </c>
      <c r="C439">
        <v>38.799999999999997</v>
      </c>
      <c r="D439">
        <v>39.200000000000003</v>
      </c>
      <c r="E439">
        <v>10.9</v>
      </c>
      <c r="F439" t="s">
        <v>310</v>
      </c>
      <c r="G439" s="92">
        <v>45926.593668981484</v>
      </c>
    </row>
    <row r="440" spans="1:7" x14ac:dyDescent="0.2">
      <c r="A440" t="s">
        <v>1226</v>
      </c>
      <c r="B440">
        <v>33.9</v>
      </c>
      <c r="C440">
        <v>39.4</v>
      </c>
      <c r="D440">
        <v>39.1</v>
      </c>
      <c r="E440">
        <v>2.6</v>
      </c>
      <c r="F440" t="s">
        <v>310</v>
      </c>
      <c r="G440" s="92">
        <v>45926.594293981485</v>
      </c>
    </row>
    <row r="441" spans="1:7" x14ac:dyDescent="0.2">
      <c r="A441" t="s">
        <v>1227</v>
      </c>
      <c r="B441">
        <v>27.2</v>
      </c>
      <c r="C441">
        <v>11.6</v>
      </c>
      <c r="D441">
        <v>32.5</v>
      </c>
      <c r="E441">
        <v>1</v>
      </c>
      <c r="F441" t="s">
        <v>310</v>
      </c>
      <c r="G441" s="92">
        <v>45926.594722222224</v>
      </c>
    </row>
    <row r="442" spans="1:7" x14ac:dyDescent="0.2">
      <c r="A442" t="s">
        <v>1228</v>
      </c>
      <c r="B442">
        <v>31.4</v>
      </c>
      <c r="C442">
        <v>16.7</v>
      </c>
      <c r="D442">
        <v>48.6</v>
      </c>
      <c r="E442">
        <v>1.6</v>
      </c>
      <c r="F442" t="s">
        <v>310</v>
      </c>
      <c r="G442" s="92">
        <v>45926.595277777778</v>
      </c>
    </row>
    <row r="443" spans="1:7" x14ac:dyDescent="0.2">
      <c r="A443" t="s">
        <v>1357</v>
      </c>
      <c r="B443">
        <v>10.199999999999999</v>
      </c>
      <c r="C443">
        <v>12.2</v>
      </c>
      <c r="D443">
        <v>20.6</v>
      </c>
      <c r="E443">
        <v>0.3</v>
      </c>
      <c r="F443" t="s">
        <v>310</v>
      </c>
      <c r="G443" s="92">
        <v>45926.477534722224</v>
      </c>
    </row>
    <row r="444" spans="1:7" x14ac:dyDescent="0.2">
      <c r="A444" t="s">
        <v>1298</v>
      </c>
      <c r="B444">
        <v>25.7</v>
      </c>
      <c r="C444">
        <v>17</v>
      </c>
      <c r="D444">
        <v>31.9</v>
      </c>
      <c r="E444">
        <v>0.9</v>
      </c>
      <c r="F444" t="s">
        <v>310</v>
      </c>
      <c r="G444" s="92">
        <v>45925.68849537037</v>
      </c>
    </row>
    <row r="445" spans="1:7" x14ac:dyDescent="0.2">
      <c r="A445" t="s">
        <v>1299</v>
      </c>
      <c r="B445">
        <v>69.3</v>
      </c>
      <c r="C445">
        <v>34</v>
      </c>
      <c r="D445">
        <v>77.599999999999994</v>
      </c>
      <c r="E445">
        <v>12.4</v>
      </c>
      <c r="F445" t="s">
        <v>310</v>
      </c>
      <c r="G445" s="92">
        <v>45925.690300925926</v>
      </c>
    </row>
    <row r="446" spans="1:7" x14ac:dyDescent="0.2">
      <c r="A446" t="s">
        <v>1297</v>
      </c>
      <c r="B446">
        <v>15.8</v>
      </c>
      <c r="C446">
        <v>10.3</v>
      </c>
      <c r="D446">
        <v>26</v>
      </c>
      <c r="E446">
        <v>0.3</v>
      </c>
      <c r="F446" t="s">
        <v>310</v>
      </c>
      <c r="G446" s="92">
        <v>45925.687928240739</v>
      </c>
    </row>
    <row r="447" spans="1:7" x14ac:dyDescent="0.2">
      <c r="A447" t="s">
        <v>850</v>
      </c>
      <c r="B447">
        <v>35.299999999999997</v>
      </c>
      <c r="C447">
        <v>27.5</v>
      </c>
      <c r="D447">
        <v>49.2</v>
      </c>
      <c r="E447">
        <v>2.6</v>
      </c>
      <c r="F447" t="s">
        <v>310</v>
      </c>
      <c r="G447" s="92">
        <v>45925.551759259259</v>
      </c>
    </row>
    <row r="448" spans="1:7" x14ac:dyDescent="0.2">
      <c r="A448" t="s">
        <v>1300</v>
      </c>
      <c r="B448">
        <v>15.8</v>
      </c>
      <c r="C448">
        <v>8.3000000000000007</v>
      </c>
      <c r="D448">
        <v>22.8</v>
      </c>
      <c r="E448">
        <v>0.4</v>
      </c>
      <c r="F448" t="s">
        <v>310</v>
      </c>
      <c r="G448" s="92">
        <v>45926.360543981478</v>
      </c>
    </row>
    <row r="449" spans="1:7" x14ac:dyDescent="0.2">
      <c r="A449" t="s">
        <v>1120</v>
      </c>
      <c r="B449">
        <v>35.299999999999997</v>
      </c>
      <c r="C449">
        <v>17.2</v>
      </c>
      <c r="D449">
        <v>52.7</v>
      </c>
      <c r="E449">
        <v>10</v>
      </c>
      <c r="F449" t="s">
        <v>231</v>
      </c>
      <c r="G449" s="92">
        <v>45898.62736111111</v>
      </c>
    </row>
    <row r="450" spans="1:7" x14ac:dyDescent="0.2">
      <c r="A450" t="s">
        <v>1119</v>
      </c>
      <c r="B450">
        <v>46.9</v>
      </c>
      <c r="C450">
        <v>32.6</v>
      </c>
      <c r="D450">
        <v>47.8</v>
      </c>
      <c r="E450">
        <v>12.1</v>
      </c>
      <c r="F450" t="s">
        <v>231</v>
      </c>
      <c r="G450" s="92">
        <v>45898.624756944446</v>
      </c>
    </row>
    <row r="451" spans="1:7" x14ac:dyDescent="0.2">
      <c r="A451" t="s">
        <v>1122</v>
      </c>
      <c r="B451">
        <v>22.7</v>
      </c>
      <c r="C451">
        <v>15.3</v>
      </c>
      <c r="D451">
        <v>30.6</v>
      </c>
      <c r="E451">
        <v>0.7</v>
      </c>
      <c r="F451" t="s">
        <v>231</v>
      </c>
      <c r="G451" s="92">
        <v>45898.642557870371</v>
      </c>
    </row>
    <row r="452" spans="1:7" x14ac:dyDescent="0.2">
      <c r="A452" t="s">
        <v>1123</v>
      </c>
      <c r="B452">
        <v>22.7</v>
      </c>
      <c r="C452">
        <v>17.5</v>
      </c>
      <c r="D452">
        <v>30.5</v>
      </c>
      <c r="E452">
        <v>2.2000000000000002</v>
      </c>
      <c r="F452" t="s">
        <v>231</v>
      </c>
      <c r="G452" s="92">
        <v>45898.642951388887</v>
      </c>
    </row>
    <row r="453" spans="1:7" x14ac:dyDescent="0.2">
      <c r="A453" t="s">
        <v>1121</v>
      </c>
      <c r="B453">
        <v>22.6</v>
      </c>
      <c r="C453">
        <v>17.5</v>
      </c>
      <c r="D453">
        <v>31.2</v>
      </c>
      <c r="E453">
        <v>0.6</v>
      </c>
      <c r="F453" t="s">
        <v>231</v>
      </c>
      <c r="G453" s="92">
        <v>45898.642199074071</v>
      </c>
    </row>
    <row r="454" spans="1:7" x14ac:dyDescent="0.2">
      <c r="A454" t="s">
        <v>962</v>
      </c>
      <c r="B454">
        <v>29.8</v>
      </c>
      <c r="C454">
        <v>22.7</v>
      </c>
      <c r="D454">
        <v>33.799999999999997</v>
      </c>
      <c r="E454">
        <v>3.7</v>
      </c>
      <c r="F454" t="s">
        <v>231</v>
      </c>
      <c r="G454" s="92">
        <v>45898.564791666664</v>
      </c>
    </row>
    <row r="455" spans="1:7" x14ac:dyDescent="0.2">
      <c r="A455" t="s">
        <v>844</v>
      </c>
      <c r="B455">
        <v>23.7</v>
      </c>
      <c r="C455">
        <v>10</v>
      </c>
      <c r="D455">
        <v>31.5</v>
      </c>
      <c r="E455">
        <v>3.5</v>
      </c>
      <c r="F455" t="s">
        <v>231</v>
      </c>
      <c r="G455" s="92">
        <v>45898.498506944445</v>
      </c>
    </row>
    <row r="456" spans="1:7" x14ac:dyDescent="0.2">
      <c r="A456" t="s">
        <v>843</v>
      </c>
      <c r="B456">
        <v>24.5</v>
      </c>
      <c r="C456">
        <v>7.7</v>
      </c>
      <c r="D456">
        <v>31.8</v>
      </c>
      <c r="E456">
        <v>1.6</v>
      </c>
      <c r="F456" t="s">
        <v>231</v>
      </c>
      <c r="G456" s="92">
        <v>45898.498148148145</v>
      </c>
    </row>
    <row r="457" spans="1:7" x14ac:dyDescent="0.2">
      <c r="A457" t="s">
        <v>1216</v>
      </c>
      <c r="B457">
        <v>41.6</v>
      </c>
      <c r="C457">
        <v>54</v>
      </c>
      <c r="D457">
        <v>51.7</v>
      </c>
      <c r="E457">
        <v>9</v>
      </c>
      <c r="F457" t="s">
        <v>231</v>
      </c>
      <c r="G457" s="92">
        <v>45898.491446759261</v>
      </c>
    </row>
    <row r="458" spans="1:7" x14ac:dyDescent="0.2">
      <c r="A458" t="s">
        <v>1217</v>
      </c>
      <c r="B458">
        <v>41.5</v>
      </c>
      <c r="C458">
        <v>54.1</v>
      </c>
      <c r="D458">
        <v>52.1</v>
      </c>
      <c r="E458">
        <v>9</v>
      </c>
      <c r="F458" t="s">
        <v>231</v>
      </c>
      <c r="G458" s="92">
        <v>45898.492222222223</v>
      </c>
    </row>
    <row r="459" spans="1:7" x14ac:dyDescent="0.2">
      <c r="A459" t="s">
        <v>1355</v>
      </c>
      <c r="B459">
        <v>30.9</v>
      </c>
      <c r="C459">
        <v>33.200000000000003</v>
      </c>
      <c r="D459">
        <v>71.7</v>
      </c>
      <c r="E459">
        <v>5.7</v>
      </c>
      <c r="F459" t="s">
        <v>231</v>
      </c>
      <c r="G459" s="92">
        <v>45898.475312499999</v>
      </c>
    </row>
    <row r="460" spans="1:7" x14ac:dyDescent="0.2">
      <c r="A460" t="s">
        <v>1354</v>
      </c>
      <c r="B460">
        <v>30.7</v>
      </c>
      <c r="C460">
        <v>33</v>
      </c>
      <c r="D460">
        <v>72</v>
      </c>
      <c r="E460">
        <v>6.2</v>
      </c>
      <c r="F460" t="s">
        <v>231</v>
      </c>
      <c r="G460" s="92">
        <v>45898.474895833337</v>
      </c>
    </row>
    <row r="461" spans="1:7" x14ac:dyDescent="0.2">
      <c r="A461" t="s">
        <v>1410</v>
      </c>
      <c r="B461">
        <v>30.4</v>
      </c>
      <c r="C461">
        <v>29</v>
      </c>
      <c r="D461">
        <v>29.3</v>
      </c>
      <c r="E461">
        <v>20.5</v>
      </c>
      <c r="F461" t="s">
        <v>231</v>
      </c>
      <c r="G461" s="92">
        <v>45897.671782407408</v>
      </c>
    </row>
    <row r="462" spans="1:7" x14ac:dyDescent="0.2">
      <c r="A462" t="s">
        <v>1353</v>
      </c>
      <c r="B462">
        <v>29.2</v>
      </c>
      <c r="C462">
        <v>35</v>
      </c>
      <c r="D462">
        <v>28.3</v>
      </c>
      <c r="E462">
        <v>5.4</v>
      </c>
      <c r="F462" t="s">
        <v>231</v>
      </c>
      <c r="G462" s="92">
        <v>45897.663564814815</v>
      </c>
    </row>
    <row r="463" spans="1:7" x14ac:dyDescent="0.2">
      <c r="A463" t="s">
        <v>1350</v>
      </c>
      <c r="B463">
        <v>40</v>
      </c>
      <c r="C463">
        <v>38.799999999999997</v>
      </c>
      <c r="D463">
        <v>59.1</v>
      </c>
      <c r="E463">
        <v>16.7</v>
      </c>
      <c r="F463" t="s">
        <v>231</v>
      </c>
      <c r="G463" s="92">
        <v>45897.661863425928</v>
      </c>
    </row>
    <row r="464" spans="1:7" x14ac:dyDescent="0.2">
      <c r="A464" t="s">
        <v>1351</v>
      </c>
      <c r="B464">
        <v>40.1</v>
      </c>
      <c r="C464">
        <v>38.299999999999997</v>
      </c>
      <c r="D464">
        <v>59.2</v>
      </c>
      <c r="E464">
        <v>16.3</v>
      </c>
      <c r="F464" t="s">
        <v>231</v>
      </c>
      <c r="G464" s="92">
        <v>45897.662395833337</v>
      </c>
    </row>
    <row r="465" spans="1:7" x14ac:dyDescent="0.2">
      <c r="A465" t="s">
        <v>1349</v>
      </c>
      <c r="B465">
        <v>40.200000000000003</v>
      </c>
      <c r="C465">
        <v>38.200000000000003</v>
      </c>
      <c r="D465">
        <v>59</v>
      </c>
      <c r="E465">
        <v>16.5</v>
      </c>
      <c r="F465" t="s">
        <v>231</v>
      </c>
      <c r="G465" s="92">
        <v>45897.66133101852</v>
      </c>
    </row>
    <row r="466" spans="1:7" x14ac:dyDescent="0.2">
      <c r="A466" t="s">
        <v>1352</v>
      </c>
      <c r="B466">
        <v>40.200000000000003</v>
      </c>
      <c r="C466">
        <v>38.6</v>
      </c>
      <c r="D466">
        <v>58.8</v>
      </c>
      <c r="E466">
        <v>18.2</v>
      </c>
      <c r="F466" t="s">
        <v>231</v>
      </c>
      <c r="G466" s="92">
        <v>45897.662997685184</v>
      </c>
    </row>
    <row r="467" spans="1:7" x14ac:dyDescent="0.2">
      <c r="A467" t="s">
        <v>1348</v>
      </c>
      <c r="B467">
        <v>31.9</v>
      </c>
      <c r="C467">
        <v>35.9</v>
      </c>
      <c r="D467">
        <v>30.8</v>
      </c>
      <c r="E467">
        <v>16.3</v>
      </c>
      <c r="F467" t="s">
        <v>231</v>
      </c>
      <c r="G467" s="92">
        <v>45897.618946759256</v>
      </c>
    </row>
    <row r="468" spans="1:7" x14ac:dyDescent="0.2">
      <c r="A468" t="s">
        <v>960</v>
      </c>
      <c r="B468">
        <v>35.299999999999997</v>
      </c>
      <c r="C468">
        <v>25.4</v>
      </c>
      <c r="D468">
        <v>54.5</v>
      </c>
      <c r="E468">
        <v>7.3</v>
      </c>
      <c r="F468" t="s">
        <v>231</v>
      </c>
      <c r="G468" s="92">
        <v>45897.567037037035</v>
      </c>
    </row>
    <row r="469" spans="1:7" x14ac:dyDescent="0.2">
      <c r="A469" t="s">
        <v>961</v>
      </c>
      <c r="B469">
        <v>35.1</v>
      </c>
      <c r="C469">
        <v>28.9</v>
      </c>
      <c r="D469">
        <v>43.3</v>
      </c>
      <c r="E469">
        <v>2</v>
      </c>
      <c r="F469" t="s">
        <v>231</v>
      </c>
      <c r="G469" s="92">
        <v>45897.567916666667</v>
      </c>
    </row>
    <row r="470" spans="1:7" x14ac:dyDescent="0.2">
      <c r="A470" t="s">
        <v>958</v>
      </c>
      <c r="B470">
        <v>36.5</v>
      </c>
      <c r="C470">
        <v>32.200000000000003</v>
      </c>
      <c r="D470">
        <v>40</v>
      </c>
      <c r="E470">
        <v>3.5</v>
      </c>
      <c r="F470" t="s">
        <v>231</v>
      </c>
      <c r="G470" s="92">
        <v>45897.564409722225</v>
      </c>
    </row>
    <row r="471" spans="1:7" x14ac:dyDescent="0.2">
      <c r="A471" t="s">
        <v>959</v>
      </c>
      <c r="B471">
        <v>41.8</v>
      </c>
      <c r="C471">
        <v>39.200000000000003</v>
      </c>
      <c r="D471">
        <v>59.5</v>
      </c>
      <c r="E471">
        <v>6.6</v>
      </c>
      <c r="F471" t="s">
        <v>231</v>
      </c>
      <c r="G471" s="92">
        <v>45897.565358796295</v>
      </c>
    </row>
    <row r="472" spans="1:7" x14ac:dyDescent="0.2">
      <c r="A472" t="s">
        <v>1215</v>
      </c>
      <c r="B472">
        <v>28.7</v>
      </c>
      <c r="C472">
        <v>12.7</v>
      </c>
      <c r="D472">
        <v>30.9</v>
      </c>
      <c r="E472">
        <v>1.7</v>
      </c>
      <c r="F472" t="s">
        <v>231</v>
      </c>
      <c r="G472" s="92">
        <v>45896.568842592591</v>
      </c>
    </row>
    <row r="473" spans="1:7" x14ac:dyDescent="0.2">
      <c r="A473" t="s">
        <v>840</v>
      </c>
      <c r="B473">
        <v>25.2</v>
      </c>
      <c r="C473">
        <v>26.7</v>
      </c>
      <c r="D473">
        <v>34</v>
      </c>
      <c r="E473">
        <v>4</v>
      </c>
      <c r="F473" t="s">
        <v>310</v>
      </c>
      <c r="G473" s="92">
        <v>45895.720520833333</v>
      </c>
    </row>
    <row r="474" spans="1:7" x14ac:dyDescent="0.2">
      <c r="A474" t="s">
        <v>842</v>
      </c>
      <c r="B474">
        <v>31.7</v>
      </c>
      <c r="C474">
        <v>16.3</v>
      </c>
      <c r="D474">
        <v>56.5</v>
      </c>
      <c r="E474">
        <v>3.8</v>
      </c>
      <c r="F474" t="s">
        <v>310</v>
      </c>
      <c r="G474" s="92">
        <v>45895.721099537041</v>
      </c>
    </row>
    <row r="475" spans="1:7" x14ac:dyDescent="0.2">
      <c r="A475" t="s">
        <v>839</v>
      </c>
      <c r="B475">
        <v>31.1</v>
      </c>
      <c r="C475">
        <v>23.2</v>
      </c>
      <c r="D475">
        <v>43.1</v>
      </c>
      <c r="E475">
        <v>20.6</v>
      </c>
      <c r="F475" t="s">
        <v>310</v>
      </c>
      <c r="G475" s="92">
        <v>45895.720196759263</v>
      </c>
    </row>
    <row r="476" spans="1:7" x14ac:dyDescent="0.2">
      <c r="A476" t="s">
        <v>841</v>
      </c>
      <c r="B476">
        <v>32.4</v>
      </c>
      <c r="C476">
        <v>15.7</v>
      </c>
      <c r="D476">
        <v>35.200000000000003</v>
      </c>
      <c r="E476">
        <v>1.1000000000000001</v>
      </c>
      <c r="F476" t="s">
        <v>310</v>
      </c>
      <c r="G476" s="92">
        <v>45895.720821759256</v>
      </c>
    </row>
    <row r="477" spans="1:7" x14ac:dyDescent="0.2">
      <c r="A477" t="s">
        <v>1118</v>
      </c>
      <c r="B477">
        <v>31.1</v>
      </c>
      <c r="C477">
        <v>33.200000000000003</v>
      </c>
      <c r="D477">
        <v>72</v>
      </c>
      <c r="E477">
        <v>5.6</v>
      </c>
      <c r="F477" t="s">
        <v>310</v>
      </c>
      <c r="G477" s="92">
        <v>45895.702291666668</v>
      </c>
    </row>
    <row r="478" spans="1:7" x14ac:dyDescent="0.2">
      <c r="A478" t="s">
        <v>1064</v>
      </c>
      <c r="B478">
        <v>34.200000000000003</v>
      </c>
      <c r="C478">
        <v>39.700000000000003</v>
      </c>
      <c r="D478">
        <v>39.9</v>
      </c>
      <c r="E478">
        <v>6.1</v>
      </c>
      <c r="F478" t="s">
        <v>310</v>
      </c>
      <c r="G478" s="92">
        <v>45895.409259259257</v>
      </c>
    </row>
    <row r="479" spans="1:7" x14ac:dyDescent="0.2">
      <c r="A479" t="s">
        <v>1063</v>
      </c>
      <c r="B479">
        <v>34.299999999999997</v>
      </c>
      <c r="C479">
        <v>40.4</v>
      </c>
      <c r="D479">
        <v>40</v>
      </c>
      <c r="E479">
        <v>5.9</v>
      </c>
      <c r="F479" t="s">
        <v>310</v>
      </c>
      <c r="G479" s="92">
        <v>45895.408449074072</v>
      </c>
    </row>
    <row r="480" spans="1:7" x14ac:dyDescent="0.2">
      <c r="A480" t="s">
        <v>1212</v>
      </c>
      <c r="B480">
        <v>30.2</v>
      </c>
      <c r="C480">
        <v>53.7</v>
      </c>
      <c r="D480">
        <v>18.5</v>
      </c>
      <c r="E480">
        <v>2.1</v>
      </c>
      <c r="F480" t="s">
        <v>216</v>
      </c>
      <c r="G480" s="92">
        <v>45894.599305555559</v>
      </c>
    </row>
    <row r="481" spans="1:7" x14ac:dyDescent="0.2">
      <c r="A481" t="s">
        <v>1213</v>
      </c>
      <c r="B481">
        <v>26.1</v>
      </c>
      <c r="C481">
        <v>34.299999999999997</v>
      </c>
      <c r="D481">
        <v>24.2</v>
      </c>
      <c r="E481">
        <v>2.9</v>
      </c>
      <c r="F481" t="s">
        <v>216</v>
      </c>
      <c r="G481" s="92">
        <v>45894.599745370368</v>
      </c>
    </row>
    <row r="482" spans="1:7" x14ac:dyDescent="0.2">
      <c r="A482" t="s">
        <v>1214</v>
      </c>
      <c r="B482">
        <v>49.3</v>
      </c>
      <c r="C482">
        <v>63</v>
      </c>
      <c r="D482">
        <v>32.5</v>
      </c>
      <c r="E482">
        <v>14.3</v>
      </c>
      <c r="F482" t="s">
        <v>216</v>
      </c>
      <c r="G482" s="92">
        <v>45894.600335648145</v>
      </c>
    </row>
    <row r="483" spans="1:7" x14ac:dyDescent="0.2">
      <c r="A483" t="s">
        <v>1059</v>
      </c>
      <c r="B483">
        <v>13.5</v>
      </c>
      <c r="C483">
        <v>13.1</v>
      </c>
      <c r="D483">
        <v>26.7</v>
      </c>
      <c r="E483">
        <v>0.8</v>
      </c>
      <c r="F483" t="s">
        <v>205</v>
      </c>
      <c r="G483" s="92">
        <v>45892.55976851852</v>
      </c>
    </row>
    <row r="484" spans="1:7" x14ac:dyDescent="0.2">
      <c r="A484" t="s">
        <v>1060</v>
      </c>
      <c r="B484">
        <v>22.5</v>
      </c>
      <c r="C484">
        <v>17.899999999999999</v>
      </c>
      <c r="D484">
        <v>31.4</v>
      </c>
      <c r="E484">
        <v>1.1000000000000001</v>
      </c>
      <c r="F484" t="s">
        <v>205</v>
      </c>
      <c r="G484" s="92">
        <v>45892.560196759259</v>
      </c>
    </row>
    <row r="485" spans="1:7" x14ac:dyDescent="0.2">
      <c r="A485" t="s">
        <v>1061</v>
      </c>
      <c r="B485">
        <v>32.700000000000003</v>
      </c>
      <c r="C485">
        <v>29.3</v>
      </c>
      <c r="D485">
        <v>46.5</v>
      </c>
      <c r="E485">
        <v>2.2000000000000002</v>
      </c>
      <c r="F485" t="s">
        <v>205</v>
      </c>
      <c r="G485" s="92">
        <v>45892.561967592592</v>
      </c>
    </row>
    <row r="486" spans="1:7" x14ac:dyDescent="0.2">
      <c r="A486" t="s">
        <v>1062</v>
      </c>
      <c r="B486">
        <v>31.8</v>
      </c>
      <c r="C486">
        <v>28.7</v>
      </c>
      <c r="D486">
        <v>42.9</v>
      </c>
      <c r="E486">
        <v>5.2</v>
      </c>
      <c r="F486" t="s">
        <v>205</v>
      </c>
      <c r="G486" s="92">
        <v>45892.56449074074</v>
      </c>
    </row>
    <row r="487" spans="1:7" x14ac:dyDescent="0.2">
      <c r="A487" t="s">
        <v>957</v>
      </c>
      <c r="B487">
        <v>27.7</v>
      </c>
      <c r="C487">
        <v>20.9</v>
      </c>
      <c r="D487">
        <v>71</v>
      </c>
      <c r="E487">
        <v>4</v>
      </c>
      <c r="F487" t="s">
        <v>231</v>
      </c>
      <c r="G487" s="92">
        <v>45891.607037037036</v>
      </c>
    </row>
    <row r="488" spans="1:7" x14ac:dyDescent="0.2">
      <c r="A488" t="s">
        <v>956</v>
      </c>
      <c r="B488">
        <v>26.2</v>
      </c>
      <c r="C488">
        <v>30</v>
      </c>
      <c r="D488">
        <v>36.200000000000003</v>
      </c>
      <c r="E488">
        <v>1.8</v>
      </c>
      <c r="F488" t="s">
        <v>231</v>
      </c>
      <c r="G488" s="92">
        <v>45891.604849537034</v>
      </c>
    </row>
    <row r="489" spans="1:7" x14ac:dyDescent="0.2">
      <c r="A489" t="s">
        <v>1117</v>
      </c>
      <c r="B489">
        <v>33</v>
      </c>
      <c r="C489">
        <v>29.8</v>
      </c>
      <c r="D489">
        <v>45.8</v>
      </c>
      <c r="E489">
        <v>3.8</v>
      </c>
      <c r="F489" t="s">
        <v>231</v>
      </c>
      <c r="G489" s="92">
        <v>45891.590520833335</v>
      </c>
    </row>
    <row r="490" spans="1:7" x14ac:dyDescent="0.2">
      <c r="A490" t="s">
        <v>1347</v>
      </c>
      <c r="B490">
        <v>29</v>
      </c>
      <c r="C490">
        <v>34.700000000000003</v>
      </c>
      <c r="D490">
        <v>28</v>
      </c>
      <c r="E490">
        <v>5.6</v>
      </c>
      <c r="F490" t="s">
        <v>231</v>
      </c>
      <c r="G490" s="92">
        <v>45890.716851851852</v>
      </c>
    </row>
    <row r="491" spans="1:7" x14ac:dyDescent="0.2">
      <c r="A491" t="s">
        <v>1346</v>
      </c>
      <c r="B491">
        <v>40.299999999999997</v>
      </c>
      <c r="C491">
        <v>38.799999999999997</v>
      </c>
      <c r="D491">
        <v>59.6</v>
      </c>
      <c r="E491">
        <v>17.600000000000001</v>
      </c>
      <c r="F491" t="s">
        <v>231</v>
      </c>
      <c r="G491" s="92">
        <v>45890.71638888889</v>
      </c>
    </row>
    <row r="492" spans="1:7" x14ac:dyDescent="0.2">
      <c r="A492" t="s">
        <v>1345</v>
      </c>
      <c r="B492">
        <v>40.299999999999997</v>
      </c>
      <c r="C492">
        <v>38.4</v>
      </c>
      <c r="D492">
        <v>59.7</v>
      </c>
      <c r="E492">
        <v>17</v>
      </c>
      <c r="F492" t="s">
        <v>231</v>
      </c>
      <c r="G492" s="92">
        <v>45890.715821759259</v>
      </c>
    </row>
    <row r="493" spans="1:7" x14ac:dyDescent="0.2">
      <c r="A493" t="s">
        <v>1343</v>
      </c>
      <c r="B493">
        <v>40.200000000000003</v>
      </c>
      <c r="C493">
        <v>38.200000000000003</v>
      </c>
      <c r="D493">
        <v>59.4</v>
      </c>
      <c r="E493">
        <v>16.5</v>
      </c>
      <c r="F493" t="s">
        <v>231</v>
      </c>
      <c r="G493" s="92">
        <v>45890.715289351851</v>
      </c>
    </row>
    <row r="494" spans="1:7" x14ac:dyDescent="0.2">
      <c r="A494" t="s">
        <v>838</v>
      </c>
      <c r="B494">
        <v>18.5</v>
      </c>
      <c r="C494">
        <v>15.6</v>
      </c>
      <c r="D494">
        <v>25.8</v>
      </c>
      <c r="E494">
        <v>0.3</v>
      </c>
      <c r="F494" t="s">
        <v>231</v>
      </c>
      <c r="G494" s="92">
        <v>45890.698587962965</v>
      </c>
    </row>
    <row r="495" spans="1:7" x14ac:dyDescent="0.2">
      <c r="A495" t="s">
        <v>1409</v>
      </c>
      <c r="B495">
        <v>48.4</v>
      </c>
      <c r="C495">
        <v>33.799999999999997</v>
      </c>
      <c r="D495">
        <v>39.299999999999997</v>
      </c>
      <c r="E495">
        <v>9.1</v>
      </c>
      <c r="F495" t="s">
        <v>196</v>
      </c>
      <c r="G495" s="92">
        <v>45890.651689814818</v>
      </c>
    </row>
    <row r="496" spans="1:7" x14ac:dyDescent="0.2">
      <c r="A496" t="s">
        <v>1408</v>
      </c>
      <c r="B496">
        <v>54.1</v>
      </c>
      <c r="C496">
        <v>35.799999999999997</v>
      </c>
      <c r="D496">
        <v>42.3</v>
      </c>
      <c r="E496">
        <v>11.9</v>
      </c>
      <c r="F496" t="s">
        <v>196</v>
      </c>
      <c r="G496" s="92">
        <v>45890.650810185187</v>
      </c>
    </row>
    <row r="497" spans="1:7" x14ac:dyDescent="0.2">
      <c r="A497" t="s">
        <v>1058</v>
      </c>
      <c r="B497">
        <v>34.4</v>
      </c>
      <c r="C497">
        <v>27.2</v>
      </c>
      <c r="D497">
        <v>40.299999999999997</v>
      </c>
      <c r="E497">
        <v>4.8</v>
      </c>
      <c r="F497" t="s">
        <v>231</v>
      </c>
      <c r="G497" s="92">
        <v>45890.583194444444</v>
      </c>
    </row>
    <row r="498" spans="1:7" x14ac:dyDescent="0.2">
      <c r="A498" t="s">
        <v>1057</v>
      </c>
      <c r="B498">
        <v>24</v>
      </c>
      <c r="C498">
        <v>25.2</v>
      </c>
      <c r="D498">
        <v>31.4</v>
      </c>
      <c r="E498">
        <v>7</v>
      </c>
      <c r="F498" t="s">
        <v>231</v>
      </c>
      <c r="G498" s="92">
        <v>45890.582800925928</v>
      </c>
    </row>
    <row r="499" spans="1:7" x14ac:dyDescent="0.2">
      <c r="A499" t="s">
        <v>1211</v>
      </c>
      <c r="B499">
        <v>29.9</v>
      </c>
      <c r="C499">
        <v>65.5</v>
      </c>
      <c r="D499">
        <v>28.5</v>
      </c>
      <c r="E499">
        <v>29.6</v>
      </c>
      <c r="F499" t="s">
        <v>231</v>
      </c>
      <c r="G499" s="92">
        <v>45889.67150462963</v>
      </c>
    </row>
    <row r="500" spans="1:7" x14ac:dyDescent="0.2">
      <c r="A500" t="s">
        <v>1209</v>
      </c>
      <c r="B500">
        <v>34.5</v>
      </c>
      <c r="C500">
        <v>27.5</v>
      </c>
      <c r="D500">
        <v>39.799999999999997</v>
      </c>
      <c r="E500">
        <v>2.1</v>
      </c>
      <c r="F500" t="s">
        <v>231</v>
      </c>
      <c r="G500" s="92">
        <v>45889.643796296295</v>
      </c>
    </row>
    <row r="501" spans="1:7" x14ac:dyDescent="0.2">
      <c r="A501" t="s">
        <v>1210</v>
      </c>
      <c r="B501">
        <v>40.299999999999997</v>
      </c>
      <c r="C501">
        <v>38.9</v>
      </c>
      <c r="D501">
        <v>78.099999999999994</v>
      </c>
      <c r="E501">
        <v>4.2</v>
      </c>
      <c r="F501" t="s">
        <v>231</v>
      </c>
      <c r="G501" s="92">
        <v>45889.644293981481</v>
      </c>
    </row>
    <row r="502" spans="1:7" x14ac:dyDescent="0.2">
      <c r="A502" t="s">
        <v>1116</v>
      </c>
      <c r="B502">
        <v>25</v>
      </c>
      <c r="C502">
        <v>30.7</v>
      </c>
      <c r="D502">
        <v>19.100000000000001</v>
      </c>
      <c r="E502">
        <v>1.6</v>
      </c>
      <c r="F502" t="s">
        <v>231</v>
      </c>
      <c r="G502" s="92">
        <v>45889.617893518516</v>
      </c>
    </row>
    <row r="503" spans="1:7" x14ac:dyDescent="0.2">
      <c r="A503" t="s">
        <v>1208</v>
      </c>
      <c r="B503">
        <v>37.700000000000003</v>
      </c>
      <c r="C503">
        <v>33.200000000000003</v>
      </c>
      <c r="D503">
        <v>37.4</v>
      </c>
      <c r="E503">
        <v>5.8</v>
      </c>
      <c r="F503" t="s">
        <v>231</v>
      </c>
      <c r="G503" s="92">
        <v>45889.60460648148</v>
      </c>
    </row>
    <row r="504" spans="1:7" x14ac:dyDescent="0.2">
      <c r="A504" t="s">
        <v>1407</v>
      </c>
      <c r="B504">
        <v>18.3</v>
      </c>
      <c r="C504">
        <v>20.100000000000001</v>
      </c>
      <c r="D504">
        <v>26.3</v>
      </c>
      <c r="E504">
        <v>0.3</v>
      </c>
      <c r="F504" t="s">
        <v>231</v>
      </c>
      <c r="G504" s="92">
        <v>45889.579953703702</v>
      </c>
    </row>
    <row r="505" spans="1:7" x14ac:dyDescent="0.2">
      <c r="A505" t="s">
        <v>1207</v>
      </c>
      <c r="B505">
        <v>30.5</v>
      </c>
      <c r="C505">
        <v>38.4</v>
      </c>
      <c r="D505">
        <v>57.7</v>
      </c>
      <c r="E505">
        <v>3.3</v>
      </c>
      <c r="F505" t="s">
        <v>231</v>
      </c>
      <c r="G505" s="92">
        <v>45889.609502314815</v>
      </c>
    </row>
    <row r="506" spans="1:7" x14ac:dyDescent="0.2">
      <c r="A506" t="s">
        <v>1053</v>
      </c>
      <c r="B506">
        <v>33.9</v>
      </c>
      <c r="C506">
        <v>39.5</v>
      </c>
      <c r="D506">
        <v>39.5</v>
      </c>
      <c r="E506">
        <v>3.2</v>
      </c>
      <c r="F506" t="s">
        <v>231</v>
      </c>
      <c r="G506" s="92">
        <v>45888.732881944445</v>
      </c>
    </row>
    <row r="507" spans="1:7" x14ac:dyDescent="0.2">
      <c r="A507" t="s">
        <v>1054</v>
      </c>
      <c r="B507">
        <v>33.9</v>
      </c>
      <c r="C507">
        <v>39.200000000000003</v>
      </c>
      <c r="D507">
        <v>39.6</v>
      </c>
      <c r="E507">
        <v>2.5</v>
      </c>
      <c r="F507" t="s">
        <v>231</v>
      </c>
      <c r="G507" s="92">
        <v>45888.733240740738</v>
      </c>
    </row>
    <row r="508" spans="1:7" x14ac:dyDescent="0.2">
      <c r="A508" t="s">
        <v>1052</v>
      </c>
      <c r="B508">
        <v>34.1</v>
      </c>
      <c r="C508">
        <v>39.1</v>
      </c>
      <c r="D508">
        <v>40.299999999999997</v>
      </c>
      <c r="E508">
        <v>2.2999999999999998</v>
      </c>
      <c r="F508" t="s">
        <v>231</v>
      </c>
      <c r="G508" s="92">
        <v>45888.732442129629</v>
      </c>
    </row>
    <row r="509" spans="1:7" x14ac:dyDescent="0.2">
      <c r="A509" t="s">
        <v>1056</v>
      </c>
      <c r="B509">
        <v>33.9</v>
      </c>
      <c r="C509">
        <v>39.6</v>
      </c>
      <c r="D509">
        <v>39.5</v>
      </c>
      <c r="E509">
        <v>2.1</v>
      </c>
      <c r="F509" t="s">
        <v>231</v>
      </c>
      <c r="G509" s="92">
        <v>45888.734293981484</v>
      </c>
    </row>
    <row r="510" spans="1:7" x14ac:dyDescent="0.2">
      <c r="A510" t="s">
        <v>1055</v>
      </c>
      <c r="B510">
        <v>33.700000000000003</v>
      </c>
      <c r="C510">
        <v>39.6</v>
      </c>
      <c r="D510">
        <v>39.700000000000003</v>
      </c>
      <c r="E510">
        <v>2.4</v>
      </c>
      <c r="F510" t="s">
        <v>231</v>
      </c>
      <c r="G510" s="92">
        <v>45888.733726851853</v>
      </c>
    </row>
    <row r="511" spans="1:7" x14ac:dyDescent="0.2">
      <c r="A511" t="s">
        <v>1115</v>
      </c>
      <c r="B511">
        <v>42.2</v>
      </c>
      <c r="C511">
        <v>34.799999999999997</v>
      </c>
      <c r="D511">
        <v>52.7</v>
      </c>
      <c r="E511">
        <v>13.7</v>
      </c>
      <c r="F511" t="s">
        <v>231</v>
      </c>
      <c r="G511" s="92">
        <v>45888.7187037037</v>
      </c>
    </row>
    <row r="512" spans="1:7" x14ac:dyDescent="0.2">
      <c r="A512" t="s">
        <v>1114</v>
      </c>
      <c r="B512">
        <v>35.200000000000003</v>
      </c>
      <c r="C512">
        <v>32.200000000000003</v>
      </c>
      <c r="D512">
        <v>49</v>
      </c>
      <c r="E512">
        <v>12.5</v>
      </c>
      <c r="F512" t="s">
        <v>231</v>
      </c>
      <c r="G512" s="92">
        <v>45888.718171296299</v>
      </c>
    </row>
    <row r="513" spans="1:7" x14ac:dyDescent="0.2">
      <c r="A513" t="s">
        <v>1113</v>
      </c>
      <c r="B513">
        <v>41.8</v>
      </c>
      <c r="C513">
        <v>35.5</v>
      </c>
      <c r="D513">
        <v>53</v>
      </c>
      <c r="E513">
        <v>12.5</v>
      </c>
      <c r="F513" t="s">
        <v>231</v>
      </c>
      <c r="G513" s="92">
        <v>45888.71769675926</v>
      </c>
    </row>
    <row r="514" spans="1:7" x14ac:dyDescent="0.2">
      <c r="A514" t="s">
        <v>1406</v>
      </c>
      <c r="B514">
        <v>7.7</v>
      </c>
      <c r="C514">
        <v>7.8</v>
      </c>
      <c r="D514">
        <v>12.4</v>
      </c>
      <c r="E514">
        <v>0.2</v>
      </c>
      <c r="F514" t="s">
        <v>231</v>
      </c>
      <c r="G514" s="92">
        <v>45888.701168981483</v>
      </c>
    </row>
    <row r="515" spans="1:7" x14ac:dyDescent="0.2">
      <c r="A515" t="s">
        <v>1344</v>
      </c>
      <c r="B515">
        <v>18.2</v>
      </c>
      <c r="C515">
        <v>18.399999999999999</v>
      </c>
      <c r="D515">
        <v>25.1</v>
      </c>
      <c r="E515">
        <v>0.8</v>
      </c>
      <c r="F515" t="s">
        <v>231</v>
      </c>
      <c r="G515" s="92">
        <v>45888.699641203704</v>
      </c>
    </row>
    <row r="516" spans="1:7" x14ac:dyDescent="0.2">
      <c r="A516" t="s">
        <v>837</v>
      </c>
      <c r="B516">
        <v>32.5</v>
      </c>
      <c r="C516">
        <v>26.5</v>
      </c>
      <c r="D516">
        <v>39.6</v>
      </c>
      <c r="E516">
        <v>9.6</v>
      </c>
      <c r="F516" t="s">
        <v>231</v>
      </c>
      <c r="G516" s="92">
        <v>45888.492627314816</v>
      </c>
    </row>
    <row r="517" spans="1:7" x14ac:dyDescent="0.2">
      <c r="A517" t="s">
        <v>1205</v>
      </c>
      <c r="B517">
        <v>34.9</v>
      </c>
      <c r="C517">
        <v>32.700000000000003</v>
      </c>
      <c r="D517">
        <v>15.6</v>
      </c>
      <c r="E517">
        <v>1.3</v>
      </c>
      <c r="F517" t="s">
        <v>196</v>
      </c>
      <c r="G517" s="92">
        <v>45887.593680555554</v>
      </c>
    </row>
    <row r="518" spans="1:7" x14ac:dyDescent="0.2">
      <c r="A518" t="s">
        <v>1206</v>
      </c>
      <c r="B518">
        <v>40.200000000000003</v>
      </c>
      <c r="C518">
        <v>34.799999999999997</v>
      </c>
      <c r="D518">
        <v>20.3</v>
      </c>
      <c r="E518">
        <v>2.6</v>
      </c>
      <c r="F518" t="s">
        <v>196</v>
      </c>
      <c r="G518" s="92">
        <v>45887.594363425924</v>
      </c>
    </row>
    <row r="519" spans="1:7" x14ac:dyDescent="0.2">
      <c r="A519" t="s">
        <v>1204</v>
      </c>
      <c r="B519">
        <v>27.8</v>
      </c>
      <c r="C519">
        <v>39.5</v>
      </c>
      <c r="D519">
        <v>37.299999999999997</v>
      </c>
      <c r="E519">
        <v>6.5</v>
      </c>
      <c r="F519" t="s">
        <v>205</v>
      </c>
      <c r="G519" s="92">
        <v>45877.737812500003</v>
      </c>
    </row>
    <row r="520" spans="1:7" x14ac:dyDescent="0.2">
      <c r="A520" t="s">
        <v>1203</v>
      </c>
      <c r="B520">
        <v>31.4</v>
      </c>
      <c r="C520">
        <v>24.9</v>
      </c>
      <c r="D520">
        <v>40.700000000000003</v>
      </c>
      <c r="E520">
        <v>3.8</v>
      </c>
      <c r="F520" t="s">
        <v>205</v>
      </c>
      <c r="G520" s="92">
        <v>45877.737430555557</v>
      </c>
    </row>
    <row r="521" spans="1:7" x14ac:dyDescent="0.2">
      <c r="A521" t="s">
        <v>1202</v>
      </c>
      <c r="B521">
        <v>61.8</v>
      </c>
      <c r="C521">
        <v>32.4</v>
      </c>
      <c r="D521">
        <v>76.3</v>
      </c>
      <c r="E521">
        <v>7.6</v>
      </c>
      <c r="F521" t="s">
        <v>205</v>
      </c>
      <c r="G521" s="92">
        <v>45877.736608796295</v>
      </c>
    </row>
    <row r="522" spans="1:7" x14ac:dyDescent="0.2">
      <c r="A522" t="s">
        <v>1200</v>
      </c>
      <c r="B522">
        <v>19.3</v>
      </c>
      <c r="C522">
        <v>17.600000000000001</v>
      </c>
      <c r="D522">
        <v>33.6</v>
      </c>
      <c r="E522">
        <v>0.7</v>
      </c>
      <c r="F522" t="s">
        <v>196</v>
      </c>
      <c r="G522" s="92">
        <v>45877.669571759259</v>
      </c>
    </row>
    <row r="523" spans="1:7" x14ac:dyDescent="0.2">
      <c r="A523" t="s">
        <v>1201</v>
      </c>
      <c r="B523">
        <v>19.3</v>
      </c>
      <c r="C523">
        <v>54.4</v>
      </c>
      <c r="D523">
        <v>17.7</v>
      </c>
      <c r="E523">
        <v>1</v>
      </c>
      <c r="F523" t="s">
        <v>196</v>
      </c>
      <c r="G523" s="92">
        <v>45877.67019675926</v>
      </c>
    </row>
    <row r="524" spans="1:7" x14ac:dyDescent="0.2">
      <c r="A524" t="s">
        <v>1199</v>
      </c>
      <c r="B524">
        <v>36.1</v>
      </c>
      <c r="C524">
        <v>36.200000000000003</v>
      </c>
      <c r="D524">
        <v>40.4</v>
      </c>
      <c r="E524">
        <v>22.2</v>
      </c>
      <c r="F524" t="s">
        <v>205</v>
      </c>
      <c r="G524" s="92">
        <v>45877.579189814816</v>
      </c>
    </row>
    <row r="525" spans="1:7" x14ac:dyDescent="0.2">
      <c r="A525" t="s">
        <v>1197</v>
      </c>
      <c r="B525">
        <v>22.9</v>
      </c>
      <c r="C525">
        <v>17.399999999999999</v>
      </c>
      <c r="D525">
        <v>31.3</v>
      </c>
      <c r="E525">
        <v>0.6</v>
      </c>
      <c r="F525" t="s">
        <v>205</v>
      </c>
      <c r="G525" s="92">
        <v>45876.711041666669</v>
      </c>
    </row>
    <row r="526" spans="1:7" x14ac:dyDescent="0.2">
      <c r="A526" t="s">
        <v>1198</v>
      </c>
      <c r="B526">
        <v>14.4</v>
      </c>
      <c r="C526">
        <v>13</v>
      </c>
      <c r="D526">
        <v>23</v>
      </c>
      <c r="E526">
        <v>0.3</v>
      </c>
      <c r="F526" t="s">
        <v>205</v>
      </c>
      <c r="G526" s="92">
        <v>45876.713379629633</v>
      </c>
    </row>
    <row r="527" spans="1:7" x14ac:dyDescent="0.2">
      <c r="A527" t="s">
        <v>1196</v>
      </c>
      <c r="B527">
        <v>23.6</v>
      </c>
      <c r="C527">
        <v>24.2</v>
      </c>
      <c r="D527">
        <v>30.7</v>
      </c>
      <c r="E527">
        <v>1.4</v>
      </c>
      <c r="F527" t="s">
        <v>205</v>
      </c>
      <c r="G527" s="92">
        <v>45876.705937500003</v>
      </c>
    </row>
    <row r="528" spans="1:7" x14ac:dyDescent="0.2">
      <c r="A528" t="s">
        <v>1195</v>
      </c>
      <c r="B528">
        <v>41.8</v>
      </c>
      <c r="C528">
        <v>12.2</v>
      </c>
      <c r="D528">
        <v>51.2</v>
      </c>
      <c r="E528">
        <v>2.1</v>
      </c>
      <c r="F528" t="s">
        <v>205</v>
      </c>
      <c r="G528" s="92">
        <v>45876.683240740742</v>
      </c>
    </row>
    <row r="529" spans="1:7" x14ac:dyDescent="0.2">
      <c r="A529" t="s">
        <v>1194</v>
      </c>
      <c r="B529">
        <v>37.799999999999997</v>
      </c>
      <c r="C529">
        <v>33.1</v>
      </c>
      <c r="D529">
        <v>37.9</v>
      </c>
      <c r="E529">
        <v>5.9</v>
      </c>
      <c r="F529" t="s">
        <v>205</v>
      </c>
      <c r="G529" s="92">
        <v>45876.682222222225</v>
      </c>
    </row>
    <row r="530" spans="1:7" x14ac:dyDescent="0.2">
      <c r="A530" t="s">
        <v>1112</v>
      </c>
      <c r="B530">
        <v>47.5</v>
      </c>
      <c r="C530">
        <v>33.4</v>
      </c>
      <c r="D530">
        <v>60.3</v>
      </c>
      <c r="E530">
        <v>5.7</v>
      </c>
      <c r="F530" t="s">
        <v>205</v>
      </c>
      <c r="G530" s="92">
        <v>45875.695659722223</v>
      </c>
    </row>
    <row r="531" spans="1:7" x14ac:dyDescent="0.2">
      <c r="A531" t="s">
        <v>1111</v>
      </c>
      <c r="B531">
        <v>23.1</v>
      </c>
      <c r="C531">
        <v>24.3</v>
      </c>
      <c r="D531">
        <v>30.8</v>
      </c>
      <c r="E531">
        <v>7.1</v>
      </c>
      <c r="F531" t="s">
        <v>205</v>
      </c>
      <c r="G531" s="92">
        <v>45875.681215277778</v>
      </c>
    </row>
    <row r="532" spans="1:7" x14ac:dyDescent="0.2">
      <c r="A532" t="s">
        <v>1109</v>
      </c>
      <c r="B532">
        <v>27</v>
      </c>
      <c r="C532">
        <v>11.2</v>
      </c>
      <c r="D532">
        <v>32.700000000000003</v>
      </c>
      <c r="E532">
        <v>1.2</v>
      </c>
      <c r="F532" t="s">
        <v>205</v>
      </c>
      <c r="G532" s="92">
        <v>45875.662361111114</v>
      </c>
    </row>
    <row r="533" spans="1:7" x14ac:dyDescent="0.2">
      <c r="A533" t="s">
        <v>1108</v>
      </c>
      <c r="B533">
        <v>35.9</v>
      </c>
      <c r="C533">
        <v>25.5</v>
      </c>
      <c r="D533">
        <v>48.1</v>
      </c>
      <c r="E533">
        <v>4.5</v>
      </c>
      <c r="F533" t="s">
        <v>205</v>
      </c>
      <c r="G533" s="92">
        <v>45875.622083333335</v>
      </c>
    </row>
    <row r="534" spans="1:7" x14ac:dyDescent="0.2">
      <c r="A534" t="s">
        <v>1107</v>
      </c>
      <c r="B534">
        <v>41.8</v>
      </c>
      <c r="C534">
        <v>53.2</v>
      </c>
      <c r="D534">
        <v>51</v>
      </c>
      <c r="E534">
        <v>9.1999999999999993</v>
      </c>
      <c r="F534" t="s">
        <v>205</v>
      </c>
      <c r="G534" s="92">
        <v>45875.620891203704</v>
      </c>
    </row>
    <row r="535" spans="1:7" x14ac:dyDescent="0.2">
      <c r="A535" t="s">
        <v>1105</v>
      </c>
      <c r="B535">
        <v>41.5</v>
      </c>
      <c r="C535">
        <v>53</v>
      </c>
      <c r="D535">
        <v>51.5</v>
      </c>
      <c r="E535">
        <v>14.8</v>
      </c>
      <c r="F535" t="s">
        <v>205</v>
      </c>
      <c r="G535" s="92">
        <v>45875.618414351855</v>
      </c>
    </row>
    <row r="536" spans="1:7" x14ac:dyDescent="0.2">
      <c r="A536" t="s">
        <v>1106</v>
      </c>
      <c r="B536">
        <v>41.8</v>
      </c>
      <c r="C536">
        <v>53.1</v>
      </c>
      <c r="D536">
        <v>50.6</v>
      </c>
      <c r="E536">
        <v>10.3</v>
      </c>
      <c r="F536" t="s">
        <v>205</v>
      </c>
      <c r="G536" s="92">
        <v>45875.620312500003</v>
      </c>
    </row>
    <row r="537" spans="1:7" x14ac:dyDescent="0.2">
      <c r="A537" t="s">
        <v>1110</v>
      </c>
      <c r="B537">
        <v>37.700000000000003</v>
      </c>
      <c r="C537">
        <v>32.1</v>
      </c>
      <c r="D537">
        <v>41.1</v>
      </c>
      <c r="E537">
        <v>3.3</v>
      </c>
      <c r="F537" t="s">
        <v>205</v>
      </c>
      <c r="G537" s="92">
        <v>45875.662812499999</v>
      </c>
    </row>
    <row r="538" spans="1:7" x14ac:dyDescent="0.2">
      <c r="A538" t="s">
        <v>1281</v>
      </c>
      <c r="B538">
        <v>21.7</v>
      </c>
      <c r="C538">
        <v>5.9</v>
      </c>
      <c r="D538">
        <v>29.3</v>
      </c>
      <c r="E538">
        <v>0.3</v>
      </c>
      <c r="F538" t="s">
        <v>210</v>
      </c>
      <c r="G538" s="92">
        <v>45870.491226851853</v>
      </c>
    </row>
    <row r="539" spans="1:7" x14ac:dyDescent="0.2">
      <c r="A539" t="s">
        <v>1284</v>
      </c>
      <c r="B539">
        <v>38.4</v>
      </c>
      <c r="C539">
        <v>32.5</v>
      </c>
      <c r="D539">
        <v>38.200000000000003</v>
      </c>
      <c r="E539">
        <v>5.7</v>
      </c>
      <c r="F539" t="s">
        <v>210</v>
      </c>
      <c r="G539" s="92">
        <v>45870.492569444446</v>
      </c>
    </row>
    <row r="540" spans="1:7" x14ac:dyDescent="0.2">
      <c r="A540" t="s">
        <v>1283</v>
      </c>
      <c r="B540">
        <v>30.9</v>
      </c>
      <c r="C540">
        <v>16.3</v>
      </c>
      <c r="D540">
        <v>45.6</v>
      </c>
      <c r="E540">
        <v>3.6</v>
      </c>
      <c r="F540" t="s">
        <v>210</v>
      </c>
      <c r="G540" s="92">
        <v>45870.492222222223</v>
      </c>
    </row>
    <row r="541" spans="1:7" x14ac:dyDescent="0.2">
      <c r="A541" t="s">
        <v>1282</v>
      </c>
      <c r="B541">
        <v>30.7</v>
      </c>
      <c r="C541">
        <v>17.7</v>
      </c>
      <c r="D541">
        <v>40.700000000000003</v>
      </c>
      <c r="E541">
        <v>1.8</v>
      </c>
      <c r="F541" t="s">
        <v>210</v>
      </c>
      <c r="G541" s="92">
        <v>45870.491597222222</v>
      </c>
    </row>
    <row r="542" spans="1:7" x14ac:dyDescent="0.2">
      <c r="A542" t="s">
        <v>1050</v>
      </c>
      <c r="B542">
        <v>13.7</v>
      </c>
      <c r="C542">
        <v>11.5</v>
      </c>
      <c r="D542">
        <v>26.4</v>
      </c>
      <c r="E542">
        <v>0.5</v>
      </c>
      <c r="F542" t="s">
        <v>210</v>
      </c>
      <c r="G542" s="92">
        <v>45869.613344907404</v>
      </c>
    </row>
    <row r="543" spans="1:7" x14ac:dyDescent="0.2">
      <c r="A543" t="s">
        <v>1051</v>
      </c>
      <c r="B543">
        <v>41.8</v>
      </c>
      <c r="C543">
        <v>11.5</v>
      </c>
      <c r="D543">
        <v>51.1</v>
      </c>
      <c r="E543">
        <v>6.5</v>
      </c>
      <c r="F543" t="s">
        <v>695</v>
      </c>
      <c r="G543" s="92">
        <v>45869.66134259259</v>
      </c>
    </row>
    <row r="544" spans="1:7" x14ac:dyDescent="0.2">
      <c r="A544" t="s">
        <v>1048</v>
      </c>
      <c r="B544">
        <v>31.1</v>
      </c>
      <c r="C544">
        <v>27.9</v>
      </c>
      <c r="D544">
        <v>38.200000000000003</v>
      </c>
      <c r="E544">
        <v>4.5999999999999996</v>
      </c>
      <c r="F544" t="s">
        <v>210</v>
      </c>
      <c r="G544" s="92">
        <v>45869.611076388886</v>
      </c>
    </row>
    <row r="545" spans="1:7" x14ac:dyDescent="0.2">
      <c r="A545" t="s">
        <v>1047</v>
      </c>
      <c r="B545">
        <v>41.6</v>
      </c>
      <c r="C545">
        <v>53.4</v>
      </c>
      <c r="D545">
        <v>51.4</v>
      </c>
      <c r="E545">
        <v>3.8</v>
      </c>
      <c r="F545" t="s">
        <v>210</v>
      </c>
      <c r="G545" s="92">
        <v>45869.610682870371</v>
      </c>
    </row>
    <row r="546" spans="1:7" x14ac:dyDescent="0.2">
      <c r="A546" t="s">
        <v>1049</v>
      </c>
      <c r="B546">
        <v>40.299999999999997</v>
      </c>
      <c r="C546">
        <v>38.799999999999997</v>
      </c>
      <c r="D546">
        <v>78.5</v>
      </c>
      <c r="E546">
        <v>5.7</v>
      </c>
      <c r="F546" t="s">
        <v>210</v>
      </c>
      <c r="G546" s="92">
        <v>45869.612743055557</v>
      </c>
    </row>
    <row r="547" spans="1:7" x14ac:dyDescent="0.2">
      <c r="A547" t="s">
        <v>1192</v>
      </c>
      <c r="B547">
        <v>22.8</v>
      </c>
      <c r="C547">
        <v>12.6</v>
      </c>
      <c r="D547">
        <v>26.5</v>
      </c>
      <c r="E547">
        <v>1.1000000000000001</v>
      </c>
      <c r="F547" t="s">
        <v>210</v>
      </c>
      <c r="G547" s="92">
        <v>45869.568333333336</v>
      </c>
    </row>
    <row r="548" spans="1:7" x14ac:dyDescent="0.2">
      <c r="A548" t="s">
        <v>1193</v>
      </c>
      <c r="B548">
        <v>42.7</v>
      </c>
      <c r="C548">
        <v>28.3</v>
      </c>
      <c r="D548">
        <v>69.7</v>
      </c>
      <c r="E548">
        <v>6.4</v>
      </c>
      <c r="F548" t="s">
        <v>210</v>
      </c>
      <c r="G548" s="92">
        <v>45869.569490740738</v>
      </c>
    </row>
    <row r="549" spans="1:7" x14ac:dyDescent="0.2">
      <c r="A549" t="s">
        <v>955</v>
      </c>
      <c r="B549">
        <v>35.200000000000003</v>
      </c>
      <c r="C549">
        <v>29.2</v>
      </c>
      <c r="D549">
        <v>57.2</v>
      </c>
      <c r="E549">
        <v>2</v>
      </c>
      <c r="F549" t="s">
        <v>210</v>
      </c>
      <c r="G549" s="92">
        <v>45867.646504629629</v>
      </c>
    </row>
    <row r="550" spans="1:7" x14ac:dyDescent="0.2">
      <c r="A550" t="s">
        <v>835</v>
      </c>
      <c r="B550">
        <v>31.9</v>
      </c>
      <c r="C550">
        <v>19.3</v>
      </c>
      <c r="D550">
        <v>45.8</v>
      </c>
      <c r="E550">
        <v>2.9</v>
      </c>
      <c r="F550" t="s">
        <v>210</v>
      </c>
      <c r="G550" s="92">
        <v>45867.499050925922</v>
      </c>
    </row>
    <row r="551" spans="1:7" x14ac:dyDescent="0.2">
      <c r="A551" t="s">
        <v>836</v>
      </c>
      <c r="B551">
        <v>33.799999999999997</v>
      </c>
      <c r="C551">
        <v>21.4</v>
      </c>
      <c r="D551">
        <v>44.7</v>
      </c>
      <c r="E551">
        <v>1.2</v>
      </c>
      <c r="F551" t="s">
        <v>210</v>
      </c>
      <c r="G551" s="92">
        <v>45867.499432870369</v>
      </c>
    </row>
    <row r="552" spans="1:7" x14ac:dyDescent="0.2">
      <c r="A552" t="s">
        <v>834</v>
      </c>
      <c r="B552">
        <v>25.5</v>
      </c>
      <c r="C552">
        <v>21.5</v>
      </c>
      <c r="D552">
        <v>44.7</v>
      </c>
      <c r="E552">
        <v>5.8</v>
      </c>
      <c r="F552" t="s">
        <v>210</v>
      </c>
      <c r="G552" s="92">
        <v>45867.498749999999</v>
      </c>
    </row>
    <row r="553" spans="1:7" x14ac:dyDescent="0.2">
      <c r="A553" t="s">
        <v>833</v>
      </c>
      <c r="B553">
        <v>32.1</v>
      </c>
      <c r="C553">
        <v>18.100000000000001</v>
      </c>
      <c r="D553">
        <v>38.700000000000003</v>
      </c>
      <c r="E553">
        <v>10</v>
      </c>
      <c r="F553" t="s">
        <v>210</v>
      </c>
      <c r="G553" s="92">
        <v>45867.468969907408</v>
      </c>
    </row>
    <row r="554" spans="1:7" x14ac:dyDescent="0.2">
      <c r="A554" t="s">
        <v>831</v>
      </c>
      <c r="B554">
        <v>41.4</v>
      </c>
      <c r="C554">
        <v>53.3</v>
      </c>
      <c r="D554">
        <v>51.5</v>
      </c>
      <c r="E554">
        <v>10.5</v>
      </c>
      <c r="F554" t="s">
        <v>210</v>
      </c>
      <c r="G554" s="92">
        <v>45867.468333333331</v>
      </c>
    </row>
    <row r="555" spans="1:7" x14ac:dyDescent="0.2">
      <c r="A555" t="s">
        <v>954</v>
      </c>
      <c r="B555">
        <v>16.7</v>
      </c>
      <c r="C555">
        <v>16.8</v>
      </c>
      <c r="D555">
        <v>8.1</v>
      </c>
      <c r="E555">
        <v>0.3</v>
      </c>
      <c r="F555" t="s">
        <v>210</v>
      </c>
      <c r="G555" s="92">
        <v>45866.568564814814</v>
      </c>
    </row>
    <row r="556" spans="1:7" x14ac:dyDescent="0.2">
      <c r="A556" t="s">
        <v>1405</v>
      </c>
      <c r="B556">
        <v>35.9</v>
      </c>
      <c r="C556">
        <v>29.4</v>
      </c>
      <c r="D556">
        <v>46.6</v>
      </c>
      <c r="E556">
        <v>13.4</v>
      </c>
      <c r="F556" t="s">
        <v>210</v>
      </c>
      <c r="G556" s="92">
        <v>45866.590439814812</v>
      </c>
    </row>
    <row r="557" spans="1:7" x14ac:dyDescent="0.2">
      <c r="A557" t="s">
        <v>1149</v>
      </c>
      <c r="B557">
        <v>33.700000000000003</v>
      </c>
      <c r="C557">
        <v>35.799999999999997</v>
      </c>
      <c r="D557">
        <v>39.4</v>
      </c>
      <c r="E557">
        <v>7.1</v>
      </c>
      <c r="F557" t="s">
        <v>695</v>
      </c>
      <c r="G557" s="92">
        <v>45951.64298611111</v>
      </c>
    </row>
    <row r="558" spans="1:7" x14ac:dyDescent="0.2">
      <c r="A558" t="s">
        <v>950</v>
      </c>
      <c r="B558">
        <v>53.5</v>
      </c>
      <c r="C558">
        <v>25.6</v>
      </c>
      <c r="D558">
        <v>36</v>
      </c>
      <c r="E558">
        <v>15.1</v>
      </c>
      <c r="F558" t="s">
        <v>216</v>
      </c>
      <c r="G558" s="92">
        <v>45841.500497685185</v>
      </c>
    </row>
    <row r="559" spans="1:7" x14ac:dyDescent="0.2">
      <c r="A559" t="s">
        <v>952</v>
      </c>
      <c r="B559">
        <v>52</v>
      </c>
      <c r="C559">
        <v>38.700000000000003</v>
      </c>
      <c r="D559">
        <v>41.1</v>
      </c>
      <c r="E559">
        <v>5.0999999999999996</v>
      </c>
      <c r="F559" t="s">
        <v>216</v>
      </c>
      <c r="G559" s="92">
        <v>45841.502500000002</v>
      </c>
    </row>
    <row r="560" spans="1:7" x14ac:dyDescent="0.2">
      <c r="A560" t="s">
        <v>951</v>
      </c>
      <c r="B560">
        <v>47.7</v>
      </c>
      <c r="C560">
        <v>32.799999999999997</v>
      </c>
      <c r="D560">
        <v>28.2</v>
      </c>
      <c r="E560">
        <v>6.2</v>
      </c>
      <c r="F560" t="s">
        <v>216</v>
      </c>
      <c r="G560" s="92">
        <v>45841.500983796293</v>
      </c>
    </row>
    <row r="561" spans="1:7" x14ac:dyDescent="0.2">
      <c r="A561" t="s">
        <v>953</v>
      </c>
      <c r="B561">
        <v>51.6</v>
      </c>
      <c r="C561">
        <v>53.6</v>
      </c>
      <c r="D561">
        <v>42.1</v>
      </c>
      <c r="E561">
        <v>12.4</v>
      </c>
      <c r="F561" t="s">
        <v>216</v>
      </c>
      <c r="G561" s="92">
        <v>45841.503182870372</v>
      </c>
    </row>
    <row r="562" spans="1:7" x14ac:dyDescent="0.2">
      <c r="A562" t="s">
        <v>832</v>
      </c>
      <c r="B562">
        <v>53.6</v>
      </c>
      <c r="C562">
        <v>40.4</v>
      </c>
      <c r="D562">
        <v>41</v>
      </c>
      <c r="E562">
        <v>9</v>
      </c>
      <c r="F562" t="s">
        <v>216</v>
      </c>
      <c r="G562" s="92">
        <v>45841.443692129629</v>
      </c>
    </row>
    <row r="563" spans="1:7" x14ac:dyDescent="0.2">
      <c r="A563" t="s">
        <v>1404</v>
      </c>
      <c r="B563">
        <v>66.3</v>
      </c>
      <c r="C563">
        <v>33.200000000000003</v>
      </c>
      <c r="D563">
        <v>40.799999999999997</v>
      </c>
      <c r="E563">
        <v>9.3000000000000007</v>
      </c>
      <c r="F563" t="s">
        <v>216</v>
      </c>
      <c r="G563" s="92">
        <v>45840.670416666668</v>
      </c>
    </row>
    <row r="564" spans="1:7" x14ac:dyDescent="0.2">
      <c r="A564" t="s">
        <v>1045</v>
      </c>
      <c r="B564">
        <v>54.2</v>
      </c>
      <c r="C564">
        <v>25.3</v>
      </c>
      <c r="D564">
        <v>35.299999999999997</v>
      </c>
      <c r="E564">
        <v>7.3</v>
      </c>
      <c r="F564" t="s">
        <v>216</v>
      </c>
      <c r="G564" s="92">
        <v>45840.576655092591</v>
      </c>
    </row>
    <row r="565" spans="1:7" x14ac:dyDescent="0.2">
      <c r="A565" t="s">
        <v>1043</v>
      </c>
      <c r="B565">
        <v>29.3</v>
      </c>
      <c r="C565">
        <v>22.3</v>
      </c>
      <c r="D565">
        <v>25.2</v>
      </c>
      <c r="E565">
        <v>1.9</v>
      </c>
      <c r="F565" t="s">
        <v>216</v>
      </c>
      <c r="G565" s="92">
        <v>45840.575844907406</v>
      </c>
    </row>
    <row r="566" spans="1:7" x14ac:dyDescent="0.2">
      <c r="A566" t="s">
        <v>1280</v>
      </c>
      <c r="B566">
        <v>42.5</v>
      </c>
      <c r="C566">
        <v>30.6</v>
      </c>
      <c r="D566">
        <v>33.4</v>
      </c>
      <c r="E566">
        <v>10.199999999999999</v>
      </c>
      <c r="F566" t="s">
        <v>216</v>
      </c>
      <c r="G566" s="92">
        <v>45840.588090277779</v>
      </c>
    </row>
    <row r="567" spans="1:7" x14ac:dyDescent="0.2">
      <c r="A567" t="s">
        <v>1046</v>
      </c>
      <c r="B567">
        <v>37.700000000000003</v>
      </c>
      <c r="C567">
        <v>17.8</v>
      </c>
      <c r="D567">
        <v>32.1</v>
      </c>
      <c r="E567">
        <v>13.3</v>
      </c>
      <c r="F567" t="s">
        <v>216</v>
      </c>
      <c r="G567" s="92">
        <v>45840.581192129626</v>
      </c>
    </row>
    <row r="568" spans="1:7" x14ac:dyDescent="0.2">
      <c r="A568" t="s">
        <v>1041</v>
      </c>
      <c r="B568">
        <v>50.9</v>
      </c>
      <c r="C568">
        <v>52.9</v>
      </c>
      <c r="D568">
        <v>42</v>
      </c>
      <c r="E568">
        <v>9.3000000000000007</v>
      </c>
      <c r="F568" t="s">
        <v>216</v>
      </c>
      <c r="G568" s="92">
        <v>45840.572592592594</v>
      </c>
    </row>
    <row r="569" spans="1:7" x14ac:dyDescent="0.2">
      <c r="A569" t="s">
        <v>1044</v>
      </c>
      <c r="B569">
        <v>38.299999999999997</v>
      </c>
      <c r="C569">
        <v>18.399999999999999</v>
      </c>
      <c r="D569">
        <v>32.4</v>
      </c>
      <c r="E569">
        <v>13.3</v>
      </c>
      <c r="F569" t="s">
        <v>216</v>
      </c>
      <c r="G569" s="92">
        <v>45840.574988425928</v>
      </c>
    </row>
    <row r="570" spans="1:7" x14ac:dyDescent="0.2">
      <c r="A570" t="s">
        <v>1042</v>
      </c>
      <c r="B570">
        <v>51</v>
      </c>
      <c r="C570">
        <v>52.8</v>
      </c>
      <c r="D570">
        <v>42</v>
      </c>
      <c r="E570">
        <v>9.3000000000000007</v>
      </c>
      <c r="F570" t="s">
        <v>216</v>
      </c>
      <c r="G570" s="92">
        <v>45840.572916666664</v>
      </c>
    </row>
    <row r="571" spans="1:7" x14ac:dyDescent="0.2">
      <c r="A571" t="s">
        <v>1403</v>
      </c>
      <c r="B571">
        <v>32.299999999999997</v>
      </c>
      <c r="C571">
        <v>17.8</v>
      </c>
      <c r="D571">
        <v>37.1</v>
      </c>
      <c r="E571">
        <v>0.8</v>
      </c>
      <c r="F571" t="s">
        <v>216</v>
      </c>
      <c r="G571" s="92">
        <v>45840.485277777778</v>
      </c>
    </row>
    <row r="572" spans="1:7" x14ac:dyDescent="0.2">
      <c r="A572" t="s">
        <v>949</v>
      </c>
      <c r="B572">
        <v>40.1</v>
      </c>
      <c r="C572">
        <v>29.6</v>
      </c>
      <c r="D572">
        <v>30.4</v>
      </c>
      <c r="E572">
        <v>4.0999999999999996</v>
      </c>
      <c r="F572" t="s">
        <v>216</v>
      </c>
      <c r="G572" s="92">
        <v>45839.646331018521</v>
      </c>
    </row>
    <row r="573" spans="1:7" x14ac:dyDescent="0.2">
      <c r="A573" t="s">
        <v>948</v>
      </c>
      <c r="B573">
        <v>40.6</v>
      </c>
      <c r="C573">
        <v>34.6</v>
      </c>
      <c r="D573">
        <v>39.5</v>
      </c>
      <c r="E573">
        <v>1.7</v>
      </c>
      <c r="F573" t="s">
        <v>216</v>
      </c>
      <c r="G573" s="92">
        <v>45839.642824074072</v>
      </c>
    </row>
    <row r="574" spans="1:7" x14ac:dyDescent="0.2">
      <c r="A574" t="s">
        <v>1040</v>
      </c>
      <c r="B574">
        <v>49.9</v>
      </c>
      <c r="C574">
        <v>22.3</v>
      </c>
      <c r="D574">
        <v>34.700000000000003</v>
      </c>
      <c r="E574">
        <v>1.8</v>
      </c>
      <c r="F574" t="s">
        <v>216</v>
      </c>
      <c r="G574" s="92">
        <v>45839.589328703703</v>
      </c>
    </row>
    <row r="575" spans="1:7" x14ac:dyDescent="0.2">
      <c r="A575" t="s">
        <v>947</v>
      </c>
      <c r="B575">
        <v>48.4</v>
      </c>
      <c r="C575">
        <v>40.700000000000003</v>
      </c>
      <c r="D575">
        <v>33.6</v>
      </c>
      <c r="E575">
        <v>9.1</v>
      </c>
      <c r="F575" t="s">
        <v>216</v>
      </c>
      <c r="G575" s="92">
        <v>45839.576064814813</v>
      </c>
    </row>
    <row r="576" spans="1:7" x14ac:dyDescent="0.2">
      <c r="A576" t="s">
        <v>946</v>
      </c>
      <c r="B576">
        <v>53.4</v>
      </c>
      <c r="C576">
        <v>42.4</v>
      </c>
      <c r="D576">
        <v>35.700000000000003</v>
      </c>
      <c r="E576">
        <v>11.9</v>
      </c>
      <c r="F576" t="s">
        <v>216</v>
      </c>
      <c r="G576" s="92">
        <v>45839.574780092589</v>
      </c>
    </row>
    <row r="577" spans="1:7" x14ac:dyDescent="0.2">
      <c r="A577" t="s">
        <v>1039</v>
      </c>
      <c r="B577">
        <v>28.5</v>
      </c>
      <c r="C577">
        <v>34.799999999999997</v>
      </c>
      <c r="D577">
        <v>29.2</v>
      </c>
      <c r="E577">
        <v>2.7</v>
      </c>
      <c r="F577" t="s">
        <v>216</v>
      </c>
      <c r="G577" s="92">
        <v>45839.554583333331</v>
      </c>
    </row>
    <row r="578" spans="1:7" x14ac:dyDescent="0.2">
      <c r="A578" t="s">
        <v>1342</v>
      </c>
      <c r="B578">
        <v>26.7</v>
      </c>
      <c r="C578">
        <v>37.4</v>
      </c>
      <c r="D578">
        <v>26.5</v>
      </c>
      <c r="E578">
        <v>7.8</v>
      </c>
      <c r="F578" t="s">
        <v>216</v>
      </c>
      <c r="G578" s="92">
        <v>45839.496446759258</v>
      </c>
    </row>
    <row r="579" spans="1:7" x14ac:dyDescent="0.2">
      <c r="A579" t="s">
        <v>945</v>
      </c>
      <c r="B579">
        <v>72.400000000000006</v>
      </c>
      <c r="C579">
        <v>32.799999999999997</v>
      </c>
      <c r="D579">
        <v>31.4</v>
      </c>
      <c r="E579">
        <v>3.1</v>
      </c>
      <c r="F579" t="s">
        <v>216</v>
      </c>
      <c r="G579" s="92">
        <v>45839.466689814813</v>
      </c>
    </row>
    <row r="580" spans="1:7" x14ac:dyDescent="0.2">
      <c r="A580" t="s">
        <v>1104</v>
      </c>
      <c r="B580">
        <v>34.1</v>
      </c>
      <c r="C580">
        <v>39.799999999999997</v>
      </c>
      <c r="D580">
        <v>40</v>
      </c>
      <c r="E580">
        <v>6.1</v>
      </c>
      <c r="F580" t="s">
        <v>216</v>
      </c>
      <c r="G580" s="92">
        <v>45839.418321759258</v>
      </c>
    </row>
    <row r="581" spans="1:7" x14ac:dyDescent="0.2">
      <c r="A581" t="s">
        <v>1102</v>
      </c>
      <c r="B581">
        <v>39.799999999999997</v>
      </c>
      <c r="C581">
        <v>39.9</v>
      </c>
      <c r="D581">
        <v>34.200000000000003</v>
      </c>
      <c r="E581">
        <v>6.1</v>
      </c>
      <c r="F581" t="s">
        <v>216</v>
      </c>
      <c r="G581" s="92">
        <v>45839.417824074073</v>
      </c>
    </row>
    <row r="582" spans="1:7" x14ac:dyDescent="0.2">
      <c r="A582" t="s">
        <v>1103</v>
      </c>
      <c r="B582">
        <v>40.299999999999997</v>
      </c>
      <c r="C582">
        <v>39.9</v>
      </c>
      <c r="D582">
        <v>34.200000000000003</v>
      </c>
      <c r="E582">
        <v>7.2</v>
      </c>
      <c r="F582" t="s">
        <v>216</v>
      </c>
      <c r="G582" s="92">
        <v>45839.416388888887</v>
      </c>
    </row>
    <row r="583" spans="1:7" x14ac:dyDescent="0.2">
      <c r="A583" t="s">
        <v>1191</v>
      </c>
      <c r="B583">
        <v>28.2</v>
      </c>
      <c r="C583">
        <v>21.9</v>
      </c>
      <c r="D583">
        <v>20.9</v>
      </c>
      <c r="E583">
        <v>4.4000000000000004</v>
      </c>
      <c r="F583" t="s">
        <v>216</v>
      </c>
      <c r="G583" s="92">
        <v>45838.645208333335</v>
      </c>
    </row>
    <row r="584" spans="1:7" x14ac:dyDescent="0.2">
      <c r="A584" t="s">
        <v>1279</v>
      </c>
      <c r="B584">
        <v>63.1</v>
      </c>
      <c r="C584">
        <v>32.9</v>
      </c>
      <c r="D584">
        <v>45.6</v>
      </c>
      <c r="E584">
        <v>7.3</v>
      </c>
      <c r="F584" t="s">
        <v>216</v>
      </c>
      <c r="G584" s="92">
        <v>45838.648541666669</v>
      </c>
    </row>
    <row r="585" spans="1:7" x14ac:dyDescent="0.2">
      <c r="A585" t="s">
        <v>1038</v>
      </c>
      <c r="B585">
        <v>36.1</v>
      </c>
      <c r="C585">
        <v>29.9</v>
      </c>
      <c r="D585">
        <v>25.9</v>
      </c>
      <c r="E585">
        <v>1.9</v>
      </c>
      <c r="F585" t="s">
        <v>216</v>
      </c>
      <c r="G585" s="92">
        <v>45838.474085648151</v>
      </c>
    </row>
    <row r="586" spans="1:7" x14ac:dyDescent="0.2">
      <c r="A586" t="s">
        <v>1341</v>
      </c>
      <c r="B586">
        <v>52.4</v>
      </c>
      <c r="C586">
        <v>19.2</v>
      </c>
      <c r="D586">
        <v>37.1</v>
      </c>
      <c r="E586">
        <v>4.0999999999999996</v>
      </c>
      <c r="F586" t="s">
        <v>216</v>
      </c>
      <c r="G586" s="92">
        <v>45838.435011574074</v>
      </c>
    </row>
    <row r="587" spans="1:7" x14ac:dyDescent="0.2">
      <c r="A587" t="s">
        <v>1037</v>
      </c>
      <c r="B587">
        <v>34</v>
      </c>
      <c r="C587">
        <v>32.9</v>
      </c>
      <c r="D587">
        <v>35</v>
      </c>
      <c r="E587">
        <v>9.4</v>
      </c>
      <c r="F587" t="s">
        <v>205</v>
      </c>
      <c r="G587" s="92">
        <v>45836.584606481483</v>
      </c>
    </row>
    <row r="588" spans="1:7" x14ac:dyDescent="0.2">
      <c r="A588" t="s">
        <v>1036</v>
      </c>
      <c r="B588">
        <v>33.799999999999997</v>
      </c>
      <c r="C588">
        <v>33.200000000000003</v>
      </c>
      <c r="D588">
        <v>34.9</v>
      </c>
      <c r="E588">
        <v>11.3</v>
      </c>
      <c r="F588" t="s">
        <v>205</v>
      </c>
      <c r="G588" s="92">
        <v>45836.584050925929</v>
      </c>
    </row>
    <row r="589" spans="1:7" x14ac:dyDescent="0.2">
      <c r="A589" t="s">
        <v>1035</v>
      </c>
      <c r="B589">
        <v>29.4</v>
      </c>
      <c r="C589">
        <v>20.2</v>
      </c>
      <c r="D589">
        <v>30.9</v>
      </c>
      <c r="E589">
        <v>2.6</v>
      </c>
      <c r="F589" t="s">
        <v>205</v>
      </c>
      <c r="G589" s="92">
        <v>45836.58252314815</v>
      </c>
    </row>
    <row r="590" spans="1:7" x14ac:dyDescent="0.2">
      <c r="A590" t="s">
        <v>1032</v>
      </c>
      <c r="B590">
        <v>33.799999999999997</v>
      </c>
      <c r="C590">
        <v>29.7</v>
      </c>
      <c r="D590">
        <v>44.1</v>
      </c>
      <c r="E590">
        <v>13.7</v>
      </c>
      <c r="F590" t="s">
        <v>205</v>
      </c>
      <c r="G590" s="92">
        <v>45836.560763888891</v>
      </c>
    </row>
    <row r="591" spans="1:7" x14ac:dyDescent="0.2">
      <c r="A591" t="s">
        <v>1031</v>
      </c>
      <c r="B591">
        <v>27.2</v>
      </c>
      <c r="C591">
        <v>26.1</v>
      </c>
      <c r="D591">
        <v>42.8</v>
      </c>
      <c r="E591">
        <v>13.5</v>
      </c>
      <c r="F591" t="s">
        <v>205</v>
      </c>
      <c r="G591" s="92">
        <v>45836.560219907406</v>
      </c>
    </row>
    <row r="592" spans="1:7" x14ac:dyDescent="0.2">
      <c r="A592" t="s">
        <v>1030</v>
      </c>
      <c r="B592">
        <v>41.6</v>
      </c>
      <c r="C592">
        <v>53.1</v>
      </c>
      <c r="D592">
        <v>51.4</v>
      </c>
      <c r="E592">
        <v>8.6</v>
      </c>
      <c r="F592" t="s">
        <v>205</v>
      </c>
      <c r="G592" s="92">
        <v>45836.559618055559</v>
      </c>
    </row>
    <row r="593" spans="1:7" x14ac:dyDescent="0.2">
      <c r="A593" t="s">
        <v>1033</v>
      </c>
      <c r="B593">
        <v>29.5</v>
      </c>
      <c r="C593">
        <v>29.6</v>
      </c>
      <c r="D593">
        <v>53</v>
      </c>
      <c r="E593">
        <v>12.6</v>
      </c>
      <c r="F593" t="s">
        <v>205</v>
      </c>
      <c r="G593" s="92">
        <v>45836.581076388888</v>
      </c>
    </row>
    <row r="594" spans="1:7" x14ac:dyDescent="0.2">
      <c r="A594" t="s">
        <v>1034</v>
      </c>
      <c r="B594">
        <v>29.3</v>
      </c>
      <c r="C594">
        <v>29.2</v>
      </c>
      <c r="D594">
        <v>52.6</v>
      </c>
      <c r="E594">
        <v>13.2</v>
      </c>
      <c r="F594" t="s">
        <v>205</v>
      </c>
      <c r="G594" s="92">
        <v>45836.58148148148</v>
      </c>
    </row>
    <row r="595" spans="1:7" x14ac:dyDescent="0.2">
      <c r="A595" t="s">
        <v>944</v>
      </c>
      <c r="B595">
        <v>41</v>
      </c>
      <c r="C595">
        <v>38.200000000000003</v>
      </c>
      <c r="D595">
        <v>28.2</v>
      </c>
      <c r="E595">
        <v>10.8</v>
      </c>
      <c r="F595" t="s">
        <v>216</v>
      </c>
      <c r="G595" s="92">
        <v>45835.566238425927</v>
      </c>
    </row>
    <row r="596" spans="1:7" x14ac:dyDescent="0.2">
      <c r="A596" t="s">
        <v>1402</v>
      </c>
      <c r="B596">
        <v>51.6</v>
      </c>
      <c r="C596">
        <v>31.8</v>
      </c>
      <c r="D596">
        <v>42.7</v>
      </c>
      <c r="E596">
        <v>12.9</v>
      </c>
      <c r="F596" t="s">
        <v>216</v>
      </c>
      <c r="G596" s="92">
        <v>45835.569386574076</v>
      </c>
    </row>
    <row r="597" spans="1:7" x14ac:dyDescent="0.2">
      <c r="A597" t="s">
        <v>1401</v>
      </c>
      <c r="B597">
        <v>51.8</v>
      </c>
      <c r="C597">
        <v>53.2</v>
      </c>
      <c r="D597">
        <v>41.6</v>
      </c>
      <c r="E597">
        <v>10.6</v>
      </c>
      <c r="F597" t="s">
        <v>216</v>
      </c>
      <c r="G597" s="92">
        <v>45835.498564814814</v>
      </c>
    </row>
    <row r="598" spans="1:7" x14ac:dyDescent="0.2">
      <c r="A598" t="s">
        <v>1400</v>
      </c>
      <c r="B598">
        <v>51.7</v>
      </c>
      <c r="C598">
        <v>53.4</v>
      </c>
      <c r="D598">
        <v>41.7</v>
      </c>
      <c r="E598">
        <v>10.6</v>
      </c>
      <c r="F598" t="s">
        <v>216</v>
      </c>
      <c r="G598" s="92">
        <v>45835.49827546296</v>
      </c>
    </row>
    <row r="599" spans="1:7" x14ac:dyDescent="0.2">
      <c r="A599" t="s">
        <v>1399</v>
      </c>
      <c r="B599">
        <v>52.1</v>
      </c>
      <c r="C599">
        <v>30.4</v>
      </c>
      <c r="D599">
        <v>40.1</v>
      </c>
      <c r="E599">
        <v>1.8</v>
      </c>
      <c r="F599" t="s">
        <v>216</v>
      </c>
      <c r="G599" s="92">
        <v>45835.452199074076</v>
      </c>
    </row>
    <row r="600" spans="1:7" x14ac:dyDescent="0.2">
      <c r="A600" t="s">
        <v>830</v>
      </c>
      <c r="B600">
        <v>59</v>
      </c>
      <c r="C600">
        <v>40</v>
      </c>
      <c r="D600">
        <v>40.1</v>
      </c>
      <c r="E600">
        <v>16.8</v>
      </c>
      <c r="F600" t="s">
        <v>216</v>
      </c>
      <c r="G600" s="92">
        <v>45834.663784722223</v>
      </c>
    </row>
    <row r="601" spans="1:7" x14ac:dyDescent="0.2">
      <c r="A601" t="s">
        <v>1027</v>
      </c>
      <c r="B601">
        <v>48.6</v>
      </c>
      <c r="C601">
        <v>31.3</v>
      </c>
      <c r="D601">
        <v>29.3</v>
      </c>
      <c r="E601">
        <v>3.1</v>
      </c>
      <c r="F601" t="s">
        <v>216</v>
      </c>
      <c r="G601" s="92">
        <v>45834.562534722223</v>
      </c>
    </row>
    <row r="602" spans="1:7" x14ac:dyDescent="0.2">
      <c r="A602" t="s">
        <v>1339</v>
      </c>
      <c r="B602">
        <v>51.3</v>
      </c>
      <c r="C602">
        <v>54.8</v>
      </c>
      <c r="D602">
        <v>42.3</v>
      </c>
      <c r="E602">
        <v>9.1999999999999993</v>
      </c>
      <c r="F602" t="s">
        <v>216</v>
      </c>
      <c r="G602" s="92">
        <v>45834.584618055553</v>
      </c>
    </row>
    <row r="603" spans="1:7" x14ac:dyDescent="0.2">
      <c r="A603" t="s">
        <v>1340</v>
      </c>
      <c r="B603">
        <v>51.5</v>
      </c>
      <c r="C603">
        <v>53.9</v>
      </c>
      <c r="D603">
        <v>42.2</v>
      </c>
      <c r="E603">
        <v>9.1999999999999993</v>
      </c>
      <c r="F603" t="s">
        <v>216</v>
      </c>
      <c r="G603" s="92">
        <v>45834.585995370369</v>
      </c>
    </row>
    <row r="604" spans="1:7" x14ac:dyDescent="0.2">
      <c r="A604" t="s">
        <v>1338</v>
      </c>
      <c r="B604">
        <v>39.6</v>
      </c>
      <c r="C604">
        <v>18.3</v>
      </c>
      <c r="D604">
        <v>30.9</v>
      </c>
      <c r="E604">
        <v>4.2</v>
      </c>
      <c r="F604" t="s">
        <v>216</v>
      </c>
      <c r="G604" s="92">
        <v>45834.584097222221</v>
      </c>
    </row>
    <row r="605" spans="1:7" x14ac:dyDescent="0.2">
      <c r="A605" t="s">
        <v>1029</v>
      </c>
      <c r="B605">
        <v>36.799999999999997</v>
      </c>
      <c r="C605">
        <v>23.1</v>
      </c>
      <c r="D605">
        <v>27.5</v>
      </c>
      <c r="E605">
        <v>17.7</v>
      </c>
      <c r="F605" t="s">
        <v>216</v>
      </c>
      <c r="G605" s="92">
        <v>45834.577326388891</v>
      </c>
    </row>
    <row r="606" spans="1:7" x14ac:dyDescent="0.2">
      <c r="A606" t="s">
        <v>943</v>
      </c>
      <c r="B606">
        <v>51.2</v>
      </c>
      <c r="C606">
        <v>31.6</v>
      </c>
      <c r="D606">
        <v>48</v>
      </c>
      <c r="E606">
        <v>4.9000000000000004</v>
      </c>
      <c r="F606" t="s">
        <v>216</v>
      </c>
      <c r="G606" s="92">
        <v>45834.551180555558</v>
      </c>
    </row>
    <row r="607" spans="1:7" x14ac:dyDescent="0.2">
      <c r="A607" t="s">
        <v>942</v>
      </c>
      <c r="B607">
        <v>51.1</v>
      </c>
      <c r="C607">
        <v>38.5</v>
      </c>
      <c r="D607">
        <v>47.5</v>
      </c>
      <c r="E607">
        <v>4.9000000000000004</v>
      </c>
      <c r="F607" t="s">
        <v>216</v>
      </c>
      <c r="G607" s="92">
        <v>45834.550821759258</v>
      </c>
    </row>
    <row r="608" spans="1:7" x14ac:dyDescent="0.2">
      <c r="A608" t="s">
        <v>1028</v>
      </c>
      <c r="B608">
        <v>72</v>
      </c>
      <c r="C608">
        <v>34</v>
      </c>
      <c r="D608">
        <v>31.1</v>
      </c>
      <c r="E608">
        <v>7.2</v>
      </c>
      <c r="F608" t="s">
        <v>216</v>
      </c>
      <c r="G608" s="92">
        <v>45834.574490740742</v>
      </c>
    </row>
    <row r="609" spans="1:7" x14ac:dyDescent="0.2">
      <c r="A609" t="s">
        <v>941</v>
      </c>
      <c r="B609">
        <v>23.9</v>
      </c>
      <c r="C609">
        <v>35.1</v>
      </c>
      <c r="D609">
        <v>23.8</v>
      </c>
      <c r="E609">
        <v>6.2</v>
      </c>
      <c r="F609" t="s">
        <v>216</v>
      </c>
      <c r="G609" s="92">
        <v>45834.399722222224</v>
      </c>
    </row>
    <row r="610" spans="1:7" x14ac:dyDescent="0.2">
      <c r="A610" t="s">
        <v>940</v>
      </c>
      <c r="B610">
        <v>43.5</v>
      </c>
      <c r="C610">
        <v>39.1</v>
      </c>
      <c r="D610">
        <v>62.2</v>
      </c>
      <c r="E610">
        <v>15.6</v>
      </c>
      <c r="F610" t="s">
        <v>216</v>
      </c>
      <c r="G610" s="92">
        <v>45833.592083333337</v>
      </c>
    </row>
    <row r="611" spans="1:7" x14ac:dyDescent="0.2">
      <c r="A611" t="s">
        <v>1277</v>
      </c>
      <c r="B611">
        <v>54.6</v>
      </c>
      <c r="C611">
        <v>25.3</v>
      </c>
      <c r="D611">
        <v>35.700000000000003</v>
      </c>
      <c r="E611">
        <v>6.2</v>
      </c>
      <c r="F611" t="s">
        <v>216</v>
      </c>
      <c r="G611" s="92">
        <v>45833.543298611112</v>
      </c>
    </row>
    <row r="612" spans="1:7" x14ac:dyDescent="0.2">
      <c r="A612" t="s">
        <v>1278</v>
      </c>
      <c r="B612">
        <v>51.7</v>
      </c>
      <c r="C612">
        <v>53.9</v>
      </c>
      <c r="D612">
        <v>42</v>
      </c>
      <c r="E612">
        <v>12.1</v>
      </c>
      <c r="F612" t="s">
        <v>216</v>
      </c>
      <c r="G612" s="92">
        <v>45833.543981481482</v>
      </c>
    </row>
    <row r="613" spans="1:7" x14ac:dyDescent="0.2">
      <c r="A613" t="s">
        <v>1337</v>
      </c>
      <c r="B613">
        <v>51</v>
      </c>
      <c r="C613">
        <v>12.3</v>
      </c>
      <c r="D613">
        <v>42</v>
      </c>
      <c r="E613">
        <v>3.2</v>
      </c>
      <c r="F613" t="s">
        <v>216</v>
      </c>
      <c r="G613" s="92">
        <v>45833.497557870367</v>
      </c>
    </row>
    <row r="614" spans="1:7" x14ac:dyDescent="0.2">
      <c r="A614" t="s">
        <v>1396</v>
      </c>
      <c r="B614">
        <v>35</v>
      </c>
      <c r="C614">
        <v>16.399999999999999</v>
      </c>
      <c r="D614">
        <v>33</v>
      </c>
      <c r="E614">
        <v>2.9</v>
      </c>
      <c r="F614" t="s">
        <v>216</v>
      </c>
      <c r="G614" s="92">
        <v>45832.564803240741</v>
      </c>
    </row>
    <row r="615" spans="1:7" x14ac:dyDescent="0.2">
      <c r="A615" t="s">
        <v>1397</v>
      </c>
      <c r="B615">
        <v>39.299999999999997</v>
      </c>
      <c r="C615">
        <v>10.6</v>
      </c>
      <c r="D615">
        <v>29.4</v>
      </c>
      <c r="E615">
        <v>2.9</v>
      </c>
      <c r="F615" t="s">
        <v>216</v>
      </c>
      <c r="G615" s="92">
        <v>45832.568888888891</v>
      </c>
    </row>
    <row r="616" spans="1:7" x14ac:dyDescent="0.2">
      <c r="A616" t="s">
        <v>1398</v>
      </c>
      <c r="B616">
        <v>39.4</v>
      </c>
      <c r="C616">
        <v>15.5</v>
      </c>
      <c r="D616">
        <v>32.200000000000003</v>
      </c>
      <c r="E616">
        <v>6.4</v>
      </c>
      <c r="F616" t="s">
        <v>216</v>
      </c>
      <c r="G616" s="92">
        <v>45832.569340277776</v>
      </c>
    </row>
    <row r="617" spans="1:7" x14ac:dyDescent="0.2">
      <c r="A617" t="s">
        <v>1276</v>
      </c>
      <c r="B617">
        <v>52.7</v>
      </c>
      <c r="C617">
        <v>54</v>
      </c>
      <c r="D617">
        <v>42.4</v>
      </c>
      <c r="E617">
        <v>15.4</v>
      </c>
      <c r="F617" t="s">
        <v>216</v>
      </c>
      <c r="G617" s="92">
        <v>45832.485277777778</v>
      </c>
    </row>
    <row r="618" spans="1:7" x14ac:dyDescent="0.2">
      <c r="A618" t="s">
        <v>1275</v>
      </c>
      <c r="B618">
        <v>52.3</v>
      </c>
      <c r="C618">
        <v>53.4</v>
      </c>
      <c r="D618">
        <v>41.7</v>
      </c>
      <c r="E618">
        <v>15.4</v>
      </c>
      <c r="F618" t="s">
        <v>216</v>
      </c>
      <c r="G618" s="92">
        <v>45832.484594907408</v>
      </c>
    </row>
    <row r="619" spans="1:7" x14ac:dyDescent="0.2">
      <c r="A619" t="s">
        <v>1394</v>
      </c>
      <c r="B619">
        <v>31</v>
      </c>
      <c r="C619">
        <v>39.6</v>
      </c>
      <c r="D619">
        <v>26.2</v>
      </c>
      <c r="E619">
        <v>3.6</v>
      </c>
      <c r="F619" t="s">
        <v>216</v>
      </c>
      <c r="G619" s="92">
        <v>45832.498472222222</v>
      </c>
    </row>
    <row r="620" spans="1:7" x14ac:dyDescent="0.2">
      <c r="A620" t="s">
        <v>1395</v>
      </c>
      <c r="B620">
        <v>30.8</v>
      </c>
      <c r="C620">
        <v>39.799999999999997</v>
      </c>
      <c r="D620">
        <v>26</v>
      </c>
      <c r="E620">
        <v>3.6</v>
      </c>
      <c r="F620" t="s">
        <v>216</v>
      </c>
      <c r="G620" s="92">
        <v>45832.498877314814</v>
      </c>
    </row>
    <row r="621" spans="1:7" x14ac:dyDescent="0.2">
      <c r="A621" t="s">
        <v>1100</v>
      </c>
      <c r="B621">
        <v>44.5</v>
      </c>
      <c r="C621">
        <v>29</v>
      </c>
      <c r="D621">
        <v>33.9</v>
      </c>
      <c r="E621">
        <v>1.9</v>
      </c>
      <c r="F621" t="s">
        <v>216</v>
      </c>
      <c r="G621" s="92">
        <v>45832.401284722226</v>
      </c>
    </row>
    <row r="622" spans="1:7" x14ac:dyDescent="0.2">
      <c r="A622" t="s">
        <v>939</v>
      </c>
      <c r="B622">
        <v>48.8</v>
      </c>
      <c r="C622">
        <v>32.6</v>
      </c>
      <c r="D622">
        <v>62.5</v>
      </c>
      <c r="E622">
        <v>15.9</v>
      </c>
      <c r="F622" t="s">
        <v>196</v>
      </c>
      <c r="G622" s="92">
        <v>45829.640740740739</v>
      </c>
    </row>
    <row r="623" spans="1:7" x14ac:dyDescent="0.2">
      <c r="A623" t="s">
        <v>937</v>
      </c>
      <c r="B623">
        <v>49.1</v>
      </c>
      <c r="C623">
        <v>32.4</v>
      </c>
      <c r="D623">
        <v>62.6</v>
      </c>
      <c r="E623">
        <v>15</v>
      </c>
      <c r="F623" t="s">
        <v>196</v>
      </c>
      <c r="G623" s="92">
        <v>45829.639861111114</v>
      </c>
    </row>
    <row r="624" spans="1:7" x14ac:dyDescent="0.2">
      <c r="A624" t="s">
        <v>938</v>
      </c>
      <c r="B624">
        <v>49</v>
      </c>
      <c r="C624">
        <v>32.4</v>
      </c>
      <c r="D624">
        <v>62.1</v>
      </c>
      <c r="E624">
        <v>14.3</v>
      </c>
      <c r="F624" t="s">
        <v>196</v>
      </c>
      <c r="G624" s="92">
        <v>45829.640300925923</v>
      </c>
    </row>
    <row r="625" spans="1:7" x14ac:dyDescent="0.2">
      <c r="A625" t="s">
        <v>934</v>
      </c>
      <c r="B625">
        <v>48.6</v>
      </c>
      <c r="C625">
        <v>32.5</v>
      </c>
      <c r="D625">
        <v>62.4</v>
      </c>
      <c r="E625">
        <v>15.9</v>
      </c>
      <c r="F625" t="s">
        <v>196</v>
      </c>
      <c r="G625" s="92">
        <v>45829.620393518519</v>
      </c>
    </row>
    <row r="626" spans="1:7" x14ac:dyDescent="0.2">
      <c r="A626" t="s">
        <v>936</v>
      </c>
      <c r="B626">
        <v>49.2</v>
      </c>
      <c r="C626">
        <v>32.5</v>
      </c>
      <c r="D626">
        <v>62.4</v>
      </c>
      <c r="E626">
        <v>15</v>
      </c>
      <c r="F626" t="s">
        <v>196</v>
      </c>
      <c r="G626" s="92">
        <v>45829.621550925927</v>
      </c>
    </row>
    <row r="627" spans="1:7" x14ac:dyDescent="0.2">
      <c r="A627" t="s">
        <v>935</v>
      </c>
      <c r="B627">
        <v>49.1</v>
      </c>
      <c r="C627">
        <v>32.6</v>
      </c>
      <c r="D627">
        <v>62.5</v>
      </c>
      <c r="E627">
        <v>14.3</v>
      </c>
      <c r="F627" t="s">
        <v>196</v>
      </c>
      <c r="G627" s="92">
        <v>45829.621053240742</v>
      </c>
    </row>
    <row r="628" spans="1:7" x14ac:dyDescent="0.2">
      <c r="A628" t="s">
        <v>933</v>
      </c>
      <c r="B628">
        <v>41.5</v>
      </c>
      <c r="C628">
        <v>37.700000000000003</v>
      </c>
      <c r="D628">
        <v>51.2</v>
      </c>
      <c r="E628">
        <v>5.8</v>
      </c>
      <c r="F628" t="s">
        <v>196</v>
      </c>
      <c r="G628" s="92">
        <v>45829.619537037041</v>
      </c>
    </row>
    <row r="629" spans="1:7" x14ac:dyDescent="0.2">
      <c r="A629" t="s">
        <v>829</v>
      </c>
      <c r="B629">
        <v>75.8</v>
      </c>
      <c r="C629">
        <v>35.5</v>
      </c>
      <c r="D629">
        <v>41.6</v>
      </c>
      <c r="E629">
        <v>13.4</v>
      </c>
      <c r="F629" t="s">
        <v>216</v>
      </c>
      <c r="G629" s="92">
        <v>45828.608888888892</v>
      </c>
    </row>
    <row r="630" spans="1:7" x14ac:dyDescent="0.2">
      <c r="A630" t="s">
        <v>1101</v>
      </c>
      <c r="B630">
        <v>25.3</v>
      </c>
      <c r="C630">
        <v>45.2</v>
      </c>
      <c r="D630">
        <v>25.5</v>
      </c>
      <c r="E630">
        <v>1</v>
      </c>
      <c r="F630" t="s">
        <v>216</v>
      </c>
      <c r="G630" s="92">
        <v>45828.58116898148</v>
      </c>
    </row>
    <row r="631" spans="1:7" x14ac:dyDescent="0.2">
      <c r="A631" t="s">
        <v>931</v>
      </c>
      <c r="B631">
        <v>43.5</v>
      </c>
      <c r="C631">
        <v>29.7</v>
      </c>
      <c r="D631">
        <v>34</v>
      </c>
      <c r="E631">
        <v>9.5</v>
      </c>
      <c r="F631" t="s">
        <v>216</v>
      </c>
      <c r="G631" s="92">
        <v>45828.497465277775</v>
      </c>
    </row>
    <row r="632" spans="1:7" x14ac:dyDescent="0.2">
      <c r="A632" t="s">
        <v>932</v>
      </c>
      <c r="B632">
        <v>42.2</v>
      </c>
      <c r="C632">
        <v>31.4</v>
      </c>
      <c r="D632">
        <v>33.200000000000003</v>
      </c>
      <c r="E632">
        <v>4</v>
      </c>
      <c r="F632" t="s">
        <v>216</v>
      </c>
      <c r="G632" s="92">
        <v>45828.497777777775</v>
      </c>
    </row>
    <row r="633" spans="1:7" x14ac:dyDescent="0.2">
      <c r="A633" t="s">
        <v>929</v>
      </c>
      <c r="B633">
        <v>51.5</v>
      </c>
      <c r="C633">
        <v>54</v>
      </c>
      <c r="D633">
        <v>42</v>
      </c>
      <c r="E633">
        <v>10.8</v>
      </c>
      <c r="F633" t="s">
        <v>216</v>
      </c>
      <c r="G633" s="92">
        <v>45828.496516203704</v>
      </c>
    </row>
    <row r="634" spans="1:7" x14ac:dyDescent="0.2">
      <c r="A634" t="s">
        <v>930</v>
      </c>
      <c r="B634">
        <v>51.5</v>
      </c>
      <c r="C634">
        <v>53.7</v>
      </c>
      <c r="D634">
        <v>42.1</v>
      </c>
      <c r="E634">
        <v>10.8</v>
      </c>
      <c r="F634" t="s">
        <v>216</v>
      </c>
      <c r="G634" s="92">
        <v>45828.49695601852</v>
      </c>
    </row>
    <row r="635" spans="1:7" x14ac:dyDescent="0.2">
      <c r="A635" t="s">
        <v>828</v>
      </c>
      <c r="B635">
        <v>41.4</v>
      </c>
      <c r="C635">
        <v>23.6</v>
      </c>
      <c r="D635">
        <v>45.3</v>
      </c>
      <c r="E635">
        <v>1.5</v>
      </c>
      <c r="F635" t="s">
        <v>216</v>
      </c>
      <c r="G635" s="92">
        <v>45828.499722222223</v>
      </c>
    </row>
    <row r="636" spans="1:7" x14ac:dyDescent="0.2">
      <c r="A636" t="s">
        <v>1336</v>
      </c>
      <c r="B636">
        <v>72.3</v>
      </c>
      <c r="C636">
        <v>34.6</v>
      </c>
      <c r="D636">
        <v>31</v>
      </c>
      <c r="E636">
        <v>3.9</v>
      </c>
      <c r="F636" t="s">
        <v>216</v>
      </c>
      <c r="G636" s="92">
        <v>45828.480266203704</v>
      </c>
    </row>
    <row r="637" spans="1:7" x14ac:dyDescent="0.2">
      <c r="A637" t="s">
        <v>1026</v>
      </c>
      <c r="B637">
        <v>39.1</v>
      </c>
      <c r="C637">
        <v>24.9</v>
      </c>
      <c r="D637">
        <v>30.7</v>
      </c>
      <c r="E637">
        <v>33.5</v>
      </c>
      <c r="F637" t="s">
        <v>216</v>
      </c>
      <c r="G637" s="92">
        <v>45827.709814814814</v>
      </c>
    </row>
    <row r="638" spans="1:7" x14ac:dyDescent="0.2">
      <c r="A638" t="s">
        <v>1391</v>
      </c>
      <c r="B638">
        <v>40.200000000000003</v>
      </c>
      <c r="C638">
        <v>40.6</v>
      </c>
      <c r="D638">
        <v>36.200000000000003</v>
      </c>
      <c r="E638">
        <v>5.0999999999999996</v>
      </c>
      <c r="F638" t="s">
        <v>216</v>
      </c>
      <c r="G638" s="92">
        <v>45827.582789351851</v>
      </c>
    </row>
    <row r="639" spans="1:7" x14ac:dyDescent="0.2">
      <c r="A639" t="s">
        <v>1392</v>
      </c>
      <c r="B639">
        <v>57.6</v>
      </c>
      <c r="C639">
        <v>43.3</v>
      </c>
      <c r="D639">
        <v>46.5</v>
      </c>
      <c r="E639">
        <v>36.1</v>
      </c>
      <c r="F639" t="s">
        <v>216</v>
      </c>
      <c r="G639" s="92">
        <v>45827.592106481483</v>
      </c>
    </row>
    <row r="640" spans="1:7" x14ac:dyDescent="0.2">
      <c r="A640" t="s">
        <v>1393</v>
      </c>
      <c r="B640">
        <v>73.8</v>
      </c>
      <c r="C640">
        <v>57.5</v>
      </c>
      <c r="D640">
        <v>46.6</v>
      </c>
      <c r="E640">
        <v>39.5</v>
      </c>
      <c r="F640" t="s">
        <v>216</v>
      </c>
      <c r="G640" s="92">
        <v>45827.597326388888</v>
      </c>
    </row>
    <row r="641" spans="1:7" x14ac:dyDescent="0.2">
      <c r="A641" t="s">
        <v>1390</v>
      </c>
      <c r="B641">
        <v>46.5</v>
      </c>
      <c r="C641">
        <v>34.700000000000003</v>
      </c>
      <c r="D641">
        <v>32.9</v>
      </c>
      <c r="E641">
        <v>4.5</v>
      </c>
      <c r="F641" t="s">
        <v>216</v>
      </c>
      <c r="G641" s="92">
        <v>45827.562349537038</v>
      </c>
    </row>
    <row r="642" spans="1:7" x14ac:dyDescent="0.2">
      <c r="A642" t="s">
        <v>1389</v>
      </c>
      <c r="B642">
        <v>26.5</v>
      </c>
      <c r="C642">
        <v>19.7</v>
      </c>
      <c r="D642">
        <v>20.2</v>
      </c>
      <c r="E642">
        <v>1.1000000000000001</v>
      </c>
      <c r="F642" t="s">
        <v>216</v>
      </c>
      <c r="G642" s="92">
        <v>45827.561990740738</v>
      </c>
    </row>
    <row r="643" spans="1:7" x14ac:dyDescent="0.2">
      <c r="A643" t="s">
        <v>1025</v>
      </c>
      <c r="B643">
        <v>23.8</v>
      </c>
      <c r="C643">
        <v>25.9</v>
      </c>
      <c r="D643">
        <v>33.1</v>
      </c>
      <c r="E643">
        <v>1.9</v>
      </c>
      <c r="F643" t="s">
        <v>216</v>
      </c>
      <c r="G643" s="92">
        <v>45827.585115740738</v>
      </c>
    </row>
    <row r="644" spans="1:7" x14ac:dyDescent="0.2">
      <c r="A644" t="s">
        <v>1273</v>
      </c>
      <c r="B644">
        <v>54.2</v>
      </c>
      <c r="C644">
        <v>43.6</v>
      </c>
      <c r="D644">
        <v>53.7</v>
      </c>
      <c r="E644">
        <v>6.2</v>
      </c>
      <c r="F644" t="s">
        <v>210</v>
      </c>
      <c r="G644" s="92">
        <v>45826.548726851855</v>
      </c>
    </row>
    <row r="645" spans="1:7" x14ac:dyDescent="0.2">
      <c r="A645" t="s">
        <v>1274</v>
      </c>
      <c r="B645">
        <v>54</v>
      </c>
      <c r="C645">
        <v>43.3</v>
      </c>
      <c r="D645">
        <v>53.7</v>
      </c>
      <c r="E645">
        <v>6.2</v>
      </c>
      <c r="F645" t="s">
        <v>210</v>
      </c>
      <c r="G645" s="92">
        <v>45826.549398148149</v>
      </c>
    </row>
    <row r="646" spans="1:7" x14ac:dyDescent="0.2">
      <c r="A646" t="s">
        <v>1335</v>
      </c>
      <c r="B646">
        <v>22.4</v>
      </c>
      <c r="C646">
        <v>10</v>
      </c>
      <c r="D646">
        <v>16.399999999999999</v>
      </c>
      <c r="E646">
        <v>0.3</v>
      </c>
      <c r="F646" t="s">
        <v>210</v>
      </c>
      <c r="G646" s="92">
        <v>45826.568171296298</v>
      </c>
    </row>
    <row r="647" spans="1:7" x14ac:dyDescent="0.2">
      <c r="A647" t="s">
        <v>1190</v>
      </c>
      <c r="B647">
        <v>39.1</v>
      </c>
      <c r="C647">
        <v>39.4</v>
      </c>
      <c r="D647">
        <v>34.299999999999997</v>
      </c>
      <c r="E647">
        <v>7.2</v>
      </c>
      <c r="F647" t="s">
        <v>210</v>
      </c>
      <c r="G647" s="92">
        <v>45826.563240740739</v>
      </c>
    </row>
    <row r="648" spans="1:7" x14ac:dyDescent="0.2">
      <c r="A648" t="s">
        <v>1024</v>
      </c>
      <c r="B648">
        <v>41.5</v>
      </c>
      <c r="C648">
        <v>34.5</v>
      </c>
      <c r="D648">
        <v>27.5</v>
      </c>
      <c r="E648">
        <v>7.2</v>
      </c>
      <c r="F648" t="s">
        <v>210</v>
      </c>
      <c r="G648" s="92">
        <v>45826.560543981483</v>
      </c>
    </row>
    <row r="649" spans="1:7" x14ac:dyDescent="0.2">
      <c r="A649" t="s">
        <v>1271</v>
      </c>
      <c r="B649">
        <v>50.2</v>
      </c>
      <c r="C649">
        <v>33</v>
      </c>
      <c r="D649">
        <v>40</v>
      </c>
      <c r="E649">
        <v>13.3</v>
      </c>
      <c r="F649" t="s">
        <v>210</v>
      </c>
      <c r="G649" s="92">
        <v>45826.479108796295</v>
      </c>
    </row>
    <row r="650" spans="1:7" x14ac:dyDescent="0.2">
      <c r="A650" t="s">
        <v>1270</v>
      </c>
      <c r="B650">
        <v>51.4</v>
      </c>
      <c r="C650">
        <v>53.6</v>
      </c>
      <c r="D650">
        <v>41.4</v>
      </c>
      <c r="E650">
        <v>10.1</v>
      </c>
      <c r="F650" t="s">
        <v>210</v>
      </c>
      <c r="G650" s="92">
        <v>45826.479861111111</v>
      </c>
    </row>
    <row r="651" spans="1:7" x14ac:dyDescent="0.2">
      <c r="A651" t="s">
        <v>1272</v>
      </c>
      <c r="B651">
        <v>51.3</v>
      </c>
      <c r="C651">
        <v>53.6</v>
      </c>
      <c r="D651">
        <v>41.4</v>
      </c>
      <c r="E651">
        <v>10.1</v>
      </c>
      <c r="F651" t="s">
        <v>210</v>
      </c>
      <c r="G651" s="92">
        <v>45826.480300925927</v>
      </c>
    </row>
    <row r="652" spans="1:7" x14ac:dyDescent="0.2">
      <c r="A652" t="s">
        <v>1099</v>
      </c>
      <c r="B652">
        <v>31.5</v>
      </c>
      <c r="C652">
        <v>14.3</v>
      </c>
      <c r="D652">
        <v>29.1</v>
      </c>
      <c r="E652">
        <v>1.7</v>
      </c>
      <c r="F652" t="s">
        <v>210</v>
      </c>
      <c r="G652" s="92">
        <v>45826.432210648149</v>
      </c>
    </row>
    <row r="653" spans="1:7" x14ac:dyDescent="0.2">
      <c r="A653" t="s">
        <v>1022</v>
      </c>
      <c r="B653">
        <v>51.7</v>
      </c>
      <c r="C653">
        <v>53.7</v>
      </c>
      <c r="D653">
        <v>41.6</v>
      </c>
      <c r="E653">
        <v>9.5</v>
      </c>
      <c r="F653" t="s">
        <v>216</v>
      </c>
      <c r="G653" s="92">
        <v>45825.47278935185</v>
      </c>
    </row>
    <row r="654" spans="1:7" x14ac:dyDescent="0.2">
      <c r="A654" t="s">
        <v>1023</v>
      </c>
      <c r="B654">
        <v>51.6</v>
      </c>
      <c r="C654">
        <v>54</v>
      </c>
      <c r="D654">
        <v>41.7</v>
      </c>
      <c r="E654">
        <v>9.5</v>
      </c>
      <c r="F654" t="s">
        <v>216</v>
      </c>
      <c r="G654" s="92">
        <v>45825.473298611112</v>
      </c>
    </row>
    <row r="655" spans="1:7" x14ac:dyDescent="0.2">
      <c r="A655" t="s">
        <v>1388</v>
      </c>
      <c r="B655">
        <v>51.6</v>
      </c>
      <c r="C655">
        <v>53.7</v>
      </c>
      <c r="D655">
        <v>41.6</v>
      </c>
      <c r="E655">
        <v>9.5</v>
      </c>
      <c r="F655" t="s">
        <v>216</v>
      </c>
      <c r="G655" s="92">
        <v>45825.470370370371</v>
      </c>
    </row>
    <row r="656" spans="1:7" x14ac:dyDescent="0.2">
      <c r="A656" t="s">
        <v>1020</v>
      </c>
      <c r="B656">
        <v>52.4</v>
      </c>
      <c r="C656">
        <v>36.9</v>
      </c>
      <c r="D656">
        <v>33.4</v>
      </c>
      <c r="E656">
        <v>1</v>
      </c>
      <c r="F656" t="s">
        <v>216</v>
      </c>
      <c r="G656" s="92">
        <v>45825.417071759257</v>
      </c>
    </row>
    <row r="657" spans="1:7" x14ac:dyDescent="0.2">
      <c r="A657" t="s">
        <v>1387</v>
      </c>
      <c r="B657">
        <v>37.5</v>
      </c>
      <c r="C657">
        <v>40.299999999999997</v>
      </c>
      <c r="D657">
        <v>27.4</v>
      </c>
      <c r="E657">
        <v>4.8</v>
      </c>
      <c r="F657" t="s">
        <v>216</v>
      </c>
      <c r="G657" s="92">
        <v>45824.494155092594</v>
      </c>
    </row>
    <row r="658" spans="1:7" x14ac:dyDescent="0.2">
      <c r="A658" t="s">
        <v>1098</v>
      </c>
      <c r="B658">
        <v>23.6</v>
      </c>
      <c r="C658">
        <v>11.2</v>
      </c>
      <c r="D658">
        <v>27.8</v>
      </c>
      <c r="E658">
        <v>1.8</v>
      </c>
      <c r="F658" t="s">
        <v>205</v>
      </c>
      <c r="G658" s="92">
        <v>45822.554884259262</v>
      </c>
    </row>
    <row r="659" spans="1:7" x14ac:dyDescent="0.2">
      <c r="A659" t="s">
        <v>1097</v>
      </c>
      <c r="B659">
        <v>35.4</v>
      </c>
      <c r="C659">
        <v>42.7</v>
      </c>
      <c r="D659">
        <v>47.8</v>
      </c>
      <c r="E659">
        <v>8</v>
      </c>
      <c r="F659" t="s">
        <v>205</v>
      </c>
      <c r="G659" s="92">
        <v>45822.429548611108</v>
      </c>
    </row>
    <row r="660" spans="1:7" x14ac:dyDescent="0.2">
      <c r="A660" t="s">
        <v>1269</v>
      </c>
      <c r="B660">
        <v>63.3</v>
      </c>
      <c r="C660">
        <v>32.299999999999997</v>
      </c>
      <c r="D660">
        <v>46.1</v>
      </c>
      <c r="E660">
        <v>13.3</v>
      </c>
      <c r="F660" t="s">
        <v>216</v>
      </c>
      <c r="G660" s="92">
        <v>45821.719837962963</v>
      </c>
    </row>
    <row r="661" spans="1:7" x14ac:dyDescent="0.2">
      <c r="A661" t="s">
        <v>1019</v>
      </c>
      <c r="B661">
        <v>23.5</v>
      </c>
      <c r="C661">
        <v>11.2</v>
      </c>
      <c r="D661">
        <v>27.9</v>
      </c>
      <c r="E661">
        <v>0.4</v>
      </c>
      <c r="F661" t="s">
        <v>216</v>
      </c>
      <c r="G661" s="92">
        <v>45821.485405092593</v>
      </c>
    </row>
    <row r="662" spans="1:7" x14ac:dyDescent="0.2">
      <c r="A662" t="s">
        <v>1021</v>
      </c>
      <c r="B662">
        <v>27.8</v>
      </c>
      <c r="C662">
        <v>11.2</v>
      </c>
      <c r="D662">
        <v>23.7</v>
      </c>
      <c r="E662">
        <v>0.4</v>
      </c>
      <c r="F662" t="s">
        <v>216</v>
      </c>
      <c r="G662" s="92">
        <v>45821.486145833333</v>
      </c>
    </row>
    <row r="663" spans="1:7" x14ac:dyDescent="0.2">
      <c r="A663" t="s">
        <v>1018</v>
      </c>
      <c r="B663">
        <v>59.3</v>
      </c>
      <c r="C663">
        <v>40.4</v>
      </c>
      <c r="D663">
        <v>41.4</v>
      </c>
      <c r="E663">
        <v>6.6</v>
      </c>
      <c r="F663" t="s">
        <v>216</v>
      </c>
      <c r="G663" s="92">
        <v>45821.484699074077</v>
      </c>
    </row>
    <row r="664" spans="1:7" x14ac:dyDescent="0.2">
      <c r="A664" t="s">
        <v>1096</v>
      </c>
      <c r="B664">
        <v>56.8</v>
      </c>
      <c r="C664">
        <v>43.9</v>
      </c>
      <c r="D664">
        <v>37.700000000000003</v>
      </c>
      <c r="E664">
        <v>12.8</v>
      </c>
      <c r="F664" t="s">
        <v>216</v>
      </c>
      <c r="G664" s="92">
        <v>45821.450370370374</v>
      </c>
    </row>
    <row r="665" spans="1:7" x14ac:dyDescent="0.2">
      <c r="A665" t="s">
        <v>1386</v>
      </c>
      <c r="B665">
        <v>36.799999999999997</v>
      </c>
      <c r="C665">
        <v>40</v>
      </c>
      <c r="D665">
        <v>36.6</v>
      </c>
      <c r="E665">
        <v>22.2</v>
      </c>
      <c r="F665" t="s">
        <v>216</v>
      </c>
      <c r="G665" s="92">
        <v>45820.606458333335</v>
      </c>
    </row>
    <row r="666" spans="1:7" x14ac:dyDescent="0.2">
      <c r="A666" t="s">
        <v>1268</v>
      </c>
      <c r="B666">
        <v>54.2</v>
      </c>
      <c r="C666">
        <v>25.4</v>
      </c>
      <c r="D666">
        <v>35.700000000000003</v>
      </c>
      <c r="E666">
        <v>12.5</v>
      </c>
      <c r="F666" t="s">
        <v>216</v>
      </c>
      <c r="G666" s="92">
        <v>45820.485578703701</v>
      </c>
    </row>
    <row r="667" spans="1:7" x14ac:dyDescent="0.2">
      <c r="A667" t="s">
        <v>1267</v>
      </c>
      <c r="B667">
        <v>50.1</v>
      </c>
      <c r="C667">
        <v>53</v>
      </c>
      <c r="D667">
        <v>42.2</v>
      </c>
      <c r="E667">
        <v>12.2</v>
      </c>
      <c r="F667" t="s">
        <v>216</v>
      </c>
      <c r="G667" s="92">
        <v>45820.484895833331</v>
      </c>
    </row>
    <row r="668" spans="1:7" x14ac:dyDescent="0.2">
      <c r="A668" t="s">
        <v>1266</v>
      </c>
      <c r="B668">
        <v>47.7</v>
      </c>
      <c r="C668">
        <v>33</v>
      </c>
      <c r="D668">
        <v>27.4</v>
      </c>
      <c r="E668">
        <v>6.2</v>
      </c>
      <c r="F668" t="s">
        <v>216</v>
      </c>
      <c r="G668" s="92">
        <v>45820.483263888891</v>
      </c>
    </row>
    <row r="669" spans="1:7" x14ac:dyDescent="0.2">
      <c r="A669" t="s">
        <v>1095</v>
      </c>
      <c r="B669">
        <v>30</v>
      </c>
      <c r="C669">
        <v>28.8</v>
      </c>
      <c r="D669">
        <v>35.5</v>
      </c>
      <c r="E669">
        <v>7.7</v>
      </c>
      <c r="F669" t="s">
        <v>216</v>
      </c>
      <c r="G669" s="92">
        <v>45820.493425925924</v>
      </c>
    </row>
    <row r="670" spans="1:7" x14ac:dyDescent="0.2">
      <c r="A670" t="s">
        <v>1017</v>
      </c>
      <c r="B670">
        <v>41.2</v>
      </c>
      <c r="C670">
        <v>20.100000000000001</v>
      </c>
      <c r="D670">
        <v>31.1</v>
      </c>
      <c r="E670">
        <v>11.1</v>
      </c>
      <c r="F670" t="s">
        <v>216</v>
      </c>
      <c r="G670" s="92">
        <v>45819.617291666669</v>
      </c>
    </row>
    <row r="671" spans="1:7" x14ac:dyDescent="0.2">
      <c r="A671" t="s">
        <v>1016</v>
      </c>
      <c r="B671">
        <v>41.1</v>
      </c>
      <c r="C671">
        <v>20</v>
      </c>
      <c r="D671">
        <v>31.4</v>
      </c>
      <c r="E671">
        <v>11.1</v>
      </c>
      <c r="F671" t="s">
        <v>216</v>
      </c>
      <c r="G671" s="92">
        <v>45819.617013888892</v>
      </c>
    </row>
    <row r="672" spans="1:7" x14ac:dyDescent="0.2">
      <c r="A672" t="s">
        <v>1015</v>
      </c>
      <c r="B672">
        <v>41.3</v>
      </c>
      <c r="C672">
        <v>20</v>
      </c>
      <c r="D672">
        <v>31.1</v>
      </c>
      <c r="E672">
        <v>11.1</v>
      </c>
      <c r="F672" t="s">
        <v>216</v>
      </c>
      <c r="G672" s="92">
        <v>45819.616666666669</v>
      </c>
    </row>
    <row r="673" spans="1:7" x14ac:dyDescent="0.2">
      <c r="A673" t="s">
        <v>1013</v>
      </c>
      <c r="B673">
        <v>30.7</v>
      </c>
      <c r="C673">
        <v>41.7</v>
      </c>
      <c r="D673">
        <v>29.2</v>
      </c>
      <c r="E673">
        <v>4.5999999999999996</v>
      </c>
      <c r="F673" t="s">
        <v>216</v>
      </c>
      <c r="G673" s="92">
        <v>45819.562997685185</v>
      </c>
    </row>
    <row r="674" spans="1:7" x14ac:dyDescent="0.2">
      <c r="A674" t="s">
        <v>1014</v>
      </c>
      <c r="B674">
        <v>69.5</v>
      </c>
      <c r="C674">
        <v>29.2</v>
      </c>
      <c r="D674">
        <v>42.9</v>
      </c>
      <c r="E674">
        <v>6.3</v>
      </c>
      <c r="F674" t="s">
        <v>216</v>
      </c>
      <c r="G674" s="92">
        <v>45819.56354166667</v>
      </c>
    </row>
    <row r="675" spans="1:7" x14ac:dyDescent="0.2">
      <c r="A675" t="s">
        <v>1385</v>
      </c>
      <c r="B675">
        <v>48.9</v>
      </c>
      <c r="C675">
        <v>37.1</v>
      </c>
      <c r="D675">
        <v>25.4</v>
      </c>
      <c r="E675">
        <v>15.3</v>
      </c>
      <c r="F675" t="s">
        <v>216</v>
      </c>
      <c r="G675" s="92">
        <v>45819.55332175926</v>
      </c>
    </row>
    <row r="676" spans="1:7" x14ac:dyDescent="0.2">
      <c r="A676" t="s">
        <v>826</v>
      </c>
      <c r="B676">
        <v>40.5</v>
      </c>
      <c r="C676">
        <v>38.700000000000003</v>
      </c>
      <c r="D676">
        <v>34.299999999999997</v>
      </c>
      <c r="E676">
        <v>7.4</v>
      </c>
      <c r="F676" t="s">
        <v>216</v>
      </c>
      <c r="G676" s="92">
        <v>45819.548125000001</v>
      </c>
    </row>
    <row r="677" spans="1:7" x14ac:dyDescent="0.2">
      <c r="A677" t="s">
        <v>1384</v>
      </c>
      <c r="B677">
        <v>47.6</v>
      </c>
      <c r="C677">
        <v>25.9</v>
      </c>
      <c r="D677">
        <v>36.700000000000003</v>
      </c>
      <c r="E677">
        <v>4.5999999999999996</v>
      </c>
      <c r="F677" t="s">
        <v>216</v>
      </c>
      <c r="G677" s="92">
        <v>45818.564756944441</v>
      </c>
    </row>
    <row r="678" spans="1:7" x14ac:dyDescent="0.2">
      <c r="A678" t="s">
        <v>827</v>
      </c>
      <c r="B678">
        <v>37.5</v>
      </c>
      <c r="C678">
        <v>33.700000000000003</v>
      </c>
      <c r="D678">
        <v>37</v>
      </c>
      <c r="E678">
        <v>6</v>
      </c>
      <c r="F678" t="s">
        <v>210</v>
      </c>
      <c r="G678" s="92">
        <v>45818.568831018521</v>
      </c>
    </row>
    <row r="679" spans="1:7" x14ac:dyDescent="0.2">
      <c r="A679" t="s">
        <v>1189</v>
      </c>
      <c r="B679">
        <v>41.5</v>
      </c>
      <c r="C679">
        <v>36.1</v>
      </c>
      <c r="D679">
        <v>14</v>
      </c>
      <c r="E679">
        <v>9.6</v>
      </c>
      <c r="F679" t="s">
        <v>216</v>
      </c>
      <c r="G679" s="92">
        <v>45818.493425925924</v>
      </c>
    </row>
    <row r="680" spans="1:7" x14ac:dyDescent="0.2">
      <c r="A680" t="s">
        <v>1334</v>
      </c>
      <c r="B680">
        <v>40.6</v>
      </c>
      <c r="C680">
        <v>25.4</v>
      </c>
      <c r="D680">
        <v>31.4</v>
      </c>
      <c r="E680">
        <v>3.8</v>
      </c>
      <c r="F680" t="s">
        <v>216</v>
      </c>
      <c r="G680" s="92">
        <v>45817.576736111114</v>
      </c>
    </row>
    <row r="681" spans="1:7" x14ac:dyDescent="0.2">
      <c r="A681" t="s">
        <v>1333</v>
      </c>
      <c r="B681">
        <v>35.200000000000003</v>
      </c>
      <c r="C681">
        <v>26.9</v>
      </c>
      <c r="D681">
        <v>27</v>
      </c>
      <c r="E681">
        <v>15.4</v>
      </c>
      <c r="F681" t="s">
        <v>216</v>
      </c>
      <c r="G681" s="92">
        <v>45817.573923611111</v>
      </c>
    </row>
    <row r="682" spans="1:7" x14ac:dyDescent="0.2">
      <c r="A682" t="s">
        <v>1264</v>
      </c>
      <c r="B682">
        <v>35.200000000000003</v>
      </c>
      <c r="C682">
        <v>38.200000000000003</v>
      </c>
      <c r="D682">
        <v>45.3</v>
      </c>
      <c r="E682">
        <v>7</v>
      </c>
      <c r="F682" t="s">
        <v>216</v>
      </c>
      <c r="G682" s="92">
        <v>45817.486145833333</v>
      </c>
    </row>
    <row r="683" spans="1:7" x14ac:dyDescent="0.2">
      <c r="A683" t="s">
        <v>1262</v>
      </c>
      <c r="B683">
        <v>39.299999999999997</v>
      </c>
      <c r="C683">
        <v>42.2</v>
      </c>
      <c r="D683">
        <v>40.5</v>
      </c>
      <c r="E683">
        <v>8.8000000000000007</v>
      </c>
      <c r="F683" t="s">
        <v>216</v>
      </c>
      <c r="G683" s="92">
        <v>45817.484965277778</v>
      </c>
    </row>
    <row r="684" spans="1:7" x14ac:dyDescent="0.2">
      <c r="A684" t="s">
        <v>1265</v>
      </c>
      <c r="B684">
        <v>38</v>
      </c>
      <c r="C684">
        <v>22.5</v>
      </c>
      <c r="D684">
        <v>31.2</v>
      </c>
      <c r="E684">
        <v>2.4</v>
      </c>
      <c r="F684" t="s">
        <v>216</v>
      </c>
      <c r="G684" s="92">
        <v>45817.491261574076</v>
      </c>
    </row>
    <row r="685" spans="1:7" x14ac:dyDescent="0.2">
      <c r="A685" t="s">
        <v>928</v>
      </c>
      <c r="B685">
        <v>28.4</v>
      </c>
      <c r="C685">
        <v>27</v>
      </c>
      <c r="D685">
        <v>19.3</v>
      </c>
      <c r="E685">
        <v>1.6</v>
      </c>
      <c r="F685" t="s">
        <v>216</v>
      </c>
      <c r="G685" s="92">
        <v>45817.471226851849</v>
      </c>
    </row>
    <row r="686" spans="1:7" x14ac:dyDescent="0.2">
      <c r="A686" t="s">
        <v>1188</v>
      </c>
      <c r="B686">
        <v>27.2</v>
      </c>
      <c r="C686">
        <v>32.6</v>
      </c>
      <c r="D686">
        <v>47.7</v>
      </c>
      <c r="E686">
        <v>6.2</v>
      </c>
      <c r="F686" t="s">
        <v>310</v>
      </c>
      <c r="G686" s="92">
        <v>45815.596273148149</v>
      </c>
    </row>
    <row r="687" spans="1:7" x14ac:dyDescent="0.2">
      <c r="A687" t="s">
        <v>1185</v>
      </c>
      <c r="B687">
        <v>41.6</v>
      </c>
      <c r="C687">
        <v>53.3</v>
      </c>
      <c r="D687">
        <v>51.8</v>
      </c>
      <c r="E687">
        <v>13.9</v>
      </c>
      <c r="F687" t="s">
        <v>310</v>
      </c>
      <c r="G687" s="92">
        <v>45815.593715277777</v>
      </c>
    </row>
    <row r="688" spans="1:7" x14ac:dyDescent="0.2">
      <c r="A688" t="s">
        <v>1186</v>
      </c>
      <c r="B688">
        <v>42</v>
      </c>
      <c r="C688">
        <v>53.3</v>
      </c>
      <c r="D688">
        <v>51.6</v>
      </c>
      <c r="E688">
        <v>9</v>
      </c>
      <c r="F688" t="s">
        <v>310</v>
      </c>
      <c r="G688" s="92">
        <v>45815.59479166667</v>
      </c>
    </row>
    <row r="689" spans="1:7" x14ac:dyDescent="0.2">
      <c r="A689" t="s">
        <v>1187</v>
      </c>
      <c r="B689">
        <v>33.9</v>
      </c>
      <c r="C689">
        <v>29.5</v>
      </c>
      <c r="D689">
        <v>44.4</v>
      </c>
      <c r="E689">
        <v>13.8</v>
      </c>
      <c r="F689" t="s">
        <v>310</v>
      </c>
      <c r="G689" s="92">
        <v>45815.595532407409</v>
      </c>
    </row>
    <row r="690" spans="1:7" x14ac:dyDescent="0.2">
      <c r="A690" t="s">
        <v>1184</v>
      </c>
      <c r="B690">
        <v>42.2</v>
      </c>
      <c r="C690">
        <v>62</v>
      </c>
      <c r="D690">
        <v>45.2</v>
      </c>
      <c r="E690">
        <v>5.8</v>
      </c>
      <c r="F690" t="s">
        <v>310</v>
      </c>
      <c r="G690" s="92">
        <v>45815.592719907407</v>
      </c>
    </row>
    <row r="691" spans="1:7" x14ac:dyDescent="0.2">
      <c r="A691" t="s">
        <v>1180</v>
      </c>
      <c r="B691">
        <v>22.5</v>
      </c>
      <c r="C691">
        <v>17.2</v>
      </c>
      <c r="D691">
        <v>30.7</v>
      </c>
      <c r="E691">
        <v>0.5</v>
      </c>
      <c r="F691" t="s">
        <v>310</v>
      </c>
      <c r="G691" s="92">
        <v>45815.59103009259</v>
      </c>
    </row>
    <row r="692" spans="1:7" x14ac:dyDescent="0.2">
      <c r="A692" t="s">
        <v>1383</v>
      </c>
      <c r="B692">
        <v>17</v>
      </c>
      <c r="C692">
        <v>13</v>
      </c>
      <c r="D692">
        <v>23.9</v>
      </c>
      <c r="E692">
        <v>0.2</v>
      </c>
      <c r="F692" t="s">
        <v>205</v>
      </c>
      <c r="G692" s="92">
        <v>45814.704317129632</v>
      </c>
    </row>
    <row r="693" spans="1:7" x14ac:dyDescent="0.2">
      <c r="A693" t="s">
        <v>1010</v>
      </c>
      <c r="B693">
        <v>11.5</v>
      </c>
      <c r="C693">
        <v>5.8</v>
      </c>
      <c r="D693">
        <v>14.1</v>
      </c>
      <c r="E693">
        <v>0.2</v>
      </c>
      <c r="F693" t="s">
        <v>205</v>
      </c>
      <c r="G693" s="92">
        <v>45814.605694444443</v>
      </c>
    </row>
    <row r="694" spans="1:7" x14ac:dyDescent="0.2">
      <c r="A694" t="s">
        <v>1012</v>
      </c>
      <c r="B694">
        <v>23</v>
      </c>
      <c r="C694">
        <v>24</v>
      </c>
      <c r="D694">
        <v>32</v>
      </c>
      <c r="E694">
        <v>1.3</v>
      </c>
      <c r="F694" t="s">
        <v>205</v>
      </c>
      <c r="G694" s="92">
        <v>45814.606238425928</v>
      </c>
    </row>
    <row r="695" spans="1:7" x14ac:dyDescent="0.2">
      <c r="A695" t="s">
        <v>1179</v>
      </c>
      <c r="B695">
        <v>16.100000000000001</v>
      </c>
      <c r="C695">
        <v>10.1</v>
      </c>
      <c r="D695">
        <v>22</v>
      </c>
      <c r="E695">
        <v>0.3</v>
      </c>
      <c r="F695" t="s">
        <v>205</v>
      </c>
      <c r="G695" s="92">
        <v>45813.500057870369</v>
      </c>
    </row>
    <row r="696" spans="1:7" x14ac:dyDescent="0.2">
      <c r="A696" t="s">
        <v>1181</v>
      </c>
      <c r="B696">
        <v>29.6</v>
      </c>
      <c r="C696">
        <v>21.2</v>
      </c>
      <c r="D696">
        <v>33.299999999999997</v>
      </c>
      <c r="E696">
        <v>3.6</v>
      </c>
      <c r="F696" t="s">
        <v>205</v>
      </c>
      <c r="G696" s="92">
        <v>45813.501712962963</v>
      </c>
    </row>
    <row r="697" spans="1:7" x14ac:dyDescent="0.2">
      <c r="A697" t="s">
        <v>1182</v>
      </c>
      <c r="B697">
        <v>38.4</v>
      </c>
      <c r="C697">
        <v>30.9</v>
      </c>
      <c r="D697">
        <v>80.2</v>
      </c>
      <c r="E697">
        <v>17</v>
      </c>
      <c r="F697" t="s">
        <v>205</v>
      </c>
      <c r="G697" s="92">
        <v>45813.573587962965</v>
      </c>
    </row>
    <row r="698" spans="1:7" x14ac:dyDescent="0.2">
      <c r="A698" t="s">
        <v>1183</v>
      </c>
      <c r="B698">
        <v>23.7</v>
      </c>
      <c r="C698">
        <v>25.7</v>
      </c>
      <c r="D698">
        <v>32.9</v>
      </c>
      <c r="E698">
        <v>1.5</v>
      </c>
      <c r="F698" t="s">
        <v>205</v>
      </c>
      <c r="G698" s="92">
        <v>45813.57571759259</v>
      </c>
    </row>
    <row r="699" spans="1:7" x14ac:dyDescent="0.2">
      <c r="A699" t="s">
        <v>1178</v>
      </c>
      <c r="B699">
        <v>53.7</v>
      </c>
      <c r="C699">
        <v>40.200000000000003</v>
      </c>
      <c r="D699">
        <v>54.1</v>
      </c>
      <c r="E699">
        <v>19.8</v>
      </c>
      <c r="F699" t="s">
        <v>205</v>
      </c>
      <c r="G699" s="92">
        <v>45813.368935185186</v>
      </c>
    </row>
    <row r="700" spans="1:7" x14ac:dyDescent="0.2">
      <c r="A700" t="s">
        <v>824</v>
      </c>
      <c r="B700">
        <v>41.5</v>
      </c>
      <c r="C700">
        <v>12.1</v>
      </c>
      <c r="D700">
        <v>50.3</v>
      </c>
      <c r="E700">
        <v>1.9</v>
      </c>
      <c r="F700" t="s">
        <v>205</v>
      </c>
      <c r="G700" s="92">
        <v>45812.725925925923</v>
      </c>
    </row>
    <row r="701" spans="1:7" x14ac:dyDescent="0.2">
      <c r="A701" t="s">
        <v>825</v>
      </c>
      <c r="B701">
        <v>19.399999999999999</v>
      </c>
      <c r="C701">
        <v>25.7</v>
      </c>
      <c r="D701">
        <v>15.2</v>
      </c>
      <c r="E701">
        <v>1.3</v>
      </c>
      <c r="F701" t="s">
        <v>205</v>
      </c>
      <c r="G701" s="92">
        <v>45812.74050925926</v>
      </c>
    </row>
    <row r="702" spans="1:7" x14ac:dyDescent="0.2">
      <c r="A702" t="s">
        <v>823</v>
      </c>
      <c r="B702">
        <v>26.9</v>
      </c>
      <c r="C702">
        <v>23.5</v>
      </c>
      <c r="D702">
        <v>34.9</v>
      </c>
      <c r="E702">
        <v>1.5</v>
      </c>
      <c r="F702" t="s">
        <v>205</v>
      </c>
      <c r="G702" s="92">
        <v>45812.7265625</v>
      </c>
    </row>
    <row r="703" spans="1:7" x14ac:dyDescent="0.2">
      <c r="A703" t="s">
        <v>818</v>
      </c>
      <c r="B703">
        <v>41.5</v>
      </c>
      <c r="C703">
        <v>53.5</v>
      </c>
      <c r="D703">
        <v>51.7</v>
      </c>
      <c r="E703">
        <v>12.3</v>
      </c>
      <c r="F703" t="s">
        <v>205</v>
      </c>
      <c r="G703" s="92">
        <v>45812.721203703702</v>
      </c>
    </row>
    <row r="704" spans="1:7" x14ac:dyDescent="0.2">
      <c r="A704" t="s">
        <v>817</v>
      </c>
      <c r="B704">
        <v>41.6</v>
      </c>
      <c r="C704">
        <v>52.5</v>
      </c>
      <c r="D704">
        <v>51.2</v>
      </c>
      <c r="E704">
        <v>9.3000000000000007</v>
      </c>
      <c r="F704" t="s">
        <v>205</v>
      </c>
      <c r="G704" s="92">
        <v>45812.720439814817</v>
      </c>
    </row>
    <row r="705" spans="1:7" x14ac:dyDescent="0.2">
      <c r="A705" t="s">
        <v>821</v>
      </c>
      <c r="B705">
        <v>40.299999999999997</v>
      </c>
      <c r="C705">
        <v>38.299999999999997</v>
      </c>
      <c r="D705">
        <v>52.7</v>
      </c>
      <c r="E705">
        <v>6.1</v>
      </c>
      <c r="F705" t="s">
        <v>205</v>
      </c>
      <c r="G705" s="92">
        <v>45812.724317129629</v>
      </c>
    </row>
    <row r="706" spans="1:7" x14ac:dyDescent="0.2">
      <c r="A706" t="s">
        <v>822</v>
      </c>
      <c r="B706">
        <v>40.9</v>
      </c>
      <c r="C706">
        <v>53</v>
      </c>
      <c r="D706">
        <v>51.3</v>
      </c>
      <c r="E706">
        <v>3.8</v>
      </c>
      <c r="F706" t="s">
        <v>205</v>
      </c>
      <c r="G706" s="92">
        <v>45812.724872685183</v>
      </c>
    </row>
    <row r="707" spans="1:7" x14ac:dyDescent="0.2">
      <c r="A707" t="s">
        <v>819</v>
      </c>
      <c r="B707">
        <v>41.1</v>
      </c>
      <c r="C707">
        <v>53</v>
      </c>
      <c r="D707">
        <v>50.5</v>
      </c>
      <c r="E707">
        <v>13.8</v>
      </c>
      <c r="F707" t="s">
        <v>205</v>
      </c>
      <c r="G707" s="92">
        <v>45812.722256944442</v>
      </c>
    </row>
    <row r="708" spans="1:7" x14ac:dyDescent="0.2">
      <c r="A708" t="s">
        <v>820</v>
      </c>
      <c r="B708">
        <v>41.6</v>
      </c>
      <c r="C708">
        <v>53.6</v>
      </c>
      <c r="D708">
        <v>51.7</v>
      </c>
      <c r="E708">
        <v>6.9</v>
      </c>
      <c r="F708" t="s">
        <v>205</v>
      </c>
      <c r="G708" s="92">
        <v>45812.723495370374</v>
      </c>
    </row>
    <row r="709" spans="1:7" x14ac:dyDescent="0.2">
      <c r="A709" t="s">
        <v>816</v>
      </c>
      <c r="B709">
        <v>30.7</v>
      </c>
      <c r="C709">
        <v>30.6</v>
      </c>
      <c r="D709">
        <v>54</v>
      </c>
      <c r="E709">
        <v>24</v>
      </c>
      <c r="F709" t="s">
        <v>205</v>
      </c>
      <c r="G709" s="92">
        <v>45812.660219907404</v>
      </c>
    </row>
    <row r="710" spans="1:7" x14ac:dyDescent="0.2">
      <c r="A710" t="s">
        <v>1175</v>
      </c>
      <c r="B710">
        <v>30.6</v>
      </c>
      <c r="C710">
        <v>32.9</v>
      </c>
      <c r="D710">
        <v>71.8</v>
      </c>
      <c r="E710">
        <v>7.2</v>
      </c>
      <c r="F710" t="s">
        <v>205</v>
      </c>
      <c r="G710" s="92">
        <v>45811.578946759262</v>
      </c>
    </row>
    <row r="711" spans="1:7" x14ac:dyDescent="0.2">
      <c r="A711" t="s">
        <v>1177</v>
      </c>
      <c r="B711">
        <v>31.1</v>
      </c>
      <c r="C711">
        <v>48.8</v>
      </c>
      <c r="D711">
        <v>51.6</v>
      </c>
      <c r="E711">
        <v>8.6999999999999993</v>
      </c>
      <c r="F711" t="s">
        <v>205</v>
      </c>
      <c r="G711" s="92">
        <v>45811.580891203703</v>
      </c>
    </row>
    <row r="712" spans="1:7" x14ac:dyDescent="0.2">
      <c r="A712" t="s">
        <v>1176</v>
      </c>
      <c r="B712">
        <v>30.4</v>
      </c>
      <c r="C712">
        <v>32</v>
      </c>
      <c r="D712">
        <v>34.5</v>
      </c>
      <c r="E712">
        <v>3.1</v>
      </c>
      <c r="F712" t="s">
        <v>205</v>
      </c>
      <c r="G712" s="92">
        <v>45811.579733796294</v>
      </c>
    </row>
    <row r="713" spans="1:7" x14ac:dyDescent="0.2">
      <c r="A713" t="s">
        <v>1174</v>
      </c>
      <c r="B713">
        <v>15.2</v>
      </c>
      <c r="C713">
        <v>12.1</v>
      </c>
      <c r="D713">
        <v>25</v>
      </c>
      <c r="E713">
        <v>0.3</v>
      </c>
      <c r="F713" t="s">
        <v>205</v>
      </c>
      <c r="G713" s="92">
        <v>45811.411365740743</v>
      </c>
    </row>
    <row r="714" spans="1:7" x14ac:dyDescent="0.2">
      <c r="A714" t="s">
        <v>815</v>
      </c>
      <c r="B714">
        <v>48.5</v>
      </c>
      <c r="C714">
        <v>29.4</v>
      </c>
      <c r="D714">
        <v>64.599999999999994</v>
      </c>
      <c r="E714">
        <v>17.600000000000001</v>
      </c>
      <c r="F714" t="s">
        <v>205</v>
      </c>
      <c r="G714" s="92">
        <v>45810.553263888891</v>
      </c>
    </row>
    <row r="715" spans="1:7" x14ac:dyDescent="0.2">
      <c r="A715" t="s">
        <v>813</v>
      </c>
      <c r="B715">
        <v>33.9</v>
      </c>
      <c r="C715">
        <v>38.799999999999997</v>
      </c>
      <c r="D715">
        <v>39.5</v>
      </c>
      <c r="E715">
        <v>3.9</v>
      </c>
      <c r="F715" t="s">
        <v>205</v>
      </c>
      <c r="G715" s="92">
        <v>45810.552187499998</v>
      </c>
    </row>
    <row r="716" spans="1:7" x14ac:dyDescent="0.2">
      <c r="A716" t="s">
        <v>1382</v>
      </c>
      <c r="B716">
        <v>27.5</v>
      </c>
      <c r="C716">
        <v>39.700000000000003</v>
      </c>
      <c r="D716">
        <v>38.200000000000003</v>
      </c>
      <c r="E716">
        <v>4</v>
      </c>
      <c r="F716" t="s">
        <v>205</v>
      </c>
      <c r="G716" s="92">
        <v>45806.704583333332</v>
      </c>
    </row>
    <row r="717" spans="1:7" x14ac:dyDescent="0.2">
      <c r="A717" t="s">
        <v>1378</v>
      </c>
      <c r="B717">
        <v>30.7</v>
      </c>
      <c r="C717">
        <v>16.100000000000001</v>
      </c>
      <c r="D717">
        <v>35.4</v>
      </c>
      <c r="E717">
        <v>1.5</v>
      </c>
      <c r="F717" t="s">
        <v>205</v>
      </c>
      <c r="G717" s="92">
        <v>45806.703263888892</v>
      </c>
    </row>
    <row r="718" spans="1:7" x14ac:dyDescent="0.2">
      <c r="A718" t="s">
        <v>1381</v>
      </c>
      <c r="B718">
        <v>30.3</v>
      </c>
      <c r="C718">
        <v>30.8</v>
      </c>
      <c r="D718">
        <v>37.9</v>
      </c>
      <c r="E718">
        <v>5.5</v>
      </c>
      <c r="F718" t="s">
        <v>205</v>
      </c>
      <c r="G718" s="92">
        <v>45806.703877314816</v>
      </c>
    </row>
    <row r="719" spans="1:7" x14ac:dyDescent="0.2">
      <c r="A719" t="s">
        <v>1379</v>
      </c>
      <c r="B719">
        <v>15.6</v>
      </c>
      <c r="C719">
        <v>7.9</v>
      </c>
      <c r="D719">
        <v>21.6</v>
      </c>
      <c r="E719">
        <v>0.3</v>
      </c>
      <c r="F719" t="s">
        <v>210</v>
      </c>
      <c r="G719" s="92">
        <v>45806.675763888888</v>
      </c>
    </row>
    <row r="720" spans="1:7" x14ac:dyDescent="0.2">
      <c r="A720" t="s">
        <v>1380</v>
      </c>
      <c r="B720">
        <v>29.1</v>
      </c>
      <c r="C720">
        <v>29.2</v>
      </c>
      <c r="D720">
        <v>62.1</v>
      </c>
      <c r="E720">
        <v>39.4</v>
      </c>
      <c r="F720" t="s">
        <v>210</v>
      </c>
      <c r="G720" s="92">
        <v>45806.681284722225</v>
      </c>
    </row>
    <row r="721" spans="1:7" x14ac:dyDescent="0.2">
      <c r="A721" t="s">
        <v>1377</v>
      </c>
      <c r="B721">
        <v>35.700000000000003</v>
      </c>
      <c r="C721">
        <v>31.5</v>
      </c>
      <c r="D721">
        <v>40.9</v>
      </c>
      <c r="E721">
        <v>6.8</v>
      </c>
      <c r="F721" t="s">
        <v>205</v>
      </c>
      <c r="G721" s="92">
        <v>45806.559247685182</v>
      </c>
    </row>
    <row r="722" spans="1:7" x14ac:dyDescent="0.2">
      <c r="A722" t="s">
        <v>927</v>
      </c>
      <c r="B722">
        <v>12.1</v>
      </c>
      <c r="C722">
        <v>11.1</v>
      </c>
      <c r="D722">
        <v>23.6</v>
      </c>
      <c r="E722">
        <v>0.8</v>
      </c>
      <c r="F722" t="s">
        <v>205</v>
      </c>
      <c r="G722" s="92">
        <v>45805.568414351852</v>
      </c>
    </row>
    <row r="723" spans="1:7" x14ac:dyDescent="0.2">
      <c r="A723" t="s">
        <v>925</v>
      </c>
      <c r="B723">
        <v>30.8</v>
      </c>
      <c r="C723">
        <v>32.9</v>
      </c>
      <c r="D723">
        <v>72.099999999999994</v>
      </c>
      <c r="E723">
        <v>6.2</v>
      </c>
      <c r="F723" t="s">
        <v>205</v>
      </c>
      <c r="G723" s="92">
        <v>45805.468553240738</v>
      </c>
    </row>
    <row r="724" spans="1:7" x14ac:dyDescent="0.2">
      <c r="A724" t="s">
        <v>926</v>
      </c>
      <c r="B724">
        <v>30.7</v>
      </c>
      <c r="C724">
        <v>32.9</v>
      </c>
      <c r="D724">
        <v>72</v>
      </c>
      <c r="E724">
        <v>5.8</v>
      </c>
      <c r="F724" t="s">
        <v>205</v>
      </c>
      <c r="G724" s="92">
        <v>45805.469629629632</v>
      </c>
    </row>
    <row r="725" spans="1:7" x14ac:dyDescent="0.2">
      <c r="A725" t="s">
        <v>1011</v>
      </c>
      <c r="B725">
        <v>38.4</v>
      </c>
      <c r="C725">
        <v>32.200000000000003</v>
      </c>
      <c r="D725">
        <v>37.9</v>
      </c>
      <c r="E725">
        <v>3.6</v>
      </c>
      <c r="F725" t="s">
        <v>205</v>
      </c>
      <c r="G725" s="92">
        <v>45804.66951388889</v>
      </c>
    </row>
    <row r="726" spans="1:7" x14ac:dyDescent="0.2">
      <c r="A726" t="s">
        <v>1009</v>
      </c>
      <c r="B726">
        <v>46.8</v>
      </c>
      <c r="C726">
        <v>32.700000000000003</v>
      </c>
      <c r="D726">
        <v>47</v>
      </c>
      <c r="E726">
        <v>12.3</v>
      </c>
      <c r="F726" t="s">
        <v>205</v>
      </c>
      <c r="G726" s="92">
        <v>45803.656909722224</v>
      </c>
    </row>
    <row r="727" spans="1:7" x14ac:dyDescent="0.2">
      <c r="A727" t="s">
        <v>1007</v>
      </c>
      <c r="B727">
        <v>39.9</v>
      </c>
      <c r="C727">
        <v>31.8</v>
      </c>
      <c r="D727">
        <v>50.7</v>
      </c>
      <c r="E727">
        <v>4.7</v>
      </c>
      <c r="F727" t="s">
        <v>231</v>
      </c>
      <c r="G727" s="92">
        <v>45801.600613425922</v>
      </c>
    </row>
    <row r="728" spans="1:7" x14ac:dyDescent="0.2">
      <c r="A728" t="s">
        <v>1008</v>
      </c>
      <c r="B728">
        <v>42.1</v>
      </c>
      <c r="C728">
        <v>53.3</v>
      </c>
      <c r="D728">
        <v>51</v>
      </c>
      <c r="E728">
        <v>12.3</v>
      </c>
      <c r="F728" t="s">
        <v>231</v>
      </c>
      <c r="G728" s="92">
        <v>45801.603495370371</v>
      </c>
    </row>
    <row r="729" spans="1:7" x14ac:dyDescent="0.2">
      <c r="A729" t="s">
        <v>1006</v>
      </c>
      <c r="B729">
        <v>48.2</v>
      </c>
      <c r="C729">
        <v>19.7</v>
      </c>
      <c r="D729">
        <v>49.7</v>
      </c>
      <c r="E729">
        <v>11</v>
      </c>
      <c r="F729" t="s">
        <v>231</v>
      </c>
      <c r="G729" s="92">
        <v>45801.600057870368</v>
      </c>
    </row>
    <row r="730" spans="1:7" x14ac:dyDescent="0.2">
      <c r="A730" t="s">
        <v>1261</v>
      </c>
      <c r="B730">
        <v>47.1</v>
      </c>
      <c r="C730">
        <v>33.1</v>
      </c>
      <c r="D730">
        <v>47.2</v>
      </c>
      <c r="E730">
        <v>12.3</v>
      </c>
      <c r="F730" t="s">
        <v>231</v>
      </c>
      <c r="G730" s="92">
        <v>45801.572708333333</v>
      </c>
    </row>
    <row r="731" spans="1:7" x14ac:dyDescent="0.2">
      <c r="A731" t="s">
        <v>1260</v>
      </c>
      <c r="B731">
        <v>20.6</v>
      </c>
      <c r="C731">
        <v>6.6</v>
      </c>
      <c r="D731">
        <v>26.9</v>
      </c>
      <c r="E731">
        <v>1.1000000000000001</v>
      </c>
      <c r="F731" t="s">
        <v>231</v>
      </c>
      <c r="G731" s="92">
        <v>45801.572048611109</v>
      </c>
    </row>
    <row r="732" spans="1:7" x14ac:dyDescent="0.2">
      <c r="A732" t="s">
        <v>814</v>
      </c>
      <c r="B732">
        <v>15.9</v>
      </c>
      <c r="C732">
        <v>10.199999999999999</v>
      </c>
      <c r="D732">
        <v>22.1</v>
      </c>
      <c r="E732">
        <v>0.2</v>
      </c>
      <c r="F732" t="s">
        <v>205</v>
      </c>
      <c r="G732" s="92">
        <v>45800.615844907406</v>
      </c>
    </row>
    <row r="733" spans="1:7" x14ac:dyDescent="0.2">
      <c r="A733" t="s">
        <v>812</v>
      </c>
      <c r="B733">
        <v>21.2</v>
      </c>
      <c r="C733">
        <v>20</v>
      </c>
      <c r="D733">
        <v>33.1</v>
      </c>
      <c r="E733">
        <v>1.4</v>
      </c>
      <c r="F733" t="s">
        <v>205</v>
      </c>
      <c r="G733" s="92">
        <v>45800.615046296298</v>
      </c>
    </row>
    <row r="734" spans="1:7" x14ac:dyDescent="0.2">
      <c r="A734" t="s">
        <v>811</v>
      </c>
      <c r="B734">
        <v>33.799999999999997</v>
      </c>
      <c r="C734">
        <v>32.799999999999997</v>
      </c>
      <c r="D734">
        <v>39.299999999999997</v>
      </c>
      <c r="E734">
        <v>10.6</v>
      </c>
      <c r="F734" t="s">
        <v>205</v>
      </c>
      <c r="G734" s="92">
        <v>45800.597187500003</v>
      </c>
    </row>
    <row r="735" spans="1:7" x14ac:dyDescent="0.2">
      <c r="A735" t="s">
        <v>810</v>
      </c>
      <c r="B735">
        <v>22.7</v>
      </c>
      <c r="C735">
        <v>17.5</v>
      </c>
      <c r="D735">
        <v>31</v>
      </c>
      <c r="E735">
        <v>0.6</v>
      </c>
      <c r="F735" t="s">
        <v>205</v>
      </c>
      <c r="G735" s="92">
        <v>45800.593240740738</v>
      </c>
    </row>
    <row r="736" spans="1:7" x14ac:dyDescent="0.2">
      <c r="A736" t="s">
        <v>809</v>
      </c>
      <c r="B736">
        <v>23.8</v>
      </c>
      <c r="C736">
        <v>25.9</v>
      </c>
      <c r="D736">
        <v>32.9</v>
      </c>
      <c r="E736">
        <v>1.1000000000000001</v>
      </c>
      <c r="F736" t="s">
        <v>205</v>
      </c>
      <c r="G736" s="92">
        <v>45800.453252314815</v>
      </c>
    </row>
    <row r="737" spans="1:7" x14ac:dyDescent="0.2">
      <c r="A737" t="s">
        <v>808</v>
      </c>
      <c r="B737">
        <v>16.3</v>
      </c>
      <c r="C737">
        <v>11.6</v>
      </c>
      <c r="D737">
        <v>21.8</v>
      </c>
      <c r="E737">
        <v>0.3</v>
      </c>
      <c r="F737" t="s">
        <v>205</v>
      </c>
      <c r="G737" s="92">
        <v>45800.414629629631</v>
      </c>
    </row>
    <row r="738" spans="1:7" x14ac:dyDescent="0.2">
      <c r="A738" t="s">
        <v>1256</v>
      </c>
      <c r="B738">
        <v>19.2</v>
      </c>
      <c r="C738">
        <v>10.6</v>
      </c>
      <c r="D738">
        <v>25.2</v>
      </c>
      <c r="E738">
        <v>0.5</v>
      </c>
      <c r="F738" t="s">
        <v>205</v>
      </c>
      <c r="G738" s="92">
        <v>45799.68409722222</v>
      </c>
    </row>
    <row r="739" spans="1:7" x14ac:dyDescent="0.2">
      <c r="A739" t="s">
        <v>1259</v>
      </c>
      <c r="B739">
        <v>37.299999999999997</v>
      </c>
      <c r="C739">
        <v>27.1</v>
      </c>
      <c r="D739">
        <v>45.6</v>
      </c>
      <c r="E739">
        <v>3.4</v>
      </c>
      <c r="F739" t="s">
        <v>205</v>
      </c>
      <c r="G739" s="92">
        <v>45799.689247685186</v>
      </c>
    </row>
    <row r="740" spans="1:7" x14ac:dyDescent="0.2">
      <c r="A740" t="s">
        <v>1255</v>
      </c>
      <c r="B740">
        <v>48.2</v>
      </c>
      <c r="C740">
        <v>30.3</v>
      </c>
      <c r="D740">
        <v>52</v>
      </c>
      <c r="E740">
        <v>4.0999999999999996</v>
      </c>
      <c r="F740" t="s">
        <v>205</v>
      </c>
      <c r="G740" s="92">
        <v>45799.648796296293</v>
      </c>
    </row>
    <row r="741" spans="1:7" x14ac:dyDescent="0.2">
      <c r="A741" t="s">
        <v>1257</v>
      </c>
      <c r="B741">
        <v>30.7</v>
      </c>
      <c r="C741">
        <v>33</v>
      </c>
      <c r="D741">
        <v>71.900000000000006</v>
      </c>
      <c r="E741">
        <v>7.9</v>
      </c>
      <c r="F741" t="s">
        <v>205</v>
      </c>
      <c r="G741" s="92">
        <v>45799.687708333331</v>
      </c>
    </row>
    <row r="742" spans="1:7" x14ac:dyDescent="0.2">
      <c r="A742" t="s">
        <v>1258</v>
      </c>
      <c r="B742">
        <v>31.9</v>
      </c>
      <c r="C742">
        <v>28.4</v>
      </c>
      <c r="D742">
        <v>42.1</v>
      </c>
      <c r="E742">
        <v>13</v>
      </c>
      <c r="F742" t="s">
        <v>205</v>
      </c>
      <c r="G742" s="92">
        <v>45799.688449074078</v>
      </c>
    </row>
    <row r="743" spans="1:7" x14ac:dyDescent="0.2">
      <c r="A743" t="s">
        <v>686</v>
      </c>
      <c r="B743">
        <v>27.3</v>
      </c>
      <c r="C743">
        <v>25.9</v>
      </c>
      <c r="D743">
        <v>42.6</v>
      </c>
      <c r="E743">
        <v>7.1</v>
      </c>
      <c r="F743" t="s">
        <v>205</v>
      </c>
      <c r="G743" s="92">
        <v>45798.703831018516</v>
      </c>
    </row>
    <row r="744" spans="1:7" x14ac:dyDescent="0.2">
      <c r="A744" t="s">
        <v>923</v>
      </c>
      <c r="B744">
        <v>33.700000000000003</v>
      </c>
      <c r="C744">
        <v>29.4</v>
      </c>
      <c r="D744">
        <v>43.4</v>
      </c>
      <c r="E744">
        <v>13.5</v>
      </c>
      <c r="F744" t="s">
        <v>205</v>
      </c>
      <c r="G744" s="92">
        <v>45798.706493055557</v>
      </c>
    </row>
    <row r="745" spans="1:7" x14ac:dyDescent="0.2">
      <c r="A745" t="s">
        <v>687</v>
      </c>
      <c r="B745">
        <v>35.5</v>
      </c>
      <c r="C745">
        <v>25</v>
      </c>
      <c r="D745">
        <v>53.6</v>
      </c>
      <c r="E745">
        <v>7.5</v>
      </c>
      <c r="F745" t="s">
        <v>205</v>
      </c>
      <c r="G745" s="92">
        <v>45798.704826388886</v>
      </c>
    </row>
    <row r="746" spans="1:7" x14ac:dyDescent="0.2">
      <c r="A746" t="s">
        <v>688</v>
      </c>
      <c r="B746">
        <v>48.4</v>
      </c>
      <c r="C746">
        <v>19.899999999999999</v>
      </c>
      <c r="D746">
        <v>47.4</v>
      </c>
      <c r="E746">
        <v>12.7</v>
      </c>
      <c r="F746" t="s">
        <v>205</v>
      </c>
      <c r="G746" s="92">
        <v>45798.705358796295</v>
      </c>
    </row>
    <row r="747" spans="1:7" x14ac:dyDescent="0.2">
      <c r="A747" t="s">
        <v>922</v>
      </c>
      <c r="B747">
        <v>41.4</v>
      </c>
      <c r="C747">
        <v>53</v>
      </c>
      <c r="D747">
        <v>50.1</v>
      </c>
      <c r="E747">
        <v>10.4</v>
      </c>
      <c r="F747" t="s">
        <v>205</v>
      </c>
      <c r="G747" s="92">
        <v>45798.705937500003</v>
      </c>
    </row>
    <row r="748" spans="1:7" x14ac:dyDescent="0.2">
      <c r="A748" t="s">
        <v>924</v>
      </c>
      <c r="B748">
        <v>31.9</v>
      </c>
      <c r="C748">
        <v>18.2</v>
      </c>
      <c r="D748">
        <v>37.200000000000003</v>
      </c>
      <c r="E748">
        <v>10</v>
      </c>
      <c r="F748" t="s">
        <v>205</v>
      </c>
      <c r="G748" s="92">
        <v>45798.707280092596</v>
      </c>
    </row>
    <row r="749" spans="1:7" x14ac:dyDescent="0.2">
      <c r="A749" t="s">
        <v>685</v>
      </c>
      <c r="B749">
        <v>23.1</v>
      </c>
      <c r="C749">
        <v>12.9</v>
      </c>
      <c r="D749">
        <v>26.7</v>
      </c>
      <c r="E749">
        <v>0.3</v>
      </c>
      <c r="F749" t="s">
        <v>205</v>
      </c>
      <c r="G749" s="92">
        <v>45798.690821759257</v>
      </c>
    </row>
    <row r="750" spans="1:7" x14ac:dyDescent="0.2">
      <c r="A750" t="s">
        <v>683</v>
      </c>
      <c r="B750">
        <v>22.9</v>
      </c>
      <c r="C750">
        <v>12.7</v>
      </c>
      <c r="D750">
        <v>26.2</v>
      </c>
      <c r="E750">
        <v>0.3</v>
      </c>
      <c r="F750" t="s">
        <v>205</v>
      </c>
      <c r="G750" s="92">
        <v>45798.686111111114</v>
      </c>
    </row>
    <row r="751" spans="1:7" x14ac:dyDescent="0.2">
      <c r="A751" t="s">
        <v>684</v>
      </c>
      <c r="B751">
        <v>25.4</v>
      </c>
      <c r="C751">
        <v>22.9</v>
      </c>
      <c r="D751">
        <v>30.1</v>
      </c>
      <c r="E751">
        <v>1</v>
      </c>
      <c r="F751" t="s">
        <v>205</v>
      </c>
      <c r="G751" s="92">
        <v>45798.690416666665</v>
      </c>
    </row>
    <row r="752" spans="1:7" x14ac:dyDescent="0.2">
      <c r="A752" t="s">
        <v>682</v>
      </c>
      <c r="B752">
        <v>38.5</v>
      </c>
      <c r="C752">
        <v>31.2</v>
      </c>
      <c r="D752">
        <v>45.4</v>
      </c>
      <c r="E752">
        <v>9.6999999999999993</v>
      </c>
      <c r="F752" t="s">
        <v>205</v>
      </c>
      <c r="G752" s="92">
        <v>45798.650266203702</v>
      </c>
    </row>
    <row r="753" spans="1:7" x14ac:dyDescent="0.2">
      <c r="A753" t="s">
        <v>681</v>
      </c>
      <c r="B753">
        <v>25.9</v>
      </c>
      <c r="C753">
        <v>36.9</v>
      </c>
      <c r="D753">
        <v>47.8</v>
      </c>
      <c r="E753">
        <v>2</v>
      </c>
      <c r="F753" t="s">
        <v>205</v>
      </c>
      <c r="G753" s="92">
        <v>45798.649733796294</v>
      </c>
    </row>
    <row r="754" spans="1:7" x14ac:dyDescent="0.2">
      <c r="A754" t="s">
        <v>680</v>
      </c>
      <c r="B754">
        <v>29.5</v>
      </c>
      <c r="C754">
        <v>29.7</v>
      </c>
      <c r="D754">
        <v>69.400000000000006</v>
      </c>
      <c r="E754">
        <v>20.399999999999999</v>
      </c>
      <c r="F754" t="s">
        <v>205</v>
      </c>
      <c r="G754" s="92">
        <v>45798.649027777778</v>
      </c>
    </row>
    <row r="755" spans="1:7" x14ac:dyDescent="0.2">
      <c r="A755" t="s">
        <v>678</v>
      </c>
      <c r="B755">
        <v>30.6</v>
      </c>
      <c r="C755">
        <v>33</v>
      </c>
      <c r="D755">
        <v>71.7</v>
      </c>
      <c r="E755">
        <v>5.6</v>
      </c>
      <c r="F755" t="s">
        <v>205</v>
      </c>
      <c r="G755" s="92">
        <v>45798.647453703707</v>
      </c>
    </row>
    <row r="756" spans="1:7" x14ac:dyDescent="0.2">
      <c r="A756" t="s">
        <v>679</v>
      </c>
      <c r="B756">
        <v>22.6</v>
      </c>
      <c r="C756">
        <v>13.2</v>
      </c>
      <c r="D756">
        <v>25.4</v>
      </c>
      <c r="E756">
        <v>0.4</v>
      </c>
      <c r="F756" t="s">
        <v>205</v>
      </c>
      <c r="G756" s="92">
        <v>45798.648009259261</v>
      </c>
    </row>
    <row r="757" spans="1:7" x14ac:dyDescent="0.2">
      <c r="A757" t="s">
        <v>677</v>
      </c>
      <c r="B757">
        <v>14.2</v>
      </c>
      <c r="C757">
        <v>36</v>
      </c>
      <c r="D757">
        <v>41.3</v>
      </c>
      <c r="E757">
        <v>9.6</v>
      </c>
      <c r="F757" t="s">
        <v>210</v>
      </c>
      <c r="G757" s="92">
        <v>45798.47016203704</v>
      </c>
    </row>
    <row r="758" spans="1:7" x14ac:dyDescent="0.2">
      <c r="A758" t="s">
        <v>676</v>
      </c>
      <c r="B758">
        <v>32.1</v>
      </c>
      <c r="C758">
        <v>25.7</v>
      </c>
      <c r="D758">
        <v>39.200000000000003</v>
      </c>
      <c r="E758">
        <v>10.3</v>
      </c>
      <c r="F758" t="s">
        <v>205</v>
      </c>
      <c r="G758" s="92">
        <v>45798.445532407408</v>
      </c>
    </row>
    <row r="759" spans="1:7" x14ac:dyDescent="0.2">
      <c r="A759" t="s">
        <v>674</v>
      </c>
      <c r="B759">
        <v>13.5</v>
      </c>
      <c r="C759">
        <v>9.5</v>
      </c>
      <c r="D759">
        <v>25.7</v>
      </c>
      <c r="E759">
        <v>0.3</v>
      </c>
      <c r="F759" t="s">
        <v>205</v>
      </c>
      <c r="G759" s="92">
        <v>45797.645173611112</v>
      </c>
    </row>
    <row r="760" spans="1:7" x14ac:dyDescent="0.2">
      <c r="A760" t="s">
        <v>675</v>
      </c>
      <c r="B760">
        <v>27.9</v>
      </c>
      <c r="C760">
        <v>40.9</v>
      </c>
      <c r="D760">
        <v>27.6</v>
      </c>
      <c r="E760">
        <v>4.3</v>
      </c>
      <c r="F760" t="s">
        <v>205</v>
      </c>
      <c r="G760" s="92">
        <v>45797.645671296297</v>
      </c>
    </row>
    <row r="761" spans="1:7" x14ac:dyDescent="0.2">
      <c r="A761" t="s">
        <v>673</v>
      </c>
      <c r="B761">
        <v>42.3</v>
      </c>
      <c r="C761">
        <v>28.2</v>
      </c>
      <c r="D761">
        <v>69.8</v>
      </c>
      <c r="E761">
        <v>6.3</v>
      </c>
      <c r="F761" t="s">
        <v>205</v>
      </c>
      <c r="G761" s="92">
        <v>45797.644432870373</v>
      </c>
    </row>
    <row r="762" spans="1:7" x14ac:dyDescent="0.2">
      <c r="A762" t="s">
        <v>561</v>
      </c>
      <c r="B762">
        <v>31.3</v>
      </c>
      <c r="C762">
        <v>31.8</v>
      </c>
      <c r="D762">
        <v>43.1</v>
      </c>
      <c r="E762">
        <v>8.8000000000000007</v>
      </c>
      <c r="F762" t="s">
        <v>205</v>
      </c>
      <c r="G762" s="92">
        <v>45797.643877314818</v>
      </c>
    </row>
    <row r="763" spans="1:7" x14ac:dyDescent="0.2">
      <c r="A763" t="s">
        <v>559</v>
      </c>
      <c r="B763">
        <v>34.799999999999997</v>
      </c>
      <c r="C763">
        <v>24.6</v>
      </c>
      <c r="D763">
        <v>54.6</v>
      </c>
      <c r="E763">
        <v>7.3</v>
      </c>
      <c r="F763" t="s">
        <v>205</v>
      </c>
      <c r="G763" s="92">
        <v>45797.642557870371</v>
      </c>
    </row>
    <row r="764" spans="1:7" x14ac:dyDescent="0.2">
      <c r="A764" t="s">
        <v>560</v>
      </c>
      <c r="B764">
        <v>38.299999999999997</v>
      </c>
      <c r="C764">
        <v>31.9</v>
      </c>
      <c r="D764">
        <v>38.5</v>
      </c>
      <c r="E764">
        <v>4.3</v>
      </c>
      <c r="F764" t="s">
        <v>205</v>
      </c>
      <c r="G764" s="92">
        <v>45797.643263888887</v>
      </c>
    </row>
    <row r="765" spans="1:7" x14ac:dyDescent="0.2">
      <c r="A765" t="s">
        <v>556</v>
      </c>
      <c r="B765">
        <v>41.7</v>
      </c>
      <c r="C765">
        <v>12.4</v>
      </c>
      <c r="D765">
        <v>50.6</v>
      </c>
      <c r="E765">
        <v>6.6</v>
      </c>
      <c r="F765" t="s">
        <v>205</v>
      </c>
      <c r="G765" s="92">
        <v>45797.569918981484</v>
      </c>
    </row>
    <row r="766" spans="1:7" x14ac:dyDescent="0.2">
      <c r="A766" t="s">
        <v>557</v>
      </c>
      <c r="B766">
        <v>35.6</v>
      </c>
      <c r="C766">
        <v>41.8</v>
      </c>
      <c r="D766">
        <v>46.2</v>
      </c>
      <c r="E766">
        <v>6.1</v>
      </c>
      <c r="F766" t="s">
        <v>205</v>
      </c>
      <c r="G766" s="92">
        <v>45797.575358796297</v>
      </c>
    </row>
    <row r="767" spans="1:7" x14ac:dyDescent="0.2">
      <c r="A767" t="s">
        <v>558</v>
      </c>
      <c r="B767">
        <v>30.9</v>
      </c>
      <c r="C767">
        <v>32.799999999999997</v>
      </c>
      <c r="D767">
        <v>72.099999999999994</v>
      </c>
      <c r="E767">
        <v>5.6</v>
      </c>
      <c r="F767" t="s">
        <v>205</v>
      </c>
      <c r="G767" s="92">
        <v>45797.641747685186</v>
      </c>
    </row>
    <row r="768" spans="1:7" x14ac:dyDescent="0.2">
      <c r="A768" t="s">
        <v>555</v>
      </c>
      <c r="B768">
        <v>35.6</v>
      </c>
      <c r="C768">
        <v>41.8</v>
      </c>
      <c r="D768">
        <v>54.1</v>
      </c>
      <c r="E768">
        <v>11.9</v>
      </c>
      <c r="F768" t="s">
        <v>231</v>
      </c>
      <c r="G768" s="92">
        <v>45796.613159722219</v>
      </c>
    </row>
    <row r="769" spans="1:7" x14ac:dyDescent="0.2">
      <c r="A769" t="s">
        <v>554</v>
      </c>
      <c r="B769">
        <v>33.299999999999997</v>
      </c>
      <c r="C769">
        <v>40</v>
      </c>
      <c r="D769">
        <v>47.8</v>
      </c>
      <c r="E769">
        <v>9.1</v>
      </c>
      <c r="F769" t="s">
        <v>231</v>
      </c>
      <c r="G769" s="92">
        <v>45796.610717592594</v>
      </c>
    </row>
    <row r="770" spans="1:7" x14ac:dyDescent="0.2">
      <c r="A770" t="s">
        <v>551</v>
      </c>
      <c r="B770">
        <v>33</v>
      </c>
      <c r="C770">
        <v>24.6</v>
      </c>
      <c r="D770">
        <v>76</v>
      </c>
      <c r="E770">
        <v>9.6</v>
      </c>
      <c r="F770" t="s">
        <v>231</v>
      </c>
      <c r="G770" s="92">
        <v>45796.574675925927</v>
      </c>
    </row>
    <row r="771" spans="1:7" x14ac:dyDescent="0.2">
      <c r="A771" t="s">
        <v>552</v>
      </c>
      <c r="B771">
        <v>24</v>
      </c>
      <c r="C771">
        <v>11</v>
      </c>
      <c r="D771">
        <v>33.700000000000003</v>
      </c>
      <c r="E771">
        <v>0.4</v>
      </c>
      <c r="F771" t="s">
        <v>231</v>
      </c>
      <c r="G771" s="92">
        <v>45796.574201388888</v>
      </c>
    </row>
    <row r="772" spans="1:7" x14ac:dyDescent="0.2">
      <c r="A772" t="s">
        <v>553</v>
      </c>
      <c r="B772">
        <v>37</v>
      </c>
      <c r="C772">
        <v>27.4</v>
      </c>
      <c r="D772">
        <v>46.3</v>
      </c>
      <c r="E772">
        <v>4</v>
      </c>
      <c r="F772" t="s">
        <v>231</v>
      </c>
      <c r="G772" s="92">
        <v>45796.575578703705</v>
      </c>
    </row>
    <row r="773" spans="1:7" x14ac:dyDescent="0.2">
      <c r="A773" t="s">
        <v>550</v>
      </c>
      <c r="B773">
        <v>27.2</v>
      </c>
      <c r="C773">
        <v>50.4</v>
      </c>
      <c r="D773">
        <v>54.7</v>
      </c>
      <c r="E773">
        <v>4.7</v>
      </c>
      <c r="F773" t="s">
        <v>231</v>
      </c>
      <c r="G773" s="92">
        <v>45796.455983796295</v>
      </c>
    </row>
    <row r="774" spans="1:7" x14ac:dyDescent="0.2">
      <c r="A774" t="s">
        <v>549</v>
      </c>
      <c r="B774">
        <v>27.2</v>
      </c>
      <c r="C774">
        <v>54.7</v>
      </c>
      <c r="D774">
        <v>50.6</v>
      </c>
      <c r="E774">
        <v>4.9000000000000004</v>
      </c>
      <c r="F774" t="s">
        <v>231</v>
      </c>
      <c r="G774" s="92">
        <v>45796.45548611111</v>
      </c>
    </row>
    <row r="775" spans="1:7" x14ac:dyDescent="0.2">
      <c r="A775" t="s">
        <v>548</v>
      </c>
      <c r="B775">
        <v>44.9</v>
      </c>
      <c r="C775">
        <v>15.6</v>
      </c>
      <c r="D775">
        <v>58</v>
      </c>
      <c r="E775">
        <v>1.7</v>
      </c>
      <c r="F775" t="s">
        <v>231</v>
      </c>
      <c r="G775" s="92">
        <v>45796.364432870374</v>
      </c>
    </row>
    <row r="776" spans="1:7" x14ac:dyDescent="0.2">
      <c r="A776" t="s">
        <v>670</v>
      </c>
      <c r="B776">
        <v>30.3</v>
      </c>
      <c r="C776">
        <v>34.200000000000003</v>
      </c>
      <c r="D776">
        <v>32.6</v>
      </c>
      <c r="E776">
        <v>4.2</v>
      </c>
      <c r="F776" t="s">
        <v>205</v>
      </c>
      <c r="G776" s="92">
        <v>45794.546527777777</v>
      </c>
    </row>
    <row r="777" spans="1:7" x14ac:dyDescent="0.2">
      <c r="A777" t="s">
        <v>672</v>
      </c>
      <c r="B777">
        <v>29.7</v>
      </c>
      <c r="C777">
        <v>21.5</v>
      </c>
      <c r="D777">
        <v>33.1</v>
      </c>
      <c r="E777">
        <v>2.7</v>
      </c>
      <c r="F777" t="s">
        <v>205</v>
      </c>
      <c r="G777" s="92">
        <v>45794.54792824074</v>
      </c>
    </row>
    <row r="778" spans="1:7" x14ac:dyDescent="0.2">
      <c r="A778" t="s">
        <v>671</v>
      </c>
      <c r="B778">
        <v>24.7</v>
      </c>
      <c r="C778">
        <v>22.1</v>
      </c>
      <c r="D778">
        <v>34.700000000000003</v>
      </c>
      <c r="E778">
        <v>1.2</v>
      </c>
      <c r="F778" t="s">
        <v>205</v>
      </c>
      <c r="G778" s="92">
        <v>45794.547476851854</v>
      </c>
    </row>
    <row r="779" spans="1:7" x14ac:dyDescent="0.2">
      <c r="A779" t="s">
        <v>546</v>
      </c>
      <c r="B779">
        <v>11.6</v>
      </c>
      <c r="C779">
        <v>5.9</v>
      </c>
      <c r="D779">
        <v>14.2</v>
      </c>
      <c r="E779">
        <v>0.2</v>
      </c>
      <c r="F779" t="s">
        <v>205</v>
      </c>
      <c r="G779" s="92">
        <v>45793.667905092596</v>
      </c>
    </row>
    <row r="780" spans="1:7" x14ac:dyDescent="0.2">
      <c r="A780" t="s">
        <v>547</v>
      </c>
      <c r="B780">
        <v>20</v>
      </c>
      <c r="C780">
        <v>14.1</v>
      </c>
      <c r="D780">
        <v>24.5</v>
      </c>
      <c r="E780">
        <v>0.7</v>
      </c>
      <c r="F780" t="s">
        <v>205</v>
      </c>
      <c r="G780" s="92">
        <v>45793.66851851852</v>
      </c>
    </row>
    <row r="781" spans="1:7" x14ac:dyDescent="0.2">
      <c r="A781" t="s">
        <v>540</v>
      </c>
      <c r="B781">
        <v>31.3</v>
      </c>
      <c r="C781">
        <v>30</v>
      </c>
      <c r="D781">
        <v>38.200000000000003</v>
      </c>
      <c r="E781">
        <v>9.6</v>
      </c>
      <c r="F781" t="s">
        <v>205</v>
      </c>
      <c r="G781" s="92">
        <v>45793.660578703704</v>
      </c>
    </row>
    <row r="782" spans="1:7" x14ac:dyDescent="0.2">
      <c r="A782" t="s">
        <v>536</v>
      </c>
      <c r="B782">
        <v>34.299999999999997</v>
      </c>
      <c r="C782">
        <v>38.700000000000003</v>
      </c>
      <c r="D782">
        <v>38.9</v>
      </c>
      <c r="E782">
        <v>2.6</v>
      </c>
      <c r="F782" t="s">
        <v>205</v>
      </c>
      <c r="G782" s="92">
        <v>45793.657164351855</v>
      </c>
    </row>
    <row r="783" spans="1:7" x14ac:dyDescent="0.2">
      <c r="A783" t="s">
        <v>543</v>
      </c>
      <c r="B783">
        <v>15.8</v>
      </c>
      <c r="C783">
        <v>13.1</v>
      </c>
      <c r="D783">
        <v>25.4</v>
      </c>
      <c r="E783">
        <v>0.5</v>
      </c>
      <c r="F783" t="s">
        <v>205</v>
      </c>
      <c r="G783" s="92">
        <v>45793.663958333331</v>
      </c>
    </row>
    <row r="784" spans="1:7" x14ac:dyDescent="0.2">
      <c r="A784" t="s">
        <v>545</v>
      </c>
      <c r="B784">
        <v>37.4</v>
      </c>
      <c r="C784">
        <v>26.7</v>
      </c>
      <c r="D784">
        <v>45.4</v>
      </c>
      <c r="E784">
        <v>3.5</v>
      </c>
      <c r="F784" t="s">
        <v>205</v>
      </c>
      <c r="G784" s="92">
        <v>45793.665833333333</v>
      </c>
    </row>
    <row r="785" spans="1:7" x14ac:dyDescent="0.2">
      <c r="A785" t="s">
        <v>544</v>
      </c>
      <c r="B785">
        <v>24.9</v>
      </c>
      <c r="C785">
        <v>9.4</v>
      </c>
      <c r="D785">
        <v>35</v>
      </c>
      <c r="E785">
        <v>0.6</v>
      </c>
      <c r="F785" t="s">
        <v>205</v>
      </c>
      <c r="G785" s="92">
        <v>45793.664398148147</v>
      </c>
    </row>
    <row r="786" spans="1:7" x14ac:dyDescent="0.2">
      <c r="A786" t="s">
        <v>542</v>
      </c>
      <c r="B786">
        <v>33.9</v>
      </c>
      <c r="C786">
        <v>38.9</v>
      </c>
      <c r="D786">
        <v>39.5</v>
      </c>
      <c r="E786">
        <v>6.1</v>
      </c>
      <c r="F786" t="s">
        <v>205</v>
      </c>
      <c r="G786" s="92">
        <v>45793.662534722222</v>
      </c>
    </row>
    <row r="787" spans="1:7" x14ac:dyDescent="0.2">
      <c r="A787" t="s">
        <v>541</v>
      </c>
      <c r="B787">
        <v>33.9</v>
      </c>
      <c r="C787">
        <v>38.700000000000003</v>
      </c>
      <c r="D787">
        <v>39</v>
      </c>
      <c r="E787">
        <v>5.4</v>
      </c>
      <c r="F787" t="s">
        <v>205</v>
      </c>
      <c r="G787" s="92">
        <v>45793.661597222221</v>
      </c>
    </row>
    <row r="788" spans="1:7" x14ac:dyDescent="0.2">
      <c r="A788" t="s">
        <v>538</v>
      </c>
      <c r="B788">
        <v>36.4</v>
      </c>
      <c r="C788">
        <v>27.9</v>
      </c>
      <c r="D788">
        <v>47.9</v>
      </c>
      <c r="E788">
        <v>6.2</v>
      </c>
      <c r="F788" t="s">
        <v>205</v>
      </c>
      <c r="G788" s="92">
        <v>45793.658634259256</v>
      </c>
    </row>
    <row r="789" spans="1:7" x14ac:dyDescent="0.2">
      <c r="A789" t="s">
        <v>539</v>
      </c>
      <c r="B789">
        <v>41.5</v>
      </c>
      <c r="C789">
        <v>53</v>
      </c>
      <c r="D789">
        <v>51.6</v>
      </c>
      <c r="E789">
        <v>15.3</v>
      </c>
      <c r="F789" t="s">
        <v>205</v>
      </c>
      <c r="G789" s="92">
        <v>45793.65966435185</v>
      </c>
    </row>
    <row r="790" spans="1:7" x14ac:dyDescent="0.2">
      <c r="A790" t="s">
        <v>537</v>
      </c>
      <c r="B790">
        <v>35.9</v>
      </c>
      <c r="C790">
        <v>25.9</v>
      </c>
      <c r="D790">
        <v>47.5</v>
      </c>
      <c r="E790">
        <v>4.5</v>
      </c>
      <c r="F790" t="s">
        <v>205</v>
      </c>
      <c r="G790" s="92">
        <v>45793.658032407409</v>
      </c>
    </row>
    <row r="791" spans="1:7" x14ac:dyDescent="0.2">
      <c r="A791" t="s">
        <v>669</v>
      </c>
      <c r="B791">
        <v>23.4</v>
      </c>
      <c r="C791">
        <v>19.600000000000001</v>
      </c>
      <c r="D791">
        <v>33.4</v>
      </c>
      <c r="E791">
        <v>1.7</v>
      </c>
      <c r="F791" t="s">
        <v>205</v>
      </c>
      <c r="G791" s="92">
        <v>45792.728726851848</v>
      </c>
    </row>
    <row r="792" spans="1:7" x14ac:dyDescent="0.2">
      <c r="A792" t="s">
        <v>667</v>
      </c>
      <c r="B792">
        <v>20.100000000000001</v>
      </c>
      <c r="C792">
        <v>11.7</v>
      </c>
      <c r="D792">
        <v>27.6</v>
      </c>
      <c r="E792">
        <v>2.2999999999999998</v>
      </c>
      <c r="F792" t="s">
        <v>205</v>
      </c>
      <c r="G792" s="92">
        <v>45792.717245370368</v>
      </c>
    </row>
    <row r="793" spans="1:7" x14ac:dyDescent="0.2">
      <c r="A793" t="s">
        <v>668</v>
      </c>
      <c r="B793">
        <v>20.100000000000001</v>
      </c>
      <c r="C793">
        <v>11.5</v>
      </c>
      <c r="D793">
        <v>27.7</v>
      </c>
      <c r="E793">
        <v>2.2999999999999998</v>
      </c>
      <c r="F793" t="s">
        <v>205</v>
      </c>
      <c r="G793" s="92">
        <v>45792.716597222221</v>
      </c>
    </row>
    <row r="794" spans="1:7" x14ac:dyDescent="0.2">
      <c r="A794" t="s">
        <v>666</v>
      </c>
      <c r="B794">
        <v>34.1</v>
      </c>
      <c r="C794">
        <v>39.200000000000003</v>
      </c>
      <c r="D794">
        <v>36.200000000000003</v>
      </c>
      <c r="E794">
        <v>4.2</v>
      </c>
      <c r="F794" t="s">
        <v>205</v>
      </c>
      <c r="G794" s="92">
        <v>45792.715381944443</v>
      </c>
    </row>
    <row r="795" spans="1:7" x14ac:dyDescent="0.2">
      <c r="A795" t="s">
        <v>665</v>
      </c>
      <c r="B795">
        <v>25.4</v>
      </c>
      <c r="C795">
        <v>16.899999999999999</v>
      </c>
      <c r="D795">
        <v>31.6</v>
      </c>
      <c r="E795">
        <v>0.9</v>
      </c>
      <c r="F795" t="s">
        <v>205</v>
      </c>
      <c r="G795" s="92">
        <v>45792.697650462964</v>
      </c>
    </row>
    <row r="796" spans="1:7" x14ac:dyDescent="0.2">
      <c r="A796" t="s">
        <v>664</v>
      </c>
      <c r="B796">
        <v>69</v>
      </c>
      <c r="C796">
        <v>33.4</v>
      </c>
      <c r="D796">
        <v>77.099999999999994</v>
      </c>
      <c r="E796">
        <v>12.4</v>
      </c>
      <c r="F796" t="s">
        <v>205</v>
      </c>
      <c r="G796" s="92">
        <v>45792.696770833332</v>
      </c>
    </row>
    <row r="797" spans="1:7" x14ac:dyDescent="0.2">
      <c r="A797" t="s">
        <v>535</v>
      </c>
      <c r="B797">
        <v>43.6</v>
      </c>
      <c r="C797">
        <v>36</v>
      </c>
      <c r="D797">
        <v>59.6</v>
      </c>
      <c r="E797">
        <v>6.8</v>
      </c>
      <c r="F797" t="s">
        <v>205</v>
      </c>
      <c r="G797" s="92">
        <v>45792.458449074074</v>
      </c>
    </row>
    <row r="798" spans="1:7" x14ac:dyDescent="0.2">
      <c r="A798" t="s">
        <v>534</v>
      </c>
      <c r="B798">
        <v>26.3</v>
      </c>
      <c r="C798">
        <v>16.5</v>
      </c>
      <c r="D798">
        <v>35.6</v>
      </c>
      <c r="E798">
        <v>0.7</v>
      </c>
      <c r="F798" t="s">
        <v>210</v>
      </c>
      <c r="G798" s="92">
        <v>45791.714791666665</v>
      </c>
    </row>
    <row r="799" spans="1:7" x14ac:dyDescent="0.2">
      <c r="A799" t="s">
        <v>434</v>
      </c>
      <c r="B799">
        <v>34.799999999999997</v>
      </c>
      <c r="C799">
        <v>20.2</v>
      </c>
      <c r="D799">
        <v>41.6</v>
      </c>
      <c r="E799">
        <v>3.4</v>
      </c>
      <c r="F799" t="s">
        <v>205</v>
      </c>
      <c r="G799" s="92">
        <v>45791.477141203701</v>
      </c>
    </row>
    <row r="800" spans="1:7" x14ac:dyDescent="0.2">
      <c r="A800" t="s">
        <v>433</v>
      </c>
      <c r="B800">
        <v>48.1</v>
      </c>
      <c r="C800">
        <v>33.799999999999997</v>
      </c>
      <c r="D800">
        <v>59.7</v>
      </c>
      <c r="E800">
        <v>5.4</v>
      </c>
      <c r="F800" t="s">
        <v>205</v>
      </c>
      <c r="G800" s="92">
        <v>45791.469733796293</v>
      </c>
    </row>
    <row r="801" spans="1:7" x14ac:dyDescent="0.2">
      <c r="A801" t="s">
        <v>431</v>
      </c>
      <c r="B801">
        <v>34.1</v>
      </c>
      <c r="C801">
        <v>38.5</v>
      </c>
      <c r="D801">
        <v>39.5</v>
      </c>
      <c r="E801">
        <v>9.8000000000000007</v>
      </c>
      <c r="F801" t="s">
        <v>205</v>
      </c>
      <c r="G801" s="92">
        <v>45791.691550925927</v>
      </c>
    </row>
    <row r="802" spans="1:7" x14ac:dyDescent="0.2">
      <c r="A802" t="s">
        <v>533</v>
      </c>
      <c r="B802">
        <v>34</v>
      </c>
      <c r="C802">
        <v>38.5</v>
      </c>
      <c r="D802">
        <v>38.9</v>
      </c>
      <c r="E802">
        <v>16.100000000000001</v>
      </c>
      <c r="F802" t="s">
        <v>205</v>
      </c>
      <c r="G802" s="92">
        <v>45791.692303240743</v>
      </c>
    </row>
    <row r="803" spans="1:7" x14ac:dyDescent="0.2">
      <c r="A803" t="s">
        <v>429</v>
      </c>
      <c r="B803">
        <v>40</v>
      </c>
      <c r="C803">
        <v>39.6</v>
      </c>
      <c r="D803">
        <v>33.700000000000003</v>
      </c>
      <c r="E803">
        <v>7.1</v>
      </c>
      <c r="F803" t="s">
        <v>205</v>
      </c>
      <c r="G803" s="92">
        <v>45790.68476851852</v>
      </c>
    </row>
    <row r="804" spans="1:7" x14ac:dyDescent="0.2">
      <c r="A804" t="s">
        <v>430</v>
      </c>
      <c r="B804">
        <v>22.6</v>
      </c>
      <c r="C804">
        <v>31.2</v>
      </c>
      <c r="D804">
        <v>17.399999999999999</v>
      </c>
      <c r="E804">
        <v>0.4</v>
      </c>
      <c r="F804" t="s">
        <v>205</v>
      </c>
      <c r="G804" s="92">
        <v>45790.68540509259</v>
      </c>
    </row>
    <row r="805" spans="1:7" x14ac:dyDescent="0.2">
      <c r="A805" t="s">
        <v>432</v>
      </c>
      <c r="B805">
        <v>23.3</v>
      </c>
      <c r="C805">
        <v>23.7</v>
      </c>
      <c r="D805">
        <v>19.5</v>
      </c>
      <c r="E805">
        <v>5.8</v>
      </c>
      <c r="F805" t="s">
        <v>205</v>
      </c>
      <c r="G805" s="92">
        <v>45790.694803240738</v>
      </c>
    </row>
    <row r="806" spans="1:7" x14ac:dyDescent="0.2">
      <c r="A806" t="s">
        <v>532</v>
      </c>
      <c r="B806">
        <v>29.4</v>
      </c>
      <c r="C806">
        <v>37</v>
      </c>
      <c r="D806">
        <v>22.5</v>
      </c>
      <c r="E806">
        <v>1.9</v>
      </c>
      <c r="F806" t="s">
        <v>205</v>
      </c>
      <c r="G806" s="92">
        <v>45789.595358796294</v>
      </c>
    </row>
    <row r="807" spans="1:7" x14ac:dyDescent="0.2">
      <c r="A807" t="s">
        <v>530</v>
      </c>
      <c r="B807">
        <v>54</v>
      </c>
      <c r="C807">
        <v>54.2</v>
      </c>
      <c r="D807">
        <v>40.200000000000003</v>
      </c>
      <c r="E807">
        <v>19.8</v>
      </c>
      <c r="F807" t="s">
        <v>205</v>
      </c>
      <c r="G807" s="92">
        <v>45789.594525462962</v>
      </c>
    </row>
    <row r="808" spans="1:7" x14ac:dyDescent="0.2">
      <c r="A808" t="s">
        <v>531</v>
      </c>
      <c r="B808">
        <v>39.9</v>
      </c>
      <c r="C808">
        <v>39.9</v>
      </c>
      <c r="D808">
        <v>18.100000000000001</v>
      </c>
      <c r="E808">
        <v>9.6</v>
      </c>
      <c r="F808" t="s">
        <v>205</v>
      </c>
      <c r="G808" s="92">
        <v>45789.435844907406</v>
      </c>
    </row>
    <row r="809" spans="1:7" x14ac:dyDescent="0.2">
      <c r="A809" t="s">
        <v>529</v>
      </c>
      <c r="B809">
        <v>41.8</v>
      </c>
      <c r="C809">
        <v>53.8</v>
      </c>
      <c r="D809">
        <v>51.1</v>
      </c>
      <c r="E809">
        <v>11</v>
      </c>
      <c r="F809" t="s">
        <v>216</v>
      </c>
      <c r="G809" s="92">
        <v>45787.603136574071</v>
      </c>
    </row>
    <row r="810" spans="1:7" x14ac:dyDescent="0.2">
      <c r="A810" t="s">
        <v>528</v>
      </c>
      <c r="B810">
        <v>24.6</v>
      </c>
      <c r="C810">
        <v>8.1999999999999993</v>
      </c>
      <c r="D810">
        <v>32</v>
      </c>
      <c r="E810">
        <v>1.8</v>
      </c>
      <c r="F810" t="s">
        <v>216</v>
      </c>
      <c r="G810" s="92">
        <v>45787.602685185186</v>
      </c>
    </row>
    <row r="811" spans="1:7" x14ac:dyDescent="0.2">
      <c r="A811" t="s">
        <v>663</v>
      </c>
      <c r="B811">
        <v>43.3</v>
      </c>
      <c r="C811">
        <v>29</v>
      </c>
      <c r="D811">
        <v>31.5</v>
      </c>
      <c r="E811">
        <v>3.3</v>
      </c>
      <c r="F811" t="s">
        <v>216</v>
      </c>
      <c r="G811" s="92">
        <v>45786.686180555553</v>
      </c>
    </row>
    <row r="812" spans="1:7" x14ac:dyDescent="0.2">
      <c r="A812" t="s">
        <v>427</v>
      </c>
      <c r="B812">
        <v>42.3</v>
      </c>
      <c r="C812">
        <v>11.6</v>
      </c>
      <c r="D812">
        <v>50.7</v>
      </c>
      <c r="E812">
        <v>3.2</v>
      </c>
      <c r="F812" t="s">
        <v>216</v>
      </c>
      <c r="G812" s="92">
        <v>45786.614050925928</v>
      </c>
    </row>
    <row r="813" spans="1:7" x14ac:dyDescent="0.2">
      <c r="A813" t="s">
        <v>527</v>
      </c>
      <c r="B813">
        <v>51.3</v>
      </c>
      <c r="C813">
        <v>53.6</v>
      </c>
      <c r="D813">
        <v>41.6</v>
      </c>
      <c r="E813">
        <v>12.1</v>
      </c>
      <c r="F813" t="s">
        <v>216</v>
      </c>
      <c r="G813" s="92">
        <v>45786.570370370369</v>
      </c>
    </row>
    <row r="814" spans="1:7" x14ac:dyDescent="0.2">
      <c r="A814" t="s">
        <v>526</v>
      </c>
      <c r="B814">
        <v>51.5</v>
      </c>
      <c r="C814">
        <v>53.8</v>
      </c>
      <c r="D814">
        <v>42.1</v>
      </c>
      <c r="E814">
        <v>12.2</v>
      </c>
      <c r="F814" t="s">
        <v>216</v>
      </c>
      <c r="G814" s="92">
        <v>45786.568194444444</v>
      </c>
    </row>
    <row r="815" spans="1:7" x14ac:dyDescent="0.2">
      <c r="A815" t="s">
        <v>525</v>
      </c>
      <c r="B815">
        <v>40</v>
      </c>
      <c r="C815">
        <v>32.299999999999997</v>
      </c>
      <c r="D815">
        <v>51</v>
      </c>
      <c r="E815">
        <v>4.7</v>
      </c>
      <c r="F815" t="s">
        <v>216</v>
      </c>
      <c r="G815" s="92">
        <v>45786.566701388889</v>
      </c>
    </row>
    <row r="816" spans="1:7" x14ac:dyDescent="0.2">
      <c r="A816" t="s">
        <v>524</v>
      </c>
      <c r="B816">
        <v>27.9</v>
      </c>
      <c r="C816">
        <v>20.6</v>
      </c>
      <c r="D816">
        <v>26.3</v>
      </c>
      <c r="E816">
        <v>1.4</v>
      </c>
      <c r="F816" t="s">
        <v>216</v>
      </c>
      <c r="G816" s="92">
        <v>45786.500671296293</v>
      </c>
    </row>
    <row r="817" spans="1:7" x14ac:dyDescent="0.2">
      <c r="A817" t="s">
        <v>428</v>
      </c>
      <c r="B817">
        <v>34.700000000000003</v>
      </c>
      <c r="C817">
        <v>21.3</v>
      </c>
      <c r="D817">
        <v>34.4</v>
      </c>
      <c r="E817">
        <v>9.8000000000000007</v>
      </c>
      <c r="F817" t="s">
        <v>216</v>
      </c>
      <c r="G817" s="92">
        <v>45785.681747685187</v>
      </c>
    </row>
    <row r="818" spans="1:7" x14ac:dyDescent="0.2">
      <c r="A818" t="s">
        <v>426</v>
      </c>
      <c r="B818">
        <v>30.4</v>
      </c>
      <c r="C818">
        <v>40.5</v>
      </c>
      <c r="D818">
        <v>30.4</v>
      </c>
      <c r="E818">
        <v>19.5</v>
      </c>
      <c r="F818" t="s">
        <v>216</v>
      </c>
      <c r="G818" s="92">
        <v>45785.680995370371</v>
      </c>
    </row>
    <row r="819" spans="1:7" x14ac:dyDescent="0.2">
      <c r="A819" t="s">
        <v>425</v>
      </c>
      <c r="B819">
        <v>27.6</v>
      </c>
      <c r="C819">
        <v>29.3</v>
      </c>
      <c r="D819">
        <v>27.2</v>
      </c>
      <c r="E819">
        <v>8.6999999999999993</v>
      </c>
      <c r="F819" t="s">
        <v>216</v>
      </c>
      <c r="G819" s="92">
        <v>45785.68041666667</v>
      </c>
    </row>
    <row r="820" spans="1:7" x14ac:dyDescent="0.2">
      <c r="A820" t="s">
        <v>423</v>
      </c>
      <c r="B820">
        <v>55.9</v>
      </c>
      <c r="C820">
        <v>46.8</v>
      </c>
      <c r="D820">
        <v>31.4</v>
      </c>
      <c r="E820">
        <v>3.2</v>
      </c>
      <c r="F820" t="s">
        <v>216</v>
      </c>
      <c r="G820" s="92">
        <v>45785.669305555559</v>
      </c>
    </row>
    <row r="821" spans="1:7" x14ac:dyDescent="0.2">
      <c r="A821" t="s">
        <v>422</v>
      </c>
      <c r="B821">
        <v>69.3</v>
      </c>
      <c r="C821">
        <v>38.1</v>
      </c>
      <c r="D821">
        <v>37.1</v>
      </c>
      <c r="E821">
        <v>9.1999999999999993</v>
      </c>
      <c r="F821" t="s">
        <v>216</v>
      </c>
      <c r="G821" s="92">
        <v>45785.669699074075</v>
      </c>
    </row>
    <row r="822" spans="1:7" x14ac:dyDescent="0.2">
      <c r="A822" t="s">
        <v>424</v>
      </c>
      <c r="B822">
        <v>30.5</v>
      </c>
      <c r="C822">
        <v>53.6</v>
      </c>
      <c r="D822">
        <v>31.1</v>
      </c>
      <c r="E822">
        <v>23.9</v>
      </c>
      <c r="F822" t="s">
        <v>216</v>
      </c>
      <c r="G822" s="92">
        <v>45785.679965277777</v>
      </c>
    </row>
    <row r="823" spans="1:7" x14ac:dyDescent="0.2">
      <c r="A823" t="s">
        <v>421</v>
      </c>
      <c r="B823">
        <v>41.1</v>
      </c>
      <c r="C823">
        <v>20.399999999999999</v>
      </c>
      <c r="D823">
        <v>33.700000000000003</v>
      </c>
      <c r="E823">
        <v>6.6</v>
      </c>
      <c r="F823" t="s">
        <v>216</v>
      </c>
      <c r="G823" s="92">
        <v>45785.462939814817</v>
      </c>
    </row>
    <row r="824" spans="1:7" x14ac:dyDescent="0.2">
      <c r="A824" t="s">
        <v>660</v>
      </c>
      <c r="B824">
        <v>49.3</v>
      </c>
      <c r="C824">
        <v>32.700000000000003</v>
      </c>
      <c r="D824">
        <v>62.3</v>
      </c>
      <c r="E824">
        <v>15.9</v>
      </c>
      <c r="F824" t="s">
        <v>216</v>
      </c>
      <c r="G824" s="92">
        <v>45784.481886574074</v>
      </c>
    </row>
    <row r="825" spans="1:7" x14ac:dyDescent="0.2">
      <c r="A825" t="s">
        <v>661</v>
      </c>
      <c r="B825">
        <v>49.3</v>
      </c>
      <c r="C825">
        <v>34.4</v>
      </c>
      <c r="D825">
        <v>62</v>
      </c>
      <c r="E825">
        <v>14.9</v>
      </c>
      <c r="F825" t="s">
        <v>216</v>
      </c>
      <c r="G825" s="92">
        <v>45784.482430555552</v>
      </c>
    </row>
    <row r="826" spans="1:7" x14ac:dyDescent="0.2">
      <c r="A826" t="s">
        <v>662</v>
      </c>
      <c r="B826">
        <v>49.7</v>
      </c>
      <c r="C826">
        <v>33.1</v>
      </c>
      <c r="D826">
        <v>62.2</v>
      </c>
      <c r="E826">
        <v>14.1</v>
      </c>
      <c r="F826" t="s">
        <v>216</v>
      </c>
      <c r="G826" s="92">
        <v>45784.482893518521</v>
      </c>
    </row>
    <row r="827" spans="1:7" x14ac:dyDescent="0.2">
      <c r="A827" t="s">
        <v>420</v>
      </c>
      <c r="B827">
        <v>36.1</v>
      </c>
      <c r="C827">
        <v>17.2</v>
      </c>
      <c r="D827">
        <v>52.8</v>
      </c>
      <c r="E827">
        <v>4.2</v>
      </c>
      <c r="F827" t="s">
        <v>216</v>
      </c>
      <c r="G827" s="92">
        <v>45779.589560185188</v>
      </c>
    </row>
    <row r="828" spans="1:7" x14ac:dyDescent="0.2">
      <c r="A828" t="s">
        <v>523</v>
      </c>
      <c r="B828">
        <v>29.7</v>
      </c>
      <c r="C828">
        <v>17.399999999999999</v>
      </c>
      <c r="D828">
        <v>44.1</v>
      </c>
      <c r="E828">
        <v>1</v>
      </c>
      <c r="F828" t="s">
        <v>216</v>
      </c>
      <c r="G828" s="92">
        <v>45779.390335648146</v>
      </c>
    </row>
    <row r="829" spans="1:7" x14ac:dyDescent="0.2">
      <c r="A829" t="s">
        <v>658</v>
      </c>
      <c r="B829">
        <v>29</v>
      </c>
      <c r="C829">
        <v>40.799999999999997</v>
      </c>
      <c r="D829">
        <v>31.3</v>
      </c>
      <c r="E829">
        <v>5.0999999999999996</v>
      </c>
      <c r="F829" t="s">
        <v>216</v>
      </c>
      <c r="G829" s="92">
        <v>45778.5465625</v>
      </c>
    </row>
    <row r="830" spans="1:7" x14ac:dyDescent="0.2">
      <c r="A830" t="s">
        <v>659</v>
      </c>
      <c r="B830">
        <v>40.299999999999997</v>
      </c>
      <c r="C830">
        <v>43.2</v>
      </c>
      <c r="D830">
        <v>41</v>
      </c>
      <c r="E830">
        <v>5.0999999999999996</v>
      </c>
      <c r="F830" t="s">
        <v>216</v>
      </c>
      <c r="G830" s="92">
        <v>45778.555324074077</v>
      </c>
    </row>
    <row r="831" spans="1:7" x14ac:dyDescent="0.2">
      <c r="A831" t="s">
        <v>651</v>
      </c>
      <c r="B831">
        <v>30.4</v>
      </c>
      <c r="C831">
        <v>25.2</v>
      </c>
      <c r="D831">
        <v>24.2</v>
      </c>
      <c r="E831">
        <v>2.8</v>
      </c>
      <c r="F831" t="s">
        <v>216</v>
      </c>
      <c r="G831" s="92">
        <v>45771.551516203705</v>
      </c>
    </row>
    <row r="832" spans="1:7" x14ac:dyDescent="0.2">
      <c r="A832" t="s">
        <v>413</v>
      </c>
      <c r="B832">
        <v>25.7</v>
      </c>
      <c r="C832">
        <v>10.9</v>
      </c>
      <c r="D832">
        <v>19.399999999999999</v>
      </c>
      <c r="E832">
        <v>0.6</v>
      </c>
      <c r="F832" t="s">
        <v>216</v>
      </c>
      <c r="G832" s="92">
        <v>45770.580393518518</v>
      </c>
    </row>
    <row r="833" spans="1:7" x14ac:dyDescent="0.2">
      <c r="A833" t="s">
        <v>416</v>
      </c>
      <c r="B833">
        <v>25.4</v>
      </c>
      <c r="C833">
        <v>11.1</v>
      </c>
      <c r="D833">
        <v>19.3</v>
      </c>
      <c r="E833">
        <v>0.6</v>
      </c>
      <c r="F833" t="s">
        <v>216</v>
      </c>
      <c r="G833" s="92">
        <v>45770.581504629627</v>
      </c>
    </row>
    <row r="834" spans="1:7" x14ac:dyDescent="0.2">
      <c r="A834" t="s">
        <v>414</v>
      </c>
      <c r="B834">
        <v>59.5</v>
      </c>
      <c r="C834">
        <v>40.200000000000003</v>
      </c>
      <c r="D834">
        <v>41.6</v>
      </c>
      <c r="E834">
        <v>6.7</v>
      </c>
      <c r="F834" t="s">
        <v>216</v>
      </c>
      <c r="G834" s="92">
        <v>45770.577245370368</v>
      </c>
    </row>
    <row r="835" spans="1:7" x14ac:dyDescent="0.2">
      <c r="A835" t="s">
        <v>650</v>
      </c>
      <c r="B835">
        <v>41</v>
      </c>
      <c r="C835">
        <v>20.3</v>
      </c>
      <c r="D835">
        <v>31</v>
      </c>
      <c r="E835">
        <v>11.1</v>
      </c>
      <c r="F835" t="s">
        <v>216</v>
      </c>
      <c r="G835" s="92">
        <v>45769.693761574075</v>
      </c>
    </row>
    <row r="836" spans="1:7" x14ac:dyDescent="0.2">
      <c r="A836" t="s">
        <v>412</v>
      </c>
      <c r="B836">
        <v>33</v>
      </c>
      <c r="C836">
        <v>24.9</v>
      </c>
      <c r="D836">
        <v>75.7</v>
      </c>
      <c r="E836">
        <v>9.5</v>
      </c>
      <c r="F836" t="s">
        <v>216</v>
      </c>
      <c r="G836" s="92">
        <v>45769.683877314812</v>
      </c>
    </row>
    <row r="837" spans="1:7" x14ac:dyDescent="0.2">
      <c r="A837" t="s">
        <v>411</v>
      </c>
      <c r="B837">
        <v>54.3</v>
      </c>
      <c r="C837">
        <v>27.9</v>
      </c>
      <c r="D837">
        <v>28.1</v>
      </c>
      <c r="E837">
        <v>15.2</v>
      </c>
      <c r="F837" t="s">
        <v>216</v>
      </c>
      <c r="G837" s="92">
        <v>45769.581678240742</v>
      </c>
    </row>
    <row r="838" spans="1:7" x14ac:dyDescent="0.2">
      <c r="A838" t="s">
        <v>410</v>
      </c>
      <c r="B838">
        <v>36.6</v>
      </c>
      <c r="C838">
        <v>13.2</v>
      </c>
      <c r="D838">
        <v>50.4</v>
      </c>
      <c r="E838">
        <v>13.2</v>
      </c>
      <c r="F838" t="s">
        <v>216</v>
      </c>
      <c r="G838" s="92">
        <v>45769.581203703703</v>
      </c>
    </row>
    <row r="839" spans="1:7" x14ac:dyDescent="0.2">
      <c r="A839" t="s">
        <v>648</v>
      </c>
      <c r="B839">
        <v>48.7</v>
      </c>
      <c r="C839">
        <v>53.5</v>
      </c>
      <c r="D839">
        <v>21</v>
      </c>
      <c r="E839">
        <v>12.3</v>
      </c>
      <c r="F839" t="s">
        <v>216</v>
      </c>
      <c r="G839" s="92">
        <v>45769.614432870374</v>
      </c>
    </row>
    <row r="840" spans="1:7" x14ac:dyDescent="0.2">
      <c r="A840" t="s">
        <v>649</v>
      </c>
      <c r="B840">
        <v>50.1</v>
      </c>
      <c r="C840">
        <v>14</v>
      </c>
      <c r="D840">
        <v>36.799999999999997</v>
      </c>
      <c r="E840">
        <v>5.4</v>
      </c>
      <c r="F840" t="s">
        <v>216</v>
      </c>
      <c r="G840" s="92">
        <v>45769.614814814813</v>
      </c>
    </row>
    <row r="841" spans="1:7" x14ac:dyDescent="0.2">
      <c r="A841" t="s">
        <v>644</v>
      </c>
      <c r="B841">
        <v>48.1</v>
      </c>
      <c r="C841">
        <v>19.899999999999999</v>
      </c>
      <c r="D841">
        <v>48.5</v>
      </c>
      <c r="E841">
        <v>13.7</v>
      </c>
      <c r="F841" t="s">
        <v>216</v>
      </c>
      <c r="G841" s="92">
        <v>45769.475601851853</v>
      </c>
    </row>
    <row r="842" spans="1:7" x14ac:dyDescent="0.2">
      <c r="A842" t="s">
        <v>646</v>
      </c>
      <c r="B842">
        <v>37.9</v>
      </c>
      <c r="C842">
        <v>18.8</v>
      </c>
      <c r="D842">
        <v>32.1</v>
      </c>
      <c r="E842">
        <v>10</v>
      </c>
      <c r="F842" t="s">
        <v>216</v>
      </c>
      <c r="G842" s="92">
        <v>45769.474942129629</v>
      </c>
    </row>
    <row r="843" spans="1:7" x14ac:dyDescent="0.2">
      <c r="A843" t="s">
        <v>647</v>
      </c>
      <c r="B843">
        <v>51.1</v>
      </c>
      <c r="C843">
        <v>53.5</v>
      </c>
      <c r="D843">
        <v>41.7</v>
      </c>
      <c r="E843">
        <v>9</v>
      </c>
      <c r="F843" t="s">
        <v>216</v>
      </c>
      <c r="G843" s="92">
        <v>45769.476701388892</v>
      </c>
    </row>
    <row r="844" spans="1:7" x14ac:dyDescent="0.2">
      <c r="A844" t="s">
        <v>645</v>
      </c>
      <c r="B844">
        <v>46.2</v>
      </c>
      <c r="C844">
        <v>29.6</v>
      </c>
      <c r="D844">
        <v>32.799999999999997</v>
      </c>
      <c r="E844">
        <v>2.1</v>
      </c>
      <c r="F844" t="s">
        <v>216</v>
      </c>
      <c r="G844" s="92">
        <v>45769.473958333336</v>
      </c>
    </row>
    <row r="845" spans="1:7" x14ac:dyDescent="0.2">
      <c r="A845" t="s">
        <v>521</v>
      </c>
      <c r="B845">
        <v>38.5</v>
      </c>
      <c r="C845">
        <v>36.4</v>
      </c>
      <c r="D845">
        <v>33.5</v>
      </c>
      <c r="E845">
        <v>6.7</v>
      </c>
      <c r="F845" t="s">
        <v>216</v>
      </c>
      <c r="G845" s="92">
        <v>45768.552048611113</v>
      </c>
    </row>
    <row r="846" spans="1:7" x14ac:dyDescent="0.2">
      <c r="A846" t="s">
        <v>409</v>
      </c>
      <c r="B846">
        <v>29.8</v>
      </c>
      <c r="C846">
        <v>29.2</v>
      </c>
      <c r="D846">
        <v>52.5</v>
      </c>
      <c r="E846">
        <v>8.4</v>
      </c>
      <c r="F846" t="s">
        <v>310</v>
      </c>
      <c r="G846" s="92">
        <v>45766.590578703705</v>
      </c>
    </row>
    <row r="847" spans="1:7" x14ac:dyDescent="0.2">
      <c r="A847" t="s">
        <v>408</v>
      </c>
      <c r="B847">
        <v>30.7</v>
      </c>
      <c r="C847">
        <v>15.8</v>
      </c>
      <c r="D847">
        <v>34.799999999999997</v>
      </c>
      <c r="E847">
        <v>1.4</v>
      </c>
      <c r="F847" t="s">
        <v>310</v>
      </c>
      <c r="G847" s="92">
        <v>45766.589803240742</v>
      </c>
    </row>
    <row r="848" spans="1:7" x14ac:dyDescent="0.2">
      <c r="A848" t="s">
        <v>407</v>
      </c>
      <c r="B848">
        <v>40.700000000000003</v>
      </c>
      <c r="C848">
        <v>24.6</v>
      </c>
      <c r="D848">
        <v>31.3</v>
      </c>
      <c r="E848">
        <v>4.2</v>
      </c>
      <c r="F848" t="s">
        <v>216</v>
      </c>
      <c r="G848" s="92">
        <v>45765.684664351851</v>
      </c>
    </row>
    <row r="849" spans="1:7" x14ac:dyDescent="0.2">
      <c r="A849" t="s">
        <v>642</v>
      </c>
      <c r="B849">
        <v>26.3</v>
      </c>
      <c r="C849">
        <v>40</v>
      </c>
      <c r="D849">
        <v>30.5</v>
      </c>
      <c r="E849">
        <v>7.2</v>
      </c>
      <c r="F849" t="s">
        <v>216</v>
      </c>
      <c r="G849" s="92">
        <v>45765.625428240739</v>
      </c>
    </row>
    <row r="850" spans="1:7" x14ac:dyDescent="0.2">
      <c r="A850" t="s">
        <v>643</v>
      </c>
      <c r="B850">
        <v>26.3</v>
      </c>
      <c r="C850">
        <v>38.700000000000003</v>
      </c>
      <c r="D850">
        <v>30.2</v>
      </c>
      <c r="E850">
        <v>4.0999999999999996</v>
      </c>
      <c r="F850" t="s">
        <v>216</v>
      </c>
      <c r="G850" s="92">
        <v>45765.625856481478</v>
      </c>
    </row>
    <row r="851" spans="1:7" x14ac:dyDescent="0.2">
      <c r="A851" t="s">
        <v>406</v>
      </c>
      <c r="B851">
        <v>26.5</v>
      </c>
      <c r="C851">
        <v>40.200000000000003</v>
      </c>
      <c r="D851">
        <v>30.4</v>
      </c>
      <c r="E851">
        <v>7.2</v>
      </c>
      <c r="F851" t="s">
        <v>216</v>
      </c>
      <c r="G851" s="92">
        <v>45765.62903935185</v>
      </c>
    </row>
    <row r="852" spans="1:7" x14ac:dyDescent="0.2">
      <c r="A852" t="s">
        <v>641</v>
      </c>
      <c r="B852">
        <v>24.9</v>
      </c>
      <c r="C852">
        <v>22.2</v>
      </c>
      <c r="D852">
        <v>34.200000000000003</v>
      </c>
      <c r="E852">
        <v>1.9</v>
      </c>
      <c r="F852" t="s">
        <v>216</v>
      </c>
      <c r="G852" s="92">
        <v>45765.57476851852</v>
      </c>
    </row>
    <row r="853" spans="1:7" x14ac:dyDescent="0.2">
      <c r="A853" t="s">
        <v>518</v>
      </c>
      <c r="B853">
        <v>50.5</v>
      </c>
      <c r="C853">
        <v>12.5</v>
      </c>
      <c r="D853">
        <v>41.5</v>
      </c>
      <c r="E853">
        <v>4.5999999999999996</v>
      </c>
      <c r="F853" t="s">
        <v>216</v>
      </c>
      <c r="G853" s="92">
        <v>45765.581307870372</v>
      </c>
    </row>
    <row r="854" spans="1:7" x14ac:dyDescent="0.2">
      <c r="A854" t="s">
        <v>517</v>
      </c>
      <c r="B854">
        <v>45</v>
      </c>
      <c r="C854">
        <v>30.1</v>
      </c>
      <c r="D854">
        <v>33</v>
      </c>
      <c r="E854">
        <v>2.7</v>
      </c>
      <c r="F854" t="s">
        <v>216</v>
      </c>
      <c r="G854" s="92">
        <v>45765.592395833337</v>
      </c>
    </row>
    <row r="855" spans="1:7" x14ac:dyDescent="0.2">
      <c r="A855" t="s">
        <v>520</v>
      </c>
      <c r="B855">
        <v>71.8</v>
      </c>
      <c r="C855">
        <v>33.5</v>
      </c>
      <c r="D855">
        <v>30.5</v>
      </c>
      <c r="E855">
        <v>8.1</v>
      </c>
      <c r="F855" t="s">
        <v>216</v>
      </c>
      <c r="G855" s="92">
        <v>45765.593194444446</v>
      </c>
    </row>
    <row r="856" spans="1:7" x14ac:dyDescent="0.2">
      <c r="A856" t="s">
        <v>519</v>
      </c>
      <c r="B856">
        <v>31</v>
      </c>
      <c r="C856">
        <v>33.200000000000003</v>
      </c>
      <c r="D856">
        <v>71.7</v>
      </c>
      <c r="E856">
        <v>7.8</v>
      </c>
      <c r="F856" t="s">
        <v>216</v>
      </c>
      <c r="G856" s="92">
        <v>45765.592083333337</v>
      </c>
    </row>
    <row r="857" spans="1:7" x14ac:dyDescent="0.2">
      <c r="A857" t="s">
        <v>405</v>
      </c>
      <c r="B857">
        <v>29.6</v>
      </c>
      <c r="C857">
        <v>36.799999999999997</v>
      </c>
      <c r="D857">
        <v>60.7</v>
      </c>
      <c r="E857">
        <v>12.7</v>
      </c>
      <c r="F857" t="s">
        <v>216</v>
      </c>
      <c r="G857" s="92">
        <v>45764.62400462963</v>
      </c>
    </row>
    <row r="858" spans="1:7" x14ac:dyDescent="0.2">
      <c r="A858" t="s">
        <v>404</v>
      </c>
      <c r="B858">
        <v>29.4</v>
      </c>
      <c r="C858">
        <v>37.5</v>
      </c>
      <c r="D858">
        <v>60.8</v>
      </c>
      <c r="E858">
        <v>13.3</v>
      </c>
      <c r="F858" t="s">
        <v>216</v>
      </c>
      <c r="G858" s="92">
        <v>45764.623472222222</v>
      </c>
    </row>
    <row r="859" spans="1:7" x14ac:dyDescent="0.2">
      <c r="A859" t="s">
        <v>516</v>
      </c>
      <c r="B859">
        <v>26.7</v>
      </c>
      <c r="C859">
        <v>20.3</v>
      </c>
      <c r="D859">
        <v>33.6</v>
      </c>
      <c r="E859">
        <v>2.9</v>
      </c>
      <c r="F859" t="s">
        <v>216</v>
      </c>
      <c r="G859" s="92">
        <v>45764.651909722219</v>
      </c>
    </row>
    <row r="860" spans="1:7" x14ac:dyDescent="0.2">
      <c r="A860" t="s">
        <v>401</v>
      </c>
      <c r="B860">
        <v>17.100000000000001</v>
      </c>
      <c r="C860">
        <v>13.3</v>
      </c>
      <c r="D860">
        <v>24.4</v>
      </c>
      <c r="E860">
        <v>0.3</v>
      </c>
      <c r="F860" t="s">
        <v>216</v>
      </c>
      <c r="G860" s="92">
        <v>45764.621157407404</v>
      </c>
    </row>
    <row r="861" spans="1:7" x14ac:dyDescent="0.2">
      <c r="A861" t="s">
        <v>402</v>
      </c>
      <c r="B861">
        <v>37.6</v>
      </c>
      <c r="C861">
        <v>25.1</v>
      </c>
      <c r="D861">
        <v>37.6</v>
      </c>
      <c r="E861">
        <v>2.9</v>
      </c>
      <c r="F861" t="s">
        <v>216</v>
      </c>
      <c r="G861" s="92">
        <v>45764.622094907405</v>
      </c>
    </row>
    <row r="862" spans="1:7" x14ac:dyDescent="0.2">
      <c r="A862" t="s">
        <v>403</v>
      </c>
      <c r="B862">
        <v>30.8</v>
      </c>
      <c r="C862">
        <v>32.9</v>
      </c>
      <c r="D862">
        <v>71.900000000000006</v>
      </c>
      <c r="E862">
        <v>7.8</v>
      </c>
      <c r="F862" t="s">
        <v>216</v>
      </c>
      <c r="G862" s="92">
        <v>45764.622465277775</v>
      </c>
    </row>
    <row r="863" spans="1:7" x14ac:dyDescent="0.2">
      <c r="A863" t="s">
        <v>400</v>
      </c>
      <c r="B863">
        <v>23</v>
      </c>
      <c r="C863">
        <v>10</v>
      </c>
      <c r="D863">
        <v>9.6999999999999993</v>
      </c>
      <c r="E863">
        <v>0.3</v>
      </c>
      <c r="F863" t="s">
        <v>216</v>
      </c>
      <c r="G863" s="92">
        <v>45763.706099537034</v>
      </c>
    </row>
    <row r="864" spans="1:7" x14ac:dyDescent="0.2">
      <c r="A864" t="s">
        <v>398</v>
      </c>
      <c r="B864">
        <v>28.9</v>
      </c>
      <c r="C864">
        <v>13.6</v>
      </c>
      <c r="D864">
        <v>27.5</v>
      </c>
      <c r="E864">
        <v>0.7</v>
      </c>
      <c r="F864" t="s">
        <v>216</v>
      </c>
      <c r="G864" s="92">
        <v>45763.67496527778</v>
      </c>
    </row>
    <row r="865" spans="1:7" x14ac:dyDescent="0.2">
      <c r="A865" t="s">
        <v>399</v>
      </c>
      <c r="B865">
        <v>45.8</v>
      </c>
      <c r="C865">
        <v>34.5</v>
      </c>
      <c r="D865">
        <v>44.5</v>
      </c>
      <c r="E865">
        <v>25.5</v>
      </c>
      <c r="F865" t="s">
        <v>216</v>
      </c>
      <c r="G865" s="92">
        <v>45763.675763888888</v>
      </c>
    </row>
    <row r="866" spans="1:7" x14ac:dyDescent="0.2">
      <c r="A866" t="s">
        <v>397</v>
      </c>
      <c r="B866">
        <v>43.1</v>
      </c>
      <c r="C866">
        <v>28.7</v>
      </c>
      <c r="D866">
        <v>31.6</v>
      </c>
      <c r="E866">
        <v>2.4</v>
      </c>
      <c r="F866" t="s">
        <v>216</v>
      </c>
      <c r="G866" s="92">
        <v>45763.679351851853</v>
      </c>
    </row>
    <row r="867" spans="1:7" x14ac:dyDescent="0.2">
      <c r="A867" t="s">
        <v>394</v>
      </c>
      <c r="B867">
        <v>25.5</v>
      </c>
      <c r="C867">
        <v>44.8</v>
      </c>
      <c r="D867">
        <v>25.4</v>
      </c>
      <c r="E867">
        <v>1.4</v>
      </c>
      <c r="F867" t="s">
        <v>216</v>
      </c>
      <c r="G867" s="92">
        <v>45763.612037037034</v>
      </c>
    </row>
    <row r="868" spans="1:7" x14ac:dyDescent="0.2">
      <c r="A868" t="s">
        <v>393</v>
      </c>
      <c r="B868">
        <v>32.1</v>
      </c>
      <c r="C868">
        <v>11.7</v>
      </c>
      <c r="D868">
        <v>27.1</v>
      </c>
      <c r="E868">
        <v>1</v>
      </c>
      <c r="F868" t="s">
        <v>216</v>
      </c>
      <c r="G868" s="92">
        <v>45763.607754629629</v>
      </c>
    </row>
    <row r="869" spans="1:7" x14ac:dyDescent="0.2">
      <c r="A869" t="s">
        <v>396</v>
      </c>
      <c r="B869">
        <v>37.799999999999997</v>
      </c>
      <c r="C869">
        <v>27.7</v>
      </c>
      <c r="D869">
        <v>32.5</v>
      </c>
      <c r="E869">
        <v>2.7</v>
      </c>
      <c r="F869" t="s">
        <v>216</v>
      </c>
      <c r="G869" s="92">
        <v>45763.616678240738</v>
      </c>
    </row>
    <row r="870" spans="1:7" x14ac:dyDescent="0.2">
      <c r="A870" t="s">
        <v>395</v>
      </c>
      <c r="B870">
        <v>30.9</v>
      </c>
      <c r="C870">
        <v>33</v>
      </c>
      <c r="D870">
        <v>72</v>
      </c>
      <c r="E870">
        <v>7.7</v>
      </c>
      <c r="F870" t="s">
        <v>216</v>
      </c>
      <c r="G870" s="92">
        <v>45763.615787037037</v>
      </c>
    </row>
    <row r="871" spans="1:7" x14ac:dyDescent="0.2">
      <c r="A871" t="s">
        <v>515</v>
      </c>
      <c r="B871">
        <v>30.9</v>
      </c>
      <c r="C871">
        <v>24.7</v>
      </c>
      <c r="D871">
        <v>22.8</v>
      </c>
      <c r="E871">
        <v>0.7</v>
      </c>
      <c r="F871" t="s">
        <v>216</v>
      </c>
      <c r="G871" s="92">
        <v>45762.691562499997</v>
      </c>
    </row>
    <row r="872" spans="1:7" x14ac:dyDescent="0.2">
      <c r="A872" t="s">
        <v>513</v>
      </c>
      <c r="B872">
        <v>42.4</v>
      </c>
      <c r="C872">
        <v>18</v>
      </c>
      <c r="D872">
        <v>29.2</v>
      </c>
      <c r="E872">
        <v>3.9</v>
      </c>
      <c r="F872" t="s">
        <v>216</v>
      </c>
      <c r="G872" s="92">
        <v>45762.623472222222</v>
      </c>
    </row>
    <row r="873" spans="1:7" x14ac:dyDescent="0.2">
      <c r="A873" t="s">
        <v>392</v>
      </c>
      <c r="B873">
        <v>39.6</v>
      </c>
      <c r="C873">
        <v>36</v>
      </c>
      <c r="D873">
        <v>35</v>
      </c>
      <c r="E873">
        <v>6.8</v>
      </c>
      <c r="F873" t="s">
        <v>216</v>
      </c>
      <c r="G873" s="92">
        <v>45762.618668981479</v>
      </c>
    </row>
    <row r="874" spans="1:7" x14ac:dyDescent="0.2">
      <c r="A874" t="s">
        <v>390</v>
      </c>
      <c r="B874">
        <v>38.299999999999997</v>
      </c>
      <c r="C874">
        <v>31.6</v>
      </c>
      <c r="D874">
        <v>28</v>
      </c>
      <c r="E874">
        <v>2.2000000000000002</v>
      </c>
      <c r="F874" t="s">
        <v>216</v>
      </c>
      <c r="G874" s="92">
        <v>45762.579768518517</v>
      </c>
    </row>
    <row r="875" spans="1:7" x14ac:dyDescent="0.2">
      <c r="A875" t="s">
        <v>391</v>
      </c>
      <c r="B875">
        <v>39.4</v>
      </c>
      <c r="C875">
        <v>39.299999999999997</v>
      </c>
      <c r="D875">
        <v>34.200000000000003</v>
      </c>
      <c r="E875">
        <v>10.3</v>
      </c>
      <c r="F875" t="s">
        <v>216</v>
      </c>
      <c r="G875" s="92">
        <v>45762.57608796296</v>
      </c>
    </row>
    <row r="876" spans="1:7" x14ac:dyDescent="0.2">
      <c r="A876" t="s">
        <v>389</v>
      </c>
      <c r="B876">
        <v>42</v>
      </c>
      <c r="C876">
        <v>20.6</v>
      </c>
      <c r="D876">
        <v>35.200000000000003</v>
      </c>
      <c r="E876">
        <v>3.6</v>
      </c>
      <c r="F876" t="s">
        <v>216</v>
      </c>
      <c r="G876" s="92">
        <v>45762.568912037037</v>
      </c>
    </row>
    <row r="877" spans="1:7" x14ac:dyDescent="0.2">
      <c r="A877" t="s">
        <v>639</v>
      </c>
      <c r="B877">
        <v>71.900000000000006</v>
      </c>
      <c r="C877">
        <v>32.9</v>
      </c>
      <c r="D877">
        <v>30.6</v>
      </c>
      <c r="E877">
        <v>7.9</v>
      </c>
      <c r="F877" t="s">
        <v>216</v>
      </c>
      <c r="G877" s="92">
        <v>45762.464259259257</v>
      </c>
    </row>
    <row r="878" spans="1:7" x14ac:dyDescent="0.2">
      <c r="A878" t="s">
        <v>640</v>
      </c>
      <c r="B878">
        <v>44.7</v>
      </c>
      <c r="C878">
        <v>30.1</v>
      </c>
      <c r="D878">
        <v>33</v>
      </c>
      <c r="E878">
        <v>3</v>
      </c>
      <c r="F878" t="s">
        <v>216</v>
      </c>
      <c r="G878" s="92">
        <v>45762.464629629627</v>
      </c>
    </row>
    <row r="879" spans="1:7" x14ac:dyDescent="0.2">
      <c r="A879" t="s">
        <v>388</v>
      </c>
      <c r="B879">
        <v>50</v>
      </c>
      <c r="C879">
        <v>25.8</v>
      </c>
      <c r="D879">
        <v>39.200000000000003</v>
      </c>
      <c r="E879">
        <v>10.6</v>
      </c>
      <c r="F879" t="s">
        <v>216</v>
      </c>
      <c r="G879" s="92">
        <v>45762.408321759256</v>
      </c>
    </row>
    <row r="880" spans="1:7" x14ac:dyDescent="0.2">
      <c r="A880" t="s">
        <v>514</v>
      </c>
      <c r="B880">
        <v>38</v>
      </c>
      <c r="C880">
        <v>28.1</v>
      </c>
      <c r="D880">
        <v>26.6</v>
      </c>
      <c r="E880">
        <v>2.8</v>
      </c>
      <c r="F880" t="s">
        <v>216</v>
      </c>
      <c r="G880" s="92">
        <v>45761.658402777779</v>
      </c>
    </row>
    <row r="881" spans="1:7" x14ac:dyDescent="0.2">
      <c r="A881" t="s">
        <v>387</v>
      </c>
      <c r="B881">
        <v>35.299999999999997</v>
      </c>
      <c r="C881">
        <v>29.9</v>
      </c>
      <c r="D881">
        <v>28.3</v>
      </c>
      <c r="E881">
        <v>3.7</v>
      </c>
      <c r="F881" t="s">
        <v>216</v>
      </c>
      <c r="G881" s="92">
        <v>45761.611875000002</v>
      </c>
    </row>
    <row r="882" spans="1:7" x14ac:dyDescent="0.2">
      <c r="A882" t="s">
        <v>511</v>
      </c>
      <c r="B882">
        <v>27</v>
      </c>
      <c r="C882">
        <v>18.899999999999999</v>
      </c>
      <c r="D882">
        <v>37.4</v>
      </c>
      <c r="E882">
        <v>1.4</v>
      </c>
      <c r="F882" t="s">
        <v>216</v>
      </c>
      <c r="G882" s="92">
        <v>45761.616550925923</v>
      </c>
    </row>
    <row r="883" spans="1:7" x14ac:dyDescent="0.2">
      <c r="A883" t="s">
        <v>385</v>
      </c>
      <c r="B883">
        <v>41.8</v>
      </c>
      <c r="C883">
        <v>53.5</v>
      </c>
      <c r="D883">
        <v>51.7</v>
      </c>
      <c r="E883">
        <v>15.4</v>
      </c>
      <c r="F883" t="s">
        <v>216</v>
      </c>
      <c r="G883" s="92">
        <v>45761.394004629627</v>
      </c>
    </row>
    <row r="884" spans="1:7" x14ac:dyDescent="0.2">
      <c r="A884" t="s">
        <v>384</v>
      </c>
      <c r="B884">
        <v>48.8</v>
      </c>
      <c r="C884">
        <v>20.6</v>
      </c>
      <c r="D884">
        <v>48.7</v>
      </c>
      <c r="E884">
        <v>10.199999999999999</v>
      </c>
      <c r="F884" t="s">
        <v>216</v>
      </c>
      <c r="G884" s="92">
        <v>45761.393553240741</v>
      </c>
    </row>
    <row r="885" spans="1:7" x14ac:dyDescent="0.2">
      <c r="A885" t="s">
        <v>383</v>
      </c>
      <c r="B885">
        <v>41.6</v>
      </c>
      <c r="C885">
        <v>53.6</v>
      </c>
      <c r="D885">
        <v>51.7</v>
      </c>
      <c r="E885">
        <v>7.9</v>
      </c>
      <c r="F885" t="s">
        <v>216</v>
      </c>
      <c r="G885" s="92">
        <v>45761.393067129633</v>
      </c>
    </row>
    <row r="886" spans="1:7" x14ac:dyDescent="0.2">
      <c r="A886" t="s">
        <v>386</v>
      </c>
      <c r="B886">
        <v>41.9</v>
      </c>
      <c r="C886">
        <v>53.7</v>
      </c>
      <c r="D886">
        <v>52.4</v>
      </c>
      <c r="E886">
        <v>10.9</v>
      </c>
      <c r="F886" t="s">
        <v>216</v>
      </c>
      <c r="G886" s="92">
        <v>45761.394594907404</v>
      </c>
    </row>
    <row r="887" spans="1:7" x14ac:dyDescent="0.2">
      <c r="A887" t="s">
        <v>382</v>
      </c>
      <c r="B887">
        <v>36.200000000000003</v>
      </c>
      <c r="C887">
        <v>25.9</v>
      </c>
      <c r="D887">
        <v>48</v>
      </c>
      <c r="E887">
        <v>4.5999999999999996</v>
      </c>
      <c r="F887" t="s">
        <v>216</v>
      </c>
      <c r="G887" s="92">
        <v>45761.39261574074</v>
      </c>
    </row>
    <row r="888" spans="1:7" x14ac:dyDescent="0.2">
      <c r="A888" t="s">
        <v>381</v>
      </c>
      <c r="B888">
        <v>48.9</v>
      </c>
      <c r="C888">
        <v>28.2</v>
      </c>
      <c r="D888">
        <v>36.9</v>
      </c>
      <c r="E888">
        <v>7.3</v>
      </c>
      <c r="F888" t="s">
        <v>216</v>
      </c>
      <c r="G888" s="92">
        <v>45761.391689814816</v>
      </c>
    </row>
    <row r="889" spans="1:7" x14ac:dyDescent="0.2">
      <c r="A889" t="s">
        <v>378</v>
      </c>
      <c r="B889">
        <v>41.4</v>
      </c>
      <c r="C889">
        <v>53.5</v>
      </c>
      <c r="D889">
        <v>51.8</v>
      </c>
      <c r="E889">
        <v>15.3</v>
      </c>
      <c r="F889" t="s">
        <v>231</v>
      </c>
      <c r="G889" s="92">
        <v>45759.494525462964</v>
      </c>
    </row>
    <row r="890" spans="1:7" x14ac:dyDescent="0.2">
      <c r="A890" t="s">
        <v>375</v>
      </c>
      <c r="B890">
        <v>48.4</v>
      </c>
      <c r="C890">
        <v>20.5</v>
      </c>
      <c r="D890">
        <v>47.5</v>
      </c>
      <c r="E890">
        <v>10.199999999999999</v>
      </c>
      <c r="F890" t="s">
        <v>231</v>
      </c>
      <c r="G890" s="92">
        <v>45759.492847222224</v>
      </c>
    </row>
    <row r="891" spans="1:7" x14ac:dyDescent="0.2">
      <c r="A891" t="s">
        <v>380</v>
      </c>
      <c r="B891">
        <v>41.4</v>
      </c>
      <c r="C891">
        <v>54.2</v>
      </c>
      <c r="D891">
        <v>51.4</v>
      </c>
      <c r="E891">
        <v>7.9</v>
      </c>
      <c r="F891" t="s">
        <v>231</v>
      </c>
      <c r="G891" s="92">
        <v>45759.49554398148</v>
      </c>
    </row>
    <row r="892" spans="1:7" x14ac:dyDescent="0.2">
      <c r="A892" t="s">
        <v>379</v>
      </c>
      <c r="B892">
        <v>41.5</v>
      </c>
      <c r="C892">
        <v>53.6</v>
      </c>
      <c r="D892">
        <v>52.3</v>
      </c>
      <c r="E892">
        <v>10.9</v>
      </c>
      <c r="F892" t="s">
        <v>231</v>
      </c>
      <c r="G892" s="92">
        <v>45759.495081018518</v>
      </c>
    </row>
    <row r="893" spans="1:7" x14ac:dyDescent="0.2">
      <c r="A893" t="s">
        <v>377</v>
      </c>
      <c r="B893">
        <v>36.1</v>
      </c>
      <c r="C893">
        <v>25.9</v>
      </c>
      <c r="D893">
        <v>48.3</v>
      </c>
      <c r="E893">
        <v>4.5</v>
      </c>
      <c r="F893" t="s">
        <v>231</v>
      </c>
      <c r="G893" s="92">
        <v>45759.493888888886</v>
      </c>
    </row>
    <row r="894" spans="1:7" x14ac:dyDescent="0.2">
      <c r="A894" t="s">
        <v>376</v>
      </c>
      <c r="B894">
        <v>36.5</v>
      </c>
      <c r="C894">
        <v>28.2</v>
      </c>
      <c r="D894">
        <v>48.7</v>
      </c>
      <c r="E894">
        <v>7.3</v>
      </c>
      <c r="F894" t="s">
        <v>231</v>
      </c>
      <c r="G894" s="92">
        <v>45759.493472222224</v>
      </c>
    </row>
    <row r="895" spans="1:7" x14ac:dyDescent="0.2">
      <c r="A895" t="s">
        <v>512</v>
      </c>
      <c r="B895">
        <v>48.6</v>
      </c>
      <c r="C895">
        <v>29.6</v>
      </c>
      <c r="D895">
        <v>36.799999999999997</v>
      </c>
      <c r="E895">
        <v>4.9000000000000004</v>
      </c>
      <c r="F895" t="s">
        <v>216</v>
      </c>
      <c r="G895" s="92">
        <v>45758.664583333331</v>
      </c>
    </row>
    <row r="896" spans="1:7" x14ac:dyDescent="0.2">
      <c r="A896" t="s">
        <v>374</v>
      </c>
      <c r="B896">
        <v>50.1</v>
      </c>
      <c r="C896">
        <v>25.6</v>
      </c>
      <c r="D896">
        <v>31.4</v>
      </c>
      <c r="E896">
        <v>15</v>
      </c>
      <c r="F896" t="s">
        <v>216</v>
      </c>
      <c r="G896" s="92">
        <v>45758.579965277779</v>
      </c>
    </row>
    <row r="897" spans="1:7" x14ac:dyDescent="0.2">
      <c r="A897" t="s">
        <v>372</v>
      </c>
      <c r="B897">
        <v>41.4</v>
      </c>
      <c r="C897">
        <v>21.4</v>
      </c>
      <c r="D897">
        <v>30.1</v>
      </c>
      <c r="E897">
        <v>16.5</v>
      </c>
      <c r="F897" t="s">
        <v>216</v>
      </c>
      <c r="G897" s="92">
        <v>45758.578761574077</v>
      </c>
    </row>
    <row r="898" spans="1:7" x14ac:dyDescent="0.2">
      <c r="A898" t="s">
        <v>373</v>
      </c>
      <c r="B898">
        <v>41.9</v>
      </c>
      <c r="C898">
        <v>20.8</v>
      </c>
      <c r="D898">
        <v>29.4</v>
      </c>
      <c r="E898">
        <v>16.399999999999999</v>
      </c>
      <c r="F898" t="s">
        <v>216</v>
      </c>
      <c r="G898" s="92">
        <v>45758.579201388886</v>
      </c>
    </row>
    <row r="899" spans="1:7" x14ac:dyDescent="0.2">
      <c r="A899" t="s">
        <v>509</v>
      </c>
      <c r="B899">
        <v>28.7</v>
      </c>
      <c r="C899">
        <v>20.5</v>
      </c>
      <c r="D899">
        <v>26.8</v>
      </c>
      <c r="E899">
        <v>1.6</v>
      </c>
      <c r="F899" t="s">
        <v>216</v>
      </c>
      <c r="G899" s="92">
        <v>45757.722233796296</v>
      </c>
    </row>
    <row r="900" spans="1:7" x14ac:dyDescent="0.2">
      <c r="A900" t="s">
        <v>370</v>
      </c>
      <c r="B900">
        <v>46.5</v>
      </c>
      <c r="C900">
        <v>32.700000000000003</v>
      </c>
      <c r="D900">
        <v>37</v>
      </c>
      <c r="E900">
        <v>12.5</v>
      </c>
      <c r="F900" t="s">
        <v>216</v>
      </c>
      <c r="G900" s="92">
        <v>45757.68509259259</v>
      </c>
    </row>
    <row r="901" spans="1:7" x14ac:dyDescent="0.2">
      <c r="A901" t="s">
        <v>371</v>
      </c>
      <c r="B901">
        <v>46.5</v>
      </c>
      <c r="C901">
        <v>33.1</v>
      </c>
      <c r="D901">
        <v>37.299999999999997</v>
      </c>
      <c r="E901">
        <v>13.4</v>
      </c>
      <c r="F901" t="s">
        <v>216</v>
      </c>
      <c r="G901" s="92">
        <v>45757.684351851851</v>
      </c>
    </row>
    <row r="902" spans="1:7" x14ac:dyDescent="0.2">
      <c r="A902" t="s">
        <v>510</v>
      </c>
      <c r="B902">
        <v>24.1</v>
      </c>
      <c r="C902">
        <v>25.9</v>
      </c>
      <c r="D902">
        <v>30.8</v>
      </c>
      <c r="E902">
        <v>6</v>
      </c>
      <c r="F902" t="s">
        <v>216</v>
      </c>
      <c r="G902" s="92">
        <v>45757.619097222225</v>
      </c>
    </row>
    <row r="903" spans="1:7" x14ac:dyDescent="0.2">
      <c r="A903" t="s">
        <v>637</v>
      </c>
      <c r="B903">
        <v>57.6</v>
      </c>
      <c r="C903">
        <v>16.100000000000001</v>
      </c>
      <c r="D903">
        <v>41.5</v>
      </c>
      <c r="E903">
        <v>2.6</v>
      </c>
      <c r="F903" t="s">
        <v>216</v>
      </c>
      <c r="G903" s="92">
        <v>45757.644780092596</v>
      </c>
    </row>
    <row r="904" spans="1:7" x14ac:dyDescent="0.2">
      <c r="A904" t="s">
        <v>638</v>
      </c>
      <c r="B904">
        <v>48.3</v>
      </c>
      <c r="C904">
        <v>18.100000000000001</v>
      </c>
      <c r="D904">
        <v>49.3</v>
      </c>
      <c r="E904">
        <v>3.9</v>
      </c>
      <c r="F904" t="s">
        <v>216</v>
      </c>
      <c r="G904" s="92">
        <v>45757.645520833335</v>
      </c>
    </row>
    <row r="905" spans="1:7" x14ac:dyDescent="0.2">
      <c r="A905" t="s">
        <v>369</v>
      </c>
      <c r="B905">
        <v>42.3</v>
      </c>
      <c r="C905">
        <v>73.599999999999994</v>
      </c>
      <c r="D905">
        <v>53.7</v>
      </c>
      <c r="E905">
        <v>10.5</v>
      </c>
      <c r="F905" t="s">
        <v>216</v>
      </c>
      <c r="G905" s="92">
        <v>45757.587395833332</v>
      </c>
    </row>
    <row r="906" spans="1:7" x14ac:dyDescent="0.2">
      <c r="A906" t="s">
        <v>366</v>
      </c>
      <c r="B906">
        <v>38.9</v>
      </c>
      <c r="C906">
        <v>39</v>
      </c>
      <c r="D906">
        <v>34.200000000000003</v>
      </c>
      <c r="E906">
        <v>1.9</v>
      </c>
      <c r="F906" t="s">
        <v>216</v>
      </c>
      <c r="G906" s="92">
        <v>45757.579398148147</v>
      </c>
    </row>
    <row r="907" spans="1:7" x14ac:dyDescent="0.2">
      <c r="A907" t="s">
        <v>368</v>
      </c>
      <c r="B907">
        <v>33</v>
      </c>
      <c r="C907">
        <v>24.3</v>
      </c>
      <c r="D907">
        <v>31.7</v>
      </c>
      <c r="E907">
        <v>2.8</v>
      </c>
      <c r="F907" t="s">
        <v>216</v>
      </c>
      <c r="G907" s="92">
        <v>45757.569849537038</v>
      </c>
    </row>
    <row r="908" spans="1:7" x14ac:dyDescent="0.2">
      <c r="A908" t="s">
        <v>367</v>
      </c>
      <c r="B908">
        <v>32.9</v>
      </c>
      <c r="C908">
        <v>24.5</v>
      </c>
      <c r="D908">
        <v>31.5</v>
      </c>
      <c r="E908">
        <v>2.7</v>
      </c>
      <c r="F908" t="s">
        <v>216</v>
      </c>
      <c r="G908" s="92">
        <v>45757.56832175926</v>
      </c>
    </row>
    <row r="909" spans="1:7" x14ac:dyDescent="0.2">
      <c r="A909" t="s">
        <v>308</v>
      </c>
      <c r="B909">
        <v>33</v>
      </c>
      <c r="C909">
        <v>24.4</v>
      </c>
      <c r="D909">
        <v>31.8</v>
      </c>
      <c r="E909">
        <v>2.7</v>
      </c>
      <c r="F909" t="s">
        <v>216</v>
      </c>
      <c r="G909" s="92">
        <v>45757.56763888889</v>
      </c>
    </row>
    <row r="910" spans="1:7" x14ac:dyDescent="0.2">
      <c r="A910" t="s">
        <v>365</v>
      </c>
      <c r="B910">
        <v>75.900000000000006</v>
      </c>
      <c r="C910">
        <v>33.700000000000003</v>
      </c>
      <c r="D910">
        <v>61.8</v>
      </c>
      <c r="E910">
        <v>10.199999999999999</v>
      </c>
      <c r="F910" t="s">
        <v>216</v>
      </c>
      <c r="G910" s="92">
        <v>45757.453333333331</v>
      </c>
    </row>
    <row r="911" spans="1:7" x14ac:dyDescent="0.2">
      <c r="A911" t="s">
        <v>305</v>
      </c>
      <c r="B911">
        <v>27.2</v>
      </c>
      <c r="C911">
        <v>28.5</v>
      </c>
      <c r="D911">
        <v>27.6</v>
      </c>
      <c r="E911">
        <v>8.8000000000000007</v>
      </c>
      <c r="F911" t="s">
        <v>216</v>
      </c>
      <c r="G911" s="92">
        <v>45756.722129629627</v>
      </c>
    </row>
    <row r="912" spans="1:7" x14ac:dyDescent="0.2">
      <c r="A912" t="s">
        <v>306</v>
      </c>
      <c r="B912">
        <v>27.7</v>
      </c>
      <c r="C912">
        <v>28.9</v>
      </c>
      <c r="D912">
        <v>27.1</v>
      </c>
      <c r="E912">
        <v>8.8000000000000007</v>
      </c>
      <c r="F912" t="s">
        <v>216</v>
      </c>
      <c r="G912" s="92">
        <v>45756.722511574073</v>
      </c>
    </row>
    <row r="913" spans="1:7" x14ac:dyDescent="0.2">
      <c r="A913" t="s">
        <v>307</v>
      </c>
      <c r="B913">
        <v>30.3</v>
      </c>
      <c r="C913">
        <v>40.299999999999997</v>
      </c>
      <c r="D913">
        <v>31.2</v>
      </c>
      <c r="E913">
        <v>19.600000000000001</v>
      </c>
      <c r="F913" t="s">
        <v>216</v>
      </c>
      <c r="G913" s="92">
        <v>45756.72284722222</v>
      </c>
    </row>
    <row r="914" spans="1:7" x14ac:dyDescent="0.2">
      <c r="A914" t="s">
        <v>635</v>
      </c>
      <c r="B914">
        <v>28.3</v>
      </c>
      <c r="C914">
        <v>22.1</v>
      </c>
      <c r="D914">
        <v>20.9</v>
      </c>
      <c r="E914">
        <v>0.4</v>
      </c>
      <c r="F914" t="s">
        <v>216</v>
      </c>
      <c r="G914" s="92">
        <v>45756.646631944444</v>
      </c>
    </row>
    <row r="915" spans="1:7" x14ac:dyDescent="0.2">
      <c r="A915" t="s">
        <v>508</v>
      </c>
      <c r="B915">
        <v>30.9</v>
      </c>
      <c r="C915">
        <v>17.8</v>
      </c>
      <c r="D915">
        <v>22.4</v>
      </c>
      <c r="E915">
        <v>0.4</v>
      </c>
      <c r="F915" t="s">
        <v>216</v>
      </c>
      <c r="G915" s="92">
        <v>45756.617523148147</v>
      </c>
    </row>
    <row r="916" spans="1:7" x14ac:dyDescent="0.2">
      <c r="A916" t="s">
        <v>507</v>
      </c>
      <c r="B916">
        <v>20</v>
      </c>
      <c r="C916">
        <v>9.5</v>
      </c>
      <c r="D916">
        <v>23.7</v>
      </c>
      <c r="E916">
        <v>0.4</v>
      </c>
      <c r="F916" t="s">
        <v>216</v>
      </c>
      <c r="G916" s="92">
        <v>45756.617118055554</v>
      </c>
    </row>
    <row r="917" spans="1:7" x14ac:dyDescent="0.2">
      <c r="A917" t="s">
        <v>505</v>
      </c>
      <c r="B917">
        <v>22</v>
      </c>
      <c r="C917">
        <v>8.4</v>
      </c>
      <c r="D917">
        <v>18.399999999999999</v>
      </c>
      <c r="E917">
        <v>0.3</v>
      </c>
      <c r="F917" t="s">
        <v>216</v>
      </c>
      <c r="G917" s="92">
        <v>45756.616562499999</v>
      </c>
    </row>
    <row r="918" spans="1:7" x14ac:dyDescent="0.2">
      <c r="A918" t="s">
        <v>636</v>
      </c>
      <c r="B918">
        <v>51.3</v>
      </c>
      <c r="C918">
        <v>12.4</v>
      </c>
      <c r="D918">
        <v>44</v>
      </c>
      <c r="E918">
        <v>3.3</v>
      </c>
      <c r="F918" t="s">
        <v>216</v>
      </c>
      <c r="G918" s="92">
        <v>45756.651909722219</v>
      </c>
    </row>
    <row r="919" spans="1:7" x14ac:dyDescent="0.2">
      <c r="A919" t="s">
        <v>364</v>
      </c>
      <c r="B919">
        <v>42.6</v>
      </c>
      <c r="C919">
        <v>13.1</v>
      </c>
      <c r="D919">
        <v>33.799999999999997</v>
      </c>
      <c r="E919">
        <v>10.7</v>
      </c>
      <c r="F919" t="s">
        <v>216</v>
      </c>
      <c r="G919" s="92">
        <v>45756.387812499997</v>
      </c>
    </row>
    <row r="920" spans="1:7" x14ac:dyDescent="0.2">
      <c r="A920" t="s">
        <v>634</v>
      </c>
      <c r="B920">
        <v>29.6</v>
      </c>
      <c r="C920">
        <v>10.4</v>
      </c>
      <c r="D920">
        <v>20.7</v>
      </c>
      <c r="E920">
        <v>1.3</v>
      </c>
      <c r="F920" t="s">
        <v>216</v>
      </c>
      <c r="G920" s="92">
        <v>45755.677233796298</v>
      </c>
    </row>
    <row r="921" spans="1:7" x14ac:dyDescent="0.2">
      <c r="A921" t="s">
        <v>633</v>
      </c>
      <c r="B921">
        <v>24.7</v>
      </c>
      <c r="C921">
        <v>24.6</v>
      </c>
      <c r="D921">
        <v>30.2</v>
      </c>
      <c r="E921">
        <v>1.4</v>
      </c>
      <c r="F921" t="s">
        <v>216</v>
      </c>
      <c r="G921" s="92">
        <v>45755.658865740741</v>
      </c>
    </row>
    <row r="922" spans="1:7" x14ac:dyDescent="0.2">
      <c r="A922" t="s">
        <v>506</v>
      </c>
      <c r="B922">
        <v>52.8</v>
      </c>
      <c r="C922">
        <v>34.200000000000003</v>
      </c>
      <c r="D922">
        <v>32.6</v>
      </c>
      <c r="E922">
        <v>4</v>
      </c>
      <c r="F922" t="s">
        <v>216</v>
      </c>
      <c r="G922" s="92">
        <v>45755.599872685183</v>
      </c>
    </row>
    <row r="923" spans="1:7" x14ac:dyDescent="0.2">
      <c r="A923" t="s">
        <v>363</v>
      </c>
      <c r="B923">
        <v>35.299999999999997</v>
      </c>
      <c r="C923">
        <v>27.9</v>
      </c>
      <c r="D923">
        <v>26.8</v>
      </c>
      <c r="E923">
        <v>15.8</v>
      </c>
      <c r="F923" t="s">
        <v>216</v>
      </c>
      <c r="G923" s="92">
        <v>45754.59480324074</v>
      </c>
    </row>
    <row r="924" spans="1:7" x14ac:dyDescent="0.2">
      <c r="A924" t="s">
        <v>362</v>
      </c>
      <c r="B924">
        <v>32.5</v>
      </c>
      <c r="C924">
        <v>24.8</v>
      </c>
      <c r="D924">
        <v>23.5</v>
      </c>
      <c r="E924">
        <v>1.4</v>
      </c>
      <c r="F924" t="s">
        <v>216</v>
      </c>
      <c r="G924" s="92">
        <v>45754.566192129627</v>
      </c>
    </row>
    <row r="925" spans="1:7" x14ac:dyDescent="0.2">
      <c r="A925" t="s">
        <v>303</v>
      </c>
      <c r="B925">
        <v>34.4</v>
      </c>
      <c r="C925">
        <v>24.6</v>
      </c>
      <c r="D925">
        <v>22.3</v>
      </c>
      <c r="E925">
        <v>2.1</v>
      </c>
      <c r="F925" t="s">
        <v>196</v>
      </c>
      <c r="G925" s="92">
        <v>45752.495659722219</v>
      </c>
    </row>
    <row r="926" spans="1:7" x14ac:dyDescent="0.2">
      <c r="A926" t="s">
        <v>304</v>
      </c>
      <c r="B926">
        <v>54.7</v>
      </c>
      <c r="C926">
        <v>41</v>
      </c>
      <c r="D926">
        <v>21.2</v>
      </c>
      <c r="E926">
        <v>15.2</v>
      </c>
      <c r="F926" t="s">
        <v>196</v>
      </c>
      <c r="G926" s="92">
        <v>45752.547974537039</v>
      </c>
    </row>
    <row r="927" spans="1:7" x14ac:dyDescent="0.2">
      <c r="A927" t="s">
        <v>632</v>
      </c>
      <c r="B927">
        <v>26.2</v>
      </c>
      <c r="C927">
        <v>16.3</v>
      </c>
      <c r="D927">
        <v>22.9</v>
      </c>
      <c r="E927">
        <v>1.6</v>
      </c>
      <c r="F927" t="s">
        <v>216</v>
      </c>
      <c r="G927" s="92">
        <v>45750.674340277779</v>
      </c>
    </row>
    <row r="928" spans="1:7" x14ac:dyDescent="0.2">
      <c r="A928" t="s">
        <v>302</v>
      </c>
      <c r="B928">
        <v>34.200000000000003</v>
      </c>
      <c r="C928">
        <v>38.9</v>
      </c>
      <c r="D928">
        <v>39.200000000000003</v>
      </c>
      <c r="E928">
        <v>16.2</v>
      </c>
      <c r="F928" t="s">
        <v>216</v>
      </c>
      <c r="G928" s="92">
        <v>45750.656319444446</v>
      </c>
    </row>
    <row r="929" spans="1:7" x14ac:dyDescent="0.2">
      <c r="A929" t="s">
        <v>631</v>
      </c>
      <c r="B929">
        <v>24.4</v>
      </c>
      <c r="C929">
        <v>11.7</v>
      </c>
      <c r="D929">
        <v>12.3</v>
      </c>
      <c r="E929">
        <v>1.2</v>
      </c>
      <c r="F929" t="s">
        <v>216</v>
      </c>
      <c r="G929" s="92">
        <v>45750.566574074073</v>
      </c>
    </row>
    <row r="930" spans="1:7" x14ac:dyDescent="0.2">
      <c r="A930" t="s">
        <v>301</v>
      </c>
      <c r="B930">
        <v>51</v>
      </c>
      <c r="C930">
        <v>19</v>
      </c>
      <c r="D930">
        <v>28.5</v>
      </c>
      <c r="E930">
        <v>8</v>
      </c>
      <c r="F930" t="s">
        <v>216</v>
      </c>
      <c r="G930" s="92">
        <v>45749.670254629629</v>
      </c>
    </row>
    <row r="931" spans="1:7" x14ac:dyDescent="0.2">
      <c r="A931" t="s">
        <v>300</v>
      </c>
      <c r="B931">
        <v>28.2</v>
      </c>
      <c r="C931">
        <v>36.6</v>
      </c>
      <c r="D931">
        <v>43.9</v>
      </c>
      <c r="E931">
        <v>19.3</v>
      </c>
      <c r="F931" t="s">
        <v>216</v>
      </c>
      <c r="G931" s="92">
        <v>45749.657349537039</v>
      </c>
    </row>
    <row r="932" spans="1:7" x14ac:dyDescent="0.2">
      <c r="A932" t="s">
        <v>297</v>
      </c>
      <c r="B932">
        <v>32.9</v>
      </c>
      <c r="C932">
        <v>11.6</v>
      </c>
      <c r="D932">
        <v>27.1</v>
      </c>
      <c r="E932">
        <v>2</v>
      </c>
      <c r="F932" t="s">
        <v>216</v>
      </c>
      <c r="G932" s="92">
        <v>45749.62122685185</v>
      </c>
    </row>
    <row r="933" spans="1:7" x14ac:dyDescent="0.2">
      <c r="A933" t="s">
        <v>298</v>
      </c>
      <c r="B933">
        <v>41.8</v>
      </c>
      <c r="C933">
        <v>54.2</v>
      </c>
      <c r="D933">
        <v>51.6</v>
      </c>
      <c r="E933">
        <v>6.4</v>
      </c>
      <c r="F933" t="s">
        <v>216</v>
      </c>
      <c r="G933" s="92">
        <v>45749.625891203701</v>
      </c>
    </row>
    <row r="934" spans="1:7" x14ac:dyDescent="0.2">
      <c r="A934" t="s">
        <v>299</v>
      </c>
      <c r="B934">
        <v>42</v>
      </c>
      <c r="C934">
        <v>54.5</v>
      </c>
      <c r="D934">
        <v>52.4</v>
      </c>
      <c r="E934">
        <v>4.3</v>
      </c>
      <c r="F934" t="s">
        <v>216</v>
      </c>
      <c r="G934" s="92">
        <v>45749.626354166663</v>
      </c>
    </row>
    <row r="935" spans="1:7" x14ac:dyDescent="0.2">
      <c r="A935" t="s">
        <v>296</v>
      </c>
      <c r="B935">
        <v>26.9</v>
      </c>
      <c r="C935">
        <v>40.200000000000003</v>
      </c>
      <c r="D935">
        <v>26</v>
      </c>
      <c r="E935">
        <v>19.5</v>
      </c>
      <c r="F935" t="s">
        <v>216</v>
      </c>
      <c r="G935" s="92">
        <v>45749.579791666663</v>
      </c>
    </row>
    <row r="936" spans="1:7" x14ac:dyDescent="0.2">
      <c r="A936" t="s">
        <v>294</v>
      </c>
      <c r="B936">
        <v>19</v>
      </c>
      <c r="C936">
        <v>8.6999999999999993</v>
      </c>
      <c r="D936">
        <v>19</v>
      </c>
      <c r="E936">
        <v>0.4</v>
      </c>
      <c r="F936" t="s">
        <v>216</v>
      </c>
      <c r="G936" s="92">
        <v>45749.402025462965</v>
      </c>
    </row>
    <row r="937" spans="1:7" x14ac:dyDescent="0.2">
      <c r="A937" t="s">
        <v>295</v>
      </c>
      <c r="B937">
        <v>18.600000000000001</v>
      </c>
      <c r="C937">
        <v>8.6</v>
      </c>
      <c r="D937">
        <v>19.100000000000001</v>
      </c>
      <c r="E937">
        <v>0.4</v>
      </c>
      <c r="F937" t="s">
        <v>216</v>
      </c>
      <c r="G937" s="92">
        <v>45749.402604166666</v>
      </c>
    </row>
    <row r="938" spans="1:7" x14ac:dyDescent="0.2">
      <c r="A938" t="s">
        <v>419</v>
      </c>
      <c r="B938">
        <v>49.1</v>
      </c>
      <c r="C938">
        <v>37.200000000000003</v>
      </c>
      <c r="D938">
        <v>30.7</v>
      </c>
      <c r="E938">
        <v>15.9</v>
      </c>
      <c r="F938" t="s">
        <v>216</v>
      </c>
      <c r="G938" s="92">
        <v>45777.557615740741</v>
      </c>
    </row>
    <row r="939" spans="1:7" x14ac:dyDescent="0.2">
      <c r="A939" t="s">
        <v>417</v>
      </c>
      <c r="B939">
        <v>34</v>
      </c>
      <c r="C939">
        <v>33.5</v>
      </c>
      <c r="D939">
        <v>35.5</v>
      </c>
      <c r="E939">
        <v>10.9</v>
      </c>
      <c r="F939" t="s">
        <v>231</v>
      </c>
      <c r="G939" s="92">
        <v>45773.482199074075</v>
      </c>
    </row>
    <row r="940" spans="1:7" x14ac:dyDescent="0.2">
      <c r="A940" t="s">
        <v>418</v>
      </c>
      <c r="B940">
        <v>33.9</v>
      </c>
      <c r="C940">
        <v>33.1</v>
      </c>
      <c r="D940">
        <v>35</v>
      </c>
      <c r="E940">
        <v>12.5</v>
      </c>
      <c r="F940" t="s">
        <v>231</v>
      </c>
      <c r="G940" s="92">
        <v>45773.482731481483</v>
      </c>
    </row>
    <row r="941" spans="1:7" x14ac:dyDescent="0.2">
      <c r="A941" t="s">
        <v>652</v>
      </c>
      <c r="B941">
        <v>37.5</v>
      </c>
      <c r="C941">
        <v>26.9</v>
      </c>
      <c r="D941">
        <v>45.7</v>
      </c>
      <c r="E941">
        <v>3.1</v>
      </c>
      <c r="F941" t="s">
        <v>196</v>
      </c>
      <c r="G941" s="92">
        <v>45772.604872685188</v>
      </c>
    </row>
    <row r="942" spans="1:7" x14ac:dyDescent="0.2">
      <c r="A942" t="s">
        <v>653</v>
      </c>
      <c r="B942">
        <v>50.4</v>
      </c>
      <c r="C942">
        <v>32.299999999999997</v>
      </c>
      <c r="D942">
        <v>38.5</v>
      </c>
      <c r="E942">
        <v>7.3</v>
      </c>
      <c r="F942" t="s">
        <v>196</v>
      </c>
      <c r="G942" s="92">
        <v>45772.595173611109</v>
      </c>
    </row>
    <row r="943" spans="1:7" x14ac:dyDescent="0.2">
      <c r="A943" t="s">
        <v>657</v>
      </c>
      <c r="B943">
        <v>60</v>
      </c>
      <c r="C943">
        <v>29.7</v>
      </c>
      <c r="D943">
        <v>40.9</v>
      </c>
      <c r="E943">
        <v>4.5</v>
      </c>
      <c r="F943" t="s">
        <v>196</v>
      </c>
      <c r="G943" s="92">
        <v>45772.60670138889</v>
      </c>
    </row>
    <row r="944" spans="1:7" x14ac:dyDescent="0.2">
      <c r="A944" t="s">
        <v>654</v>
      </c>
      <c r="B944">
        <v>59.3</v>
      </c>
      <c r="C944">
        <v>30.3</v>
      </c>
      <c r="D944">
        <v>40.700000000000003</v>
      </c>
      <c r="E944">
        <v>5.8</v>
      </c>
      <c r="F944" t="s">
        <v>196</v>
      </c>
      <c r="G944" s="92">
        <v>45772.605254629627</v>
      </c>
    </row>
    <row r="945" spans="1:7" x14ac:dyDescent="0.2">
      <c r="A945" t="s">
        <v>655</v>
      </c>
      <c r="B945">
        <v>52.9</v>
      </c>
      <c r="C945">
        <v>32.1</v>
      </c>
      <c r="D945">
        <v>33.5</v>
      </c>
      <c r="E945">
        <v>4.0999999999999996</v>
      </c>
      <c r="F945" t="s">
        <v>196</v>
      </c>
      <c r="G945" s="92">
        <v>45772.605567129627</v>
      </c>
    </row>
    <row r="946" spans="1:7" x14ac:dyDescent="0.2">
      <c r="A946" t="s">
        <v>656</v>
      </c>
      <c r="B946">
        <v>47</v>
      </c>
      <c r="C946">
        <v>46</v>
      </c>
      <c r="D946">
        <v>48.2</v>
      </c>
      <c r="E946">
        <v>7.4</v>
      </c>
      <c r="F946" t="s">
        <v>196</v>
      </c>
      <c r="G946" s="92">
        <v>45772.606099537035</v>
      </c>
    </row>
    <row r="947" spans="1:7" x14ac:dyDescent="0.2">
      <c r="A947" t="s">
        <v>415</v>
      </c>
      <c r="B947">
        <v>73</v>
      </c>
      <c r="C947">
        <v>12.1</v>
      </c>
      <c r="D947">
        <v>42.4</v>
      </c>
      <c r="E947">
        <v>3.4</v>
      </c>
      <c r="F947" t="s">
        <v>216</v>
      </c>
      <c r="G947" s="92">
        <v>45771.610972222225</v>
      </c>
    </row>
    <row r="948" spans="1:7" x14ac:dyDescent="0.2">
      <c r="A948" t="s">
        <v>522</v>
      </c>
      <c r="B948">
        <v>34.299999999999997</v>
      </c>
      <c r="C948">
        <v>10.5</v>
      </c>
      <c r="D948">
        <v>26.7</v>
      </c>
      <c r="E948">
        <v>0.7</v>
      </c>
      <c r="F948" t="s">
        <v>216</v>
      </c>
      <c r="G948" s="92">
        <v>45771.575428240743</v>
      </c>
    </row>
    <row r="949" spans="1:7" x14ac:dyDescent="0.2">
      <c r="A949" t="s">
        <v>361</v>
      </c>
      <c r="B949">
        <v>18.2</v>
      </c>
      <c r="C949">
        <v>8.6</v>
      </c>
      <c r="D949">
        <v>22.6</v>
      </c>
      <c r="E949">
        <v>0.6</v>
      </c>
      <c r="F949" t="s">
        <v>310</v>
      </c>
      <c r="G949" s="92">
        <v>45745.466099537036</v>
      </c>
    </row>
    <row r="950" spans="1:7" x14ac:dyDescent="0.2">
      <c r="A950" t="s">
        <v>360</v>
      </c>
      <c r="B950">
        <v>34.200000000000003</v>
      </c>
      <c r="C950">
        <v>38.6</v>
      </c>
      <c r="D950">
        <v>38.9</v>
      </c>
      <c r="E950">
        <v>9.1</v>
      </c>
      <c r="F950" t="s">
        <v>310</v>
      </c>
      <c r="G950" s="92">
        <v>45745.465462962966</v>
      </c>
    </row>
    <row r="951" spans="1:7" x14ac:dyDescent="0.2">
      <c r="A951" t="s">
        <v>293</v>
      </c>
      <c r="B951">
        <v>53.3</v>
      </c>
      <c r="C951">
        <v>50.3</v>
      </c>
      <c r="D951">
        <v>51.4</v>
      </c>
      <c r="E951">
        <v>14.8</v>
      </c>
      <c r="F951" t="s">
        <v>216</v>
      </c>
      <c r="G951" s="92">
        <v>45744.704097222224</v>
      </c>
    </row>
    <row r="952" spans="1:7" x14ac:dyDescent="0.2">
      <c r="A952" t="s">
        <v>292</v>
      </c>
      <c r="B952">
        <v>47.9</v>
      </c>
      <c r="C952">
        <v>45.6</v>
      </c>
      <c r="D952">
        <v>48</v>
      </c>
      <c r="E952">
        <v>11.4</v>
      </c>
      <c r="F952" t="s">
        <v>216</v>
      </c>
      <c r="G952" s="92">
        <v>45744.627847222226</v>
      </c>
    </row>
    <row r="953" spans="1:7" x14ac:dyDescent="0.2">
      <c r="A953" t="s">
        <v>359</v>
      </c>
      <c r="B953">
        <v>39</v>
      </c>
      <c r="C953">
        <v>40</v>
      </c>
      <c r="D953">
        <v>34.700000000000003</v>
      </c>
      <c r="E953">
        <v>5</v>
      </c>
      <c r="F953" t="s">
        <v>216</v>
      </c>
      <c r="G953" s="92">
        <v>45744.625555555554</v>
      </c>
    </row>
    <row r="954" spans="1:7" x14ac:dyDescent="0.2">
      <c r="A954" t="s">
        <v>291</v>
      </c>
      <c r="B954">
        <v>39.1</v>
      </c>
      <c r="C954">
        <v>39.6</v>
      </c>
      <c r="D954">
        <v>33.700000000000003</v>
      </c>
      <c r="E954">
        <v>7.2</v>
      </c>
      <c r="F954" t="s">
        <v>216</v>
      </c>
      <c r="G954" s="92">
        <v>45744.502835648149</v>
      </c>
    </row>
    <row r="955" spans="1:7" x14ac:dyDescent="0.2">
      <c r="A955" t="s">
        <v>630</v>
      </c>
      <c r="B955">
        <v>28.6</v>
      </c>
      <c r="C955">
        <v>30</v>
      </c>
      <c r="D955">
        <v>47.4</v>
      </c>
      <c r="E955">
        <v>19.7</v>
      </c>
      <c r="F955" t="s">
        <v>216</v>
      </c>
      <c r="G955" s="92">
        <v>45743.457696759258</v>
      </c>
    </row>
    <row r="956" spans="1:7" x14ac:dyDescent="0.2">
      <c r="A956" t="s">
        <v>358</v>
      </c>
      <c r="B956">
        <v>58.2</v>
      </c>
      <c r="C956">
        <v>41.1</v>
      </c>
      <c r="D956">
        <v>37.5</v>
      </c>
      <c r="E956">
        <v>10.7</v>
      </c>
      <c r="F956" t="s">
        <v>216</v>
      </c>
      <c r="G956" s="92">
        <v>45742.728958333333</v>
      </c>
    </row>
    <row r="957" spans="1:7" x14ac:dyDescent="0.2">
      <c r="A957" t="s">
        <v>290</v>
      </c>
      <c r="B957">
        <v>41.9</v>
      </c>
      <c r="C957">
        <v>53.6</v>
      </c>
      <c r="D957">
        <v>52.4</v>
      </c>
      <c r="E957">
        <v>4.2</v>
      </c>
      <c r="F957" t="s">
        <v>216</v>
      </c>
      <c r="G957" s="92">
        <v>45742.703888888886</v>
      </c>
    </row>
    <row r="958" spans="1:7" x14ac:dyDescent="0.2">
      <c r="A958" t="s">
        <v>289</v>
      </c>
      <c r="B958">
        <v>51.9</v>
      </c>
      <c r="C958">
        <v>53.7</v>
      </c>
      <c r="D958">
        <v>41.6</v>
      </c>
      <c r="E958">
        <v>10.4</v>
      </c>
      <c r="F958" t="s">
        <v>216</v>
      </c>
      <c r="G958" s="92">
        <v>45742.702974537038</v>
      </c>
    </row>
    <row r="959" spans="1:7" x14ac:dyDescent="0.2">
      <c r="A959" t="s">
        <v>288</v>
      </c>
      <c r="B959">
        <v>42.9</v>
      </c>
      <c r="C959">
        <v>26.2</v>
      </c>
      <c r="D959">
        <v>27.3</v>
      </c>
      <c r="E959">
        <v>4.5</v>
      </c>
      <c r="F959" t="s">
        <v>216</v>
      </c>
      <c r="G959" s="92">
        <v>45742.702546296299</v>
      </c>
    </row>
    <row r="960" spans="1:7" x14ac:dyDescent="0.2">
      <c r="A960" t="s">
        <v>287</v>
      </c>
      <c r="B960">
        <v>47.5</v>
      </c>
      <c r="C960">
        <v>34.200000000000003</v>
      </c>
      <c r="D960">
        <v>60.8</v>
      </c>
      <c r="E960">
        <v>5.5</v>
      </c>
      <c r="F960" t="s">
        <v>216</v>
      </c>
      <c r="G960" s="92">
        <v>45742.702094907407</v>
      </c>
    </row>
    <row r="961" spans="1:7" x14ac:dyDescent="0.2">
      <c r="A961" t="s">
        <v>286</v>
      </c>
      <c r="B961">
        <v>31.2</v>
      </c>
      <c r="C961">
        <v>20.2</v>
      </c>
      <c r="D961">
        <v>41.1</v>
      </c>
      <c r="E961">
        <v>4.8</v>
      </c>
      <c r="F961" t="s">
        <v>216</v>
      </c>
      <c r="G961" s="92">
        <v>45742.67324074074</v>
      </c>
    </row>
    <row r="962" spans="1:7" x14ac:dyDescent="0.2">
      <c r="A962" t="s">
        <v>285</v>
      </c>
      <c r="B962">
        <v>25.5</v>
      </c>
      <c r="C962">
        <v>16.899999999999999</v>
      </c>
      <c r="D962">
        <v>31.9</v>
      </c>
      <c r="E962">
        <v>0.9</v>
      </c>
      <c r="F962" t="s">
        <v>216</v>
      </c>
      <c r="G962" s="92">
        <v>45741.673217592594</v>
      </c>
    </row>
    <row r="963" spans="1:7" x14ac:dyDescent="0.2">
      <c r="A963" t="s">
        <v>284</v>
      </c>
      <c r="B963">
        <v>25.8</v>
      </c>
      <c r="C963">
        <v>17.3</v>
      </c>
      <c r="D963">
        <v>31.7</v>
      </c>
      <c r="E963">
        <v>0.9</v>
      </c>
      <c r="F963" t="s">
        <v>216</v>
      </c>
      <c r="G963" s="92">
        <v>45741.672812500001</v>
      </c>
    </row>
    <row r="964" spans="1:7" x14ac:dyDescent="0.2">
      <c r="A964" t="s">
        <v>283</v>
      </c>
      <c r="B964">
        <v>25.4</v>
      </c>
      <c r="C964">
        <v>16.8</v>
      </c>
      <c r="D964">
        <v>32</v>
      </c>
      <c r="E964">
        <v>0.9</v>
      </c>
      <c r="F964" t="s">
        <v>216</v>
      </c>
      <c r="G964" s="92">
        <v>45741.672291666669</v>
      </c>
    </row>
    <row r="965" spans="1:7" x14ac:dyDescent="0.2">
      <c r="A965" t="s">
        <v>282</v>
      </c>
      <c r="B965">
        <v>25.7</v>
      </c>
      <c r="C965">
        <v>17.399999999999999</v>
      </c>
      <c r="D965">
        <v>31.5</v>
      </c>
      <c r="E965">
        <v>0.9</v>
      </c>
      <c r="F965" t="s">
        <v>216</v>
      </c>
      <c r="G965" s="92">
        <v>45741.671400462961</v>
      </c>
    </row>
    <row r="966" spans="1:7" x14ac:dyDescent="0.2">
      <c r="A966" t="s">
        <v>281</v>
      </c>
      <c r="B966">
        <v>25.5</v>
      </c>
      <c r="C966">
        <v>16.8</v>
      </c>
      <c r="D966">
        <v>32</v>
      </c>
      <c r="E966">
        <v>0.9</v>
      </c>
      <c r="F966" t="s">
        <v>216</v>
      </c>
      <c r="G966" s="92">
        <v>45741.670798611114</v>
      </c>
    </row>
    <row r="967" spans="1:7" x14ac:dyDescent="0.2">
      <c r="A967" t="s">
        <v>280</v>
      </c>
      <c r="B967">
        <v>25.6</v>
      </c>
      <c r="C967">
        <v>17</v>
      </c>
      <c r="D967">
        <v>31.9</v>
      </c>
      <c r="E967">
        <v>0.9</v>
      </c>
      <c r="F967" t="s">
        <v>216</v>
      </c>
      <c r="G967" s="92">
        <v>45741.670335648145</v>
      </c>
    </row>
    <row r="968" spans="1:7" x14ac:dyDescent="0.2">
      <c r="A968" t="s">
        <v>278</v>
      </c>
      <c r="B968">
        <v>69.099999999999994</v>
      </c>
      <c r="C968">
        <v>33.4</v>
      </c>
      <c r="D968">
        <v>77.599999999999994</v>
      </c>
      <c r="E968">
        <v>12.4</v>
      </c>
      <c r="F968" t="s">
        <v>216</v>
      </c>
      <c r="G968" s="92">
        <v>45741.669560185182</v>
      </c>
    </row>
    <row r="969" spans="1:7" x14ac:dyDescent="0.2">
      <c r="A969" t="s">
        <v>356</v>
      </c>
      <c r="B969">
        <v>32.1</v>
      </c>
      <c r="C969">
        <v>13.3</v>
      </c>
      <c r="D969">
        <v>42.2</v>
      </c>
      <c r="E969">
        <v>4.5999999999999996</v>
      </c>
      <c r="F969" t="s">
        <v>216</v>
      </c>
      <c r="G969" s="92">
        <v>45741.559166666666</v>
      </c>
    </row>
    <row r="970" spans="1:7" x14ac:dyDescent="0.2">
      <c r="A970" t="s">
        <v>357</v>
      </c>
      <c r="B970">
        <v>44.1</v>
      </c>
      <c r="C970">
        <v>30.1</v>
      </c>
      <c r="D970">
        <v>33.799999999999997</v>
      </c>
      <c r="E970">
        <v>15.5</v>
      </c>
      <c r="F970" t="s">
        <v>216</v>
      </c>
      <c r="G970" s="92">
        <v>45741.559675925928</v>
      </c>
    </row>
    <row r="971" spans="1:7" x14ac:dyDescent="0.2">
      <c r="A971" t="s">
        <v>355</v>
      </c>
      <c r="B971">
        <v>48.9</v>
      </c>
      <c r="C971">
        <v>20.3</v>
      </c>
      <c r="D971">
        <v>47.8</v>
      </c>
      <c r="E971">
        <v>6.8</v>
      </c>
      <c r="F971" t="s">
        <v>216</v>
      </c>
      <c r="G971" s="92">
        <v>45741.558657407404</v>
      </c>
    </row>
    <row r="972" spans="1:7" x14ac:dyDescent="0.2">
      <c r="A972" t="s">
        <v>279</v>
      </c>
      <c r="B972">
        <v>30.3</v>
      </c>
      <c r="C972">
        <v>16.100000000000001</v>
      </c>
      <c r="D972">
        <v>22.9</v>
      </c>
      <c r="E972">
        <v>0.5</v>
      </c>
      <c r="F972" t="s">
        <v>216</v>
      </c>
      <c r="G972" s="92">
        <v>45740.619062500002</v>
      </c>
    </row>
    <row r="973" spans="1:7" x14ac:dyDescent="0.2">
      <c r="A973" t="s">
        <v>277</v>
      </c>
      <c r="B973">
        <v>39.5</v>
      </c>
      <c r="C973">
        <v>20.399999999999999</v>
      </c>
      <c r="D973">
        <v>33.6</v>
      </c>
      <c r="E973">
        <v>6.5</v>
      </c>
      <c r="F973" t="s">
        <v>216</v>
      </c>
      <c r="G973" s="92">
        <v>45740.484895833331</v>
      </c>
    </row>
    <row r="974" spans="1:7" x14ac:dyDescent="0.2">
      <c r="A974" t="s">
        <v>276</v>
      </c>
      <c r="B974">
        <v>40.6</v>
      </c>
      <c r="C974">
        <v>41.7</v>
      </c>
      <c r="D974">
        <v>66.3</v>
      </c>
      <c r="E974">
        <v>19.899999999999999</v>
      </c>
      <c r="F974" t="s">
        <v>216</v>
      </c>
      <c r="G974" s="92">
        <v>45740.460150462961</v>
      </c>
    </row>
    <row r="975" spans="1:7" x14ac:dyDescent="0.2">
      <c r="A975" t="s">
        <v>274</v>
      </c>
      <c r="B975">
        <v>51.6</v>
      </c>
      <c r="C975">
        <v>53.5</v>
      </c>
      <c r="D975">
        <v>41.7</v>
      </c>
      <c r="E975">
        <v>12.2</v>
      </c>
      <c r="F975" t="s">
        <v>216</v>
      </c>
      <c r="G975" s="92">
        <v>45740.373935185184</v>
      </c>
    </row>
    <row r="976" spans="1:7" x14ac:dyDescent="0.2">
      <c r="A976" t="s">
        <v>275</v>
      </c>
      <c r="B976">
        <v>49</v>
      </c>
      <c r="C976">
        <v>20.399999999999999</v>
      </c>
      <c r="D976">
        <v>49.2</v>
      </c>
      <c r="E976">
        <v>11.1</v>
      </c>
      <c r="F976" t="s">
        <v>216</v>
      </c>
      <c r="G976" s="92">
        <v>45740.373356481483</v>
      </c>
    </row>
    <row r="977" spans="1:7" x14ac:dyDescent="0.2">
      <c r="A977" t="s">
        <v>807</v>
      </c>
      <c r="B977">
        <v>48.3</v>
      </c>
      <c r="C977">
        <v>19.8</v>
      </c>
      <c r="D977">
        <v>48.5</v>
      </c>
      <c r="E977">
        <v>17.2</v>
      </c>
      <c r="F977" t="s">
        <v>216</v>
      </c>
      <c r="G977" s="92">
        <v>45740.372152777774</v>
      </c>
    </row>
    <row r="978" spans="1:7" x14ac:dyDescent="0.2">
      <c r="A978" t="s">
        <v>806</v>
      </c>
      <c r="B978">
        <v>41.5</v>
      </c>
      <c r="C978">
        <v>38.5</v>
      </c>
      <c r="D978">
        <v>59.4</v>
      </c>
      <c r="E978">
        <v>6.6</v>
      </c>
      <c r="F978" t="s">
        <v>310</v>
      </c>
      <c r="G978" s="92">
        <v>45738.597453703704</v>
      </c>
    </row>
    <row r="979" spans="1:7" x14ac:dyDescent="0.2">
      <c r="A979" t="s">
        <v>805</v>
      </c>
      <c r="B979">
        <v>34</v>
      </c>
      <c r="C979">
        <v>12.6</v>
      </c>
      <c r="D979">
        <v>33.4</v>
      </c>
      <c r="E979">
        <v>1.3</v>
      </c>
      <c r="F979" t="s">
        <v>310</v>
      </c>
      <c r="G979" s="92">
        <v>45738.595821759256</v>
      </c>
    </row>
    <row r="980" spans="1:7" x14ac:dyDescent="0.2">
      <c r="A980" t="s">
        <v>504</v>
      </c>
      <c r="B980">
        <v>45.6</v>
      </c>
      <c r="C980">
        <v>55.1</v>
      </c>
      <c r="D980">
        <v>54.5</v>
      </c>
      <c r="E980">
        <v>8.9</v>
      </c>
      <c r="F980" t="s">
        <v>310</v>
      </c>
      <c r="G980" s="92">
        <v>45738.604930555557</v>
      </c>
    </row>
    <row r="981" spans="1:7" x14ac:dyDescent="0.2">
      <c r="A981" t="s">
        <v>503</v>
      </c>
      <c r="B981">
        <v>35.5</v>
      </c>
      <c r="C981">
        <v>25.3</v>
      </c>
      <c r="D981">
        <v>54.1</v>
      </c>
      <c r="E981">
        <v>10.5</v>
      </c>
      <c r="F981" t="s">
        <v>310</v>
      </c>
      <c r="G981" s="92">
        <v>45737.694432870368</v>
      </c>
    </row>
    <row r="982" spans="1:7" x14ac:dyDescent="0.2">
      <c r="A982" t="s">
        <v>502</v>
      </c>
      <c r="B982">
        <v>56.3</v>
      </c>
      <c r="C982">
        <v>21.5</v>
      </c>
      <c r="D982">
        <v>57.5</v>
      </c>
      <c r="E982">
        <v>16.7</v>
      </c>
      <c r="F982" t="s">
        <v>310</v>
      </c>
      <c r="G982" s="92">
        <v>45737.693622685183</v>
      </c>
    </row>
    <row r="983" spans="1:7" x14ac:dyDescent="0.2">
      <c r="A983" t="s">
        <v>629</v>
      </c>
      <c r="B983">
        <v>69</v>
      </c>
      <c r="C983">
        <v>63.7</v>
      </c>
      <c r="D983">
        <v>21.6</v>
      </c>
      <c r="E983">
        <v>5.3</v>
      </c>
      <c r="F983" t="s">
        <v>310</v>
      </c>
      <c r="G983" s="92">
        <v>45737.688263888886</v>
      </c>
    </row>
    <row r="984" spans="1:7" x14ac:dyDescent="0.2">
      <c r="A984" t="s">
        <v>628</v>
      </c>
      <c r="B984">
        <v>35.4</v>
      </c>
      <c r="C984">
        <v>22</v>
      </c>
      <c r="D984">
        <v>80.5</v>
      </c>
      <c r="E984">
        <v>9.6</v>
      </c>
      <c r="F984" t="s">
        <v>310</v>
      </c>
      <c r="G984" s="92">
        <v>45737.689131944448</v>
      </c>
    </row>
    <row r="985" spans="1:7" x14ac:dyDescent="0.2">
      <c r="A985" t="s">
        <v>354</v>
      </c>
      <c r="B985">
        <v>38</v>
      </c>
      <c r="C985">
        <v>33.200000000000003</v>
      </c>
      <c r="D985">
        <v>41.7</v>
      </c>
      <c r="E985">
        <v>5.3</v>
      </c>
      <c r="F985" t="s">
        <v>310</v>
      </c>
      <c r="G985" s="92">
        <v>45737.580729166664</v>
      </c>
    </row>
    <row r="986" spans="1:7" x14ac:dyDescent="0.2">
      <c r="A986" t="s">
        <v>353</v>
      </c>
      <c r="B986">
        <v>23</v>
      </c>
      <c r="C986">
        <v>17.5</v>
      </c>
      <c r="D986">
        <v>31</v>
      </c>
      <c r="E986">
        <v>1.8</v>
      </c>
      <c r="F986" t="s">
        <v>310</v>
      </c>
      <c r="G986" s="92">
        <v>45737.579895833333</v>
      </c>
    </row>
    <row r="987" spans="1:7" x14ac:dyDescent="0.2">
      <c r="A987" t="s">
        <v>273</v>
      </c>
      <c r="B987">
        <v>30.8</v>
      </c>
      <c r="C987">
        <v>19.7</v>
      </c>
      <c r="D987">
        <v>22.7</v>
      </c>
      <c r="E987">
        <v>1.2</v>
      </c>
      <c r="F987" t="s">
        <v>216</v>
      </c>
      <c r="G987" s="92">
        <v>45735.699664351851</v>
      </c>
    </row>
    <row r="988" spans="1:7" x14ac:dyDescent="0.2">
      <c r="A988" t="s">
        <v>501</v>
      </c>
      <c r="B988">
        <v>39.299999999999997</v>
      </c>
      <c r="C988">
        <v>40.299999999999997</v>
      </c>
      <c r="D988">
        <v>34.700000000000003</v>
      </c>
      <c r="E988">
        <v>1.5</v>
      </c>
      <c r="F988" t="s">
        <v>216</v>
      </c>
      <c r="G988" s="92">
        <v>45735.698425925926</v>
      </c>
    </row>
    <row r="989" spans="1:7" x14ac:dyDescent="0.2">
      <c r="A989" t="s">
        <v>627</v>
      </c>
      <c r="B989">
        <v>41.4</v>
      </c>
      <c r="C989">
        <v>59.2</v>
      </c>
      <c r="D989">
        <v>39.4</v>
      </c>
      <c r="E989">
        <v>6.7</v>
      </c>
      <c r="F989" t="s">
        <v>216</v>
      </c>
      <c r="G989" s="92">
        <v>45735.556643518517</v>
      </c>
    </row>
    <row r="990" spans="1:7" x14ac:dyDescent="0.2">
      <c r="A990" t="s">
        <v>626</v>
      </c>
      <c r="B990">
        <v>37.299999999999997</v>
      </c>
      <c r="C990">
        <v>53.8</v>
      </c>
      <c r="D990">
        <v>38.9</v>
      </c>
      <c r="E990">
        <v>12.6</v>
      </c>
      <c r="F990" t="s">
        <v>216</v>
      </c>
      <c r="G990" s="92">
        <v>45735.555949074071</v>
      </c>
    </row>
    <row r="991" spans="1:7" x14ac:dyDescent="0.2">
      <c r="A991" t="s">
        <v>625</v>
      </c>
      <c r="B991">
        <v>42.8</v>
      </c>
      <c r="C991">
        <v>32.9</v>
      </c>
      <c r="D991">
        <v>31.7</v>
      </c>
      <c r="E991">
        <v>6.8</v>
      </c>
      <c r="F991" t="s">
        <v>216</v>
      </c>
      <c r="G991" s="92">
        <v>45735.555081018516</v>
      </c>
    </row>
    <row r="992" spans="1:7" x14ac:dyDescent="0.2">
      <c r="A992" t="s">
        <v>352</v>
      </c>
      <c r="B992">
        <v>35</v>
      </c>
      <c r="C992">
        <v>21</v>
      </c>
      <c r="D992">
        <v>25.6</v>
      </c>
      <c r="E992">
        <v>1.9</v>
      </c>
      <c r="F992" t="s">
        <v>216</v>
      </c>
      <c r="G992" s="92">
        <v>45735.484201388892</v>
      </c>
    </row>
    <row r="993" spans="1:7" x14ac:dyDescent="0.2">
      <c r="A993" t="s">
        <v>804</v>
      </c>
      <c r="B993">
        <v>36.700000000000003</v>
      </c>
      <c r="C993">
        <v>39.6</v>
      </c>
      <c r="D993">
        <v>36.799999999999997</v>
      </c>
      <c r="E993">
        <v>22.2</v>
      </c>
      <c r="F993" t="s">
        <v>216</v>
      </c>
      <c r="G993" s="92">
        <v>45734.728842592594</v>
      </c>
    </row>
    <row r="994" spans="1:7" x14ac:dyDescent="0.2">
      <c r="A994" t="s">
        <v>624</v>
      </c>
      <c r="B994">
        <v>30.6</v>
      </c>
      <c r="C994">
        <v>32.700000000000003</v>
      </c>
      <c r="D994">
        <v>72.099999999999994</v>
      </c>
      <c r="E994">
        <v>4.7</v>
      </c>
      <c r="F994" t="s">
        <v>216</v>
      </c>
      <c r="G994" s="92">
        <v>45734.453287037039</v>
      </c>
    </row>
    <row r="995" spans="1:7" x14ac:dyDescent="0.2">
      <c r="A995" t="s">
        <v>499</v>
      </c>
      <c r="B995">
        <v>29.6</v>
      </c>
      <c r="C995">
        <v>31.4</v>
      </c>
      <c r="D995">
        <v>33.1</v>
      </c>
      <c r="E995">
        <v>3.2</v>
      </c>
      <c r="F995" t="s">
        <v>216</v>
      </c>
      <c r="G995" s="92">
        <v>45733.590185185189</v>
      </c>
    </row>
    <row r="996" spans="1:7" x14ac:dyDescent="0.2">
      <c r="A996" t="s">
        <v>500</v>
      </c>
      <c r="B996">
        <v>37.1</v>
      </c>
      <c r="C996">
        <v>53.5</v>
      </c>
      <c r="D996">
        <v>73.8</v>
      </c>
      <c r="E996">
        <v>6.1</v>
      </c>
      <c r="F996" t="s">
        <v>216</v>
      </c>
      <c r="G996" s="92">
        <v>45733.591192129628</v>
      </c>
    </row>
    <row r="997" spans="1:7" x14ac:dyDescent="0.2">
      <c r="A997" t="s">
        <v>803</v>
      </c>
      <c r="B997">
        <v>25.3</v>
      </c>
      <c r="C997">
        <v>25</v>
      </c>
      <c r="D997">
        <v>34</v>
      </c>
      <c r="E997">
        <v>6</v>
      </c>
      <c r="F997" t="s">
        <v>310</v>
      </c>
      <c r="G997" s="92">
        <v>45731.612939814811</v>
      </c>
    </row>
    <row r="998" spans="1:7" x14ac:dyDescent="0.2">
      <c r="A998" t="s">
        <v>802</v>
      </c>
      <c r="B998">
        <v>33.9</v>
      </c>
      <c r="C998">
        <v>29.7</v>
      </c>
      <c r="D998">
        <v>44.1</v>
      </c>
      <c r="E998">
        <v>16.8</v>
      </c>
      <c r="F998" t="s">
        <v>310</v>
      </c>
      <c r="G998" s="92">
        <v>45731.612141203703</v>
      </c>
    </row>
    <row r="999" spans="1:7" x14ac:dyDescent="0.2">
      <c r="A999" t="s">
        <v>801</v>
      </c>
      <c r="B999">
        <v>35.700000000000003</v>
      </c>
      <c r="C999">
        <v>28.2</v>
      </c>
      <c r="D999">
        <v>40.1</v>
      </c>
      <c r="E999">
        <v>21.1</v>
      </c>
      <c r="F999" t="s">
        <v>310</v>
      </c>
      <c r="G999" s="92">
        <v>45731.611145833333</v>
      </c>
    </row>
    <row r="1000" spans="1:7" x14ac:dyDescent="0.2">
      <c r="A1000" t="s">
        <v>799</v>
      </c>
      <c r="B1000">
        <v>69.3</v>
      </c>
      <c r="C1000">
        <v>32.9</v>
      </c>
      <c r="D1000">
        <v>78.099999999999994</v>
      </c>
      <c r="E1000">
        <v>12.4</v>
      </c>
      <c r="F1000" t="s">
        <v>216</v>
      </c>
      <c r="G1000" s="92">
        <v>45730.729166666664</v>
      </c>
    </row>
    <row r="1001" spans="1:7" x14ac:dyDescent="0.2">
      <c r="A1001" t="s">
        <v>800</v>
      </c>
      <c r="B1001">
        <v>65.8</v>
      </c>
      <c r="C1001">
        <v>25</v>
      </c>
      <c r="D1001">
        <v>58.2</v>
      </c>
      <c r="E1001">
        <v>2.9</v>
      </c>
      <c r="F1001" t="s">
        <v>216</v>
      </c>
      <c r="G1001" s="92">
        <v>45730.728055555555</v>
      </c>
    </row>
    <row r="1002" spans="1:7" x14ac:dyDescent="0.2">
      <c r="A1002" t="s">
        <v>350</v>
      </c>
      <c r="B1002">
        <v>52.1</v>
      </c>
      <c r="C1002">
        <v>26.1</v>
      </c>
      <c r="D1002">
        <v>33.5</v>
      </c>
      <c r="E1002">
        <v>1.5</v>
      </c>
      <c r="F1002" t="s">
        <v>216</v>
      </c>
      <c r="G1002" s="92">
        <v>45730.697789351849</v>
      </c>
    </row>
    <row r="1003" spans="1:7" x14ac:dyDescent="0.2">
      <c r="A1003" t="s">
        <v>349</v>
      </c>
      <c r="B1003">
        <v>37.5</v>
      </c>
      <c r="C1003">
        <v>33</v>
      </c>
      <c r="D1003">
        <v>37.6</v>
      </c>
      <c r="E1003">
        <v>16.2</v>
      </c>
      <c r="F1003" t="s">
        <v>216</v>
      </c>
      <c r="G1003" s="92">
        <v>45730.695671296293</v>
      </c>
    </row>
    <row r="1004" spans="1:7" x14ac:dyDescent="0.2">
      <c r="A1004" t="s">
        <v>351</v>
      </c>
      <c r="B1004">
        <v>25.4</v>
      </c>
      <c r="C1004">
        <v>26</v>
      </c>
      <c r="D1004">
        <v>35.6</v>
      </c>
      <c r="E1004">
        <v>3.5</v>
      </c>
      <c r="F1004" t="s">
        <v>216</v>
      </c>
      <c r="G1004" s="92">
        <v>45730.699583333335</v>
      </c>
    </row>
    <row r="1005" spans="1:7" x14ac:dyDescent="0.2">
      <c r="A1005" t="s">
        <v>798</v>
      </c>
      <c r="B1005">
        <v>34</v>
      </c>
      <c r="C1005">
        <v>39.6</v>
      </c>
      <c r="D1005">
        <v>39.6</v>
      </c>
      <c r="E1005">
        <v>2.4</v>
      </c>
      <c r="F1005" t="s">
        <v>231</v>
      </c>
      <c r="G1005" s="92">
        <v>45729.722962962966</v>
      </c>
    </row>
    <row r="1006" spans="1:7" x14ac:dyDescent="0.2">
      <c r="A1006" t="s">
        <v>497</v>
      </c>
      <c r="B1006">
        <v>33.9</v>
      </c>
      <c r="C1006">
        <v>40</v>
      </c>
      <c r="D1006">
        <v>39.5</v>
      </c>
      <c r="E1006">
        <v>1.9</v>
      </c>
      <c r="F1006" t="s">
        <v>231</v>
      </c>
      <c r="G1006" s="92">
        <v>45729.707858796297</v>
      </c>
    </row>
    <row r="1007" spans="1:7" x14ac:dyDescent="0.2">
      <c r="A1007" t="s">
        <v>271</v>
      </c>
      <c r="B1007">
        <v>34</v>
      </c>
      <c r="C1007">
        <v>39.299999999999997</v>
      </c>
      <c r="D1007">
        <v>39.4</v>
      </c>
      <c r="E1007">
        <v>3.6</v>
      </c>
      <c r="F1007" t="s">
        <v>231</v>
      </c>
      <c r="G1007" s="92">
        <v>45729.711655092593</v>
      </c>
    </row>
    <row r="1008" spans="1:7" x14ac:dyDescent="0.2">
      <c r="A1008" t="s">
        <v>498</v>
      </c>
      <c r="B1008">
        <v>33.799999999999997</v>
      </c>
      <c r="C1008">
        <v>39.299999999999997</v>
      </c>
      <c r="D1008">
        <v>39.4</v>
      </c>
      <c r="E1008">
        <v>2.5</v>
      </c>
      <c r="F1008" t="s">
        <v>231</v>
      </c>
      <c r="G1008" s="92">
        <v>45729.708287037036</v>
      </c>
    </row>
    <row r="1009" spans="1:7" x14ac:dyDescent="0.2">
      <c r="A1009" t="s">
        <v>272</v>
      </c>
      <c r="B1009">
        <v>33.5</v>
      </c>
      <c r="C1009">
        <v>39.799999999999997</v>
      </c>
      <c r="D1009">
        <v>39.9</v>
      </c>
      <c r="E1009">
        <v>3.2</v>
      </c>
      <c r="F1009" t="s">
        <v>231</v>
      </c>
      <c r="G1009" s="92">
        <v>45729.711967592593</v>
      </c>
    </row>
    <row r="1010" spans="1:7" x14ac:dyDescent="0.2">
      <c r="A1010" t="s">
        <v>622</v>
      </c>
      <c r="B1010">
        <v>41.6</v>
      </c>
      <c r="C1010">
        <v>53.5</v>
      </c>
      <c r="D1010">
        <v>51.7</v>
      </c>
      <c r="E1010">
        <v>10.6</v>
      </c>
      <c r="F1010" t="s">
        <v>231</v>
      </c>
      <c r="G1010" s="92">
        <v>45729.671932870369</v>
      </c>
    </row>
    <row r="1011" spans="1:7" x14ac:dyDescent="0.2">
      <c r="A1011" t="s">
        <v>623</v>
      </c>
      <c r="B1011">
        <v>41.4</v>
      </c>
      <c r="C1011">
        <v>39.1</v>
      </c>
      <c r="D1011">
        <v>59.3</v>
      </c>
      <c r="E1011">
        <v>6.7</v>
      </c>
      <c r="F1011" t="s">
        <v>231</v>
      </c>
      <c r="G1011" s="92">
        <v>45729.682037037041</v>
      </c>
    </row>
    <row r="1012" spans="1:7" x14ac:dyDescent="0.2">
      <c r="A1012" t="s">
        <v>619</v>
      </c>
      <c r="B1012">
        <v>33.200000000000003</v>
      </c>
      <c r="C1012">
        <v>23.1</v>
      </c>
      <c r="D1012">
        <v>42.4</v>
      </c>
      <c r="E1012">
        <v>1.8</v>
      </c>
      <c r="F1012" t="s">
        <v>231</v>
      </c>
      <c r="G1012" s="92">
        <v>45729.670162037037</v>
      </c>
    </row>
    <row r="1013" spans="1:7" x14ac:dyDescent="0.2">
      <c r="A1013" t="s">
        <v>620</v>
      </c>
      <c r="B1013">
        <v>34.200000000000003</v>
      </c>
      <c r="C1013">
        <v>38.700000000000003</v>
      </c>
      <c r="D1013">
        <v>39.9</v>
      </c>
      <c r="E1013">
        <v>3.7</v>
      </c>
      <c r="F1013" t="s">
        <v>231</v>
      </c>
      <c r="G1013" s="92">
        <v>45729.670613425929</v>
      </c>
    </row>
    <row r="1014" spans="1:7" x14ac:dyDescent="0.2">
      <c r="A1014" t="s">
        <v>621</v>
      </c>
      <c r="B1014">
        <v>36.9</v>
      </c>
      <c r="C1014">
        <v>31.9</v>
      </c>
      <c r="D1014">
        <v>40.5</v>
      </c>
      <c r="E1014">
        <v>4.2</v>
      </c>
      <c r="F1014" t="s">
        <v>231</v>
      </c>
      <c r="G1014" s="92">
        <v>45729.671111111114</v>
      </c>
    </row>
    <row r="1015" spans="1:7" x14ac:dyDescent="0.2">
      <c r="A1015" t="s">
        <v>797</v>
      </c>
      <c r="B1015">
        <v>24.4</v>
      </c>
      <c r="C1015">
        <v>20.3</v>
      </c>
      <c r="D1015">
        <v>26</v>
      </c>
      <c r="E1015">
        <v>2.2000000000000002</v>
      </c>
      <c r="F1015" t="s">
        <v>231</v>
      </c>
      <c r="G1015" s="92">
        <v>45729.588726851849</v>
      </c>
    </row>
    <row r="1016" spans="1:7" x14ac:dyDescent="0.2">
      <c r="A1016" t="s">
        <v>270</v>
      </c>
      <c r="B1016">
        <v>26</v>
      </c>
      <c r="C1016">
        <v>27.1</v>
      </c>
      <c r="D1016">
        <v>37.9</v>
      </c>
      <c r="E1016">
        <v>2.5</v>
      </c>
      <c r="F1016" t="s">
        <v>231</v>
      </c>
      <c r="G1016" s="92">
        <v>45728.714513888888</v>
      </c>
    </row>
    <row r="1017" spans="1:7" x14ac:dyDescent="0.2">
      <c r="A1017" t="s">
        <v>269</v>
      </c>
      <c r="B1017">
        <v>9.8000000000000007</v>
      </c>
      <c r="C1017">
        <v>10</v>
      </c>
      <c r="D1017">
        <v>20.9</v>
      </c>
      <c r="E1017">
        <v>0.3</v>
      </c>
      <c r="F1017" t="s">
        <v>231</v>
      </c>
      <c r="G1017" s="92">
        <v>45728.713819444441</v>
      </c>
    </row>
    <row r="1018" spans="1:7" x14ac:dyDescent="0.2">
      <c r="A1018" t="s">
        <v>347</v>
      </c>
      <c r="B1018">
        <v>24.3</v>
      </c>
      <c r="C1018">
        <v>37.4</v>
      </c>
      <c r="D1018">
        <v>50.8</v>
      </c>
      <c r="E1018">
        <v>8</v>
      </c>
      <c r="F1018" t="s">
        <v>231</v>
      </c>
      <c r="G1018" s="92">
        <v>45728.658946759257</v>
      </c>
    </row>
    <row r="1019" spans="1:7" x14ac:dyDescent="0.2">
      <c r="A1019" t="s">
        <v>346</v>
      </c>
      <c r="B1019">
        <v>27.5</v>
      </c>
      <c r="C1019">
        <v>13.3</v>
      </c>
      <c r="D1019">
        <v>36.299999999999997</v>
      </c>
      <c r="E1019">
        <v>6.6</v>
      </c>
      <c r="F1019" t="s">
        <v>231</v>
      </c>
      <c r="G1019" s="92">
        <v>45728.657789351855</v>
      </c>
    </row>
    <row r="1020" spans="1:7" x14ac:dyDescent="0.2">
      <c r="A1020" t="s">
        <v>345</v>
      </c>
      <c r="B1020">
        <v>29.1</v>
      </c>
      <c r="C1020">
        <v>21.8</v>
      </c>
      <c r="D1020">
        <v>29.1</v>
      </c>
      <c r="E1020">
        <v>7.1</v>
      </c>
      <c r="F1020" t="s">
        <v>231</v>
      </c>
      <c r="G1020" s="92">
        <v>45728.656585648147</v>
      </c>
    </row>
    <row r="1021" spans="1:7" x14ac:dyDescent="0.2">
      <c r="A1021" t="s">
        <v>348</v>
      </c>
      <c r="B1021">
        <v>52</v>
      </c>
      <c r="C1021">
        <v>52.1</v>
      </c>
      <c r="D1021">
        <v>75.7</v>
      </c>
      <c r="E1021">
        <v>8.5</v>
      </c>
      <c r="F1021" t="s">
        <v>231</v>
      </c>
      <c r="G1021" s="92">
        <v>45728.659780092596</v>
      </c>
    </row>
    <row r="1022" spans="1:7" x14ac:dyDescent="0.2">
      <c r="A1022" t="s">
        <v>344</v>
      </c>
      <c r="B1022">
        <v>25.2</v>
      </c>
      <c r="C1022">
        <v>12.4</v>
      </c>
      <c r="D1022">
        <v>27.8</v>
      </c>
      <c r="E1022">
        <v>0.9</v>
      </c>
      <c r="F1022" t="s">
        <v>231</v>
      </c>
      <c r="G1022" s="92">
        <v>45728.359583333331</v>
      </c>
    </row>
    <row r="1023" spans="1:7" x14ac:dyDescent="0.2">
      <c r="A1023" t="s">
        <v>268</v>
      </c>
      <c r="B1023">
        <v>29.3</v>
      </c>
      <c r="C1023">
        <v>15</v>
      </c>
      <c r="D1023">
        <v>32</v>
      </c>
      <c r="E1023">
        <v>0.7</v>
      </c>
      <c r="F1023" t="s">
        <v>231</v>
      </c>
      <c r="G1023" s="92">
        <v>45727.61146990741</v>
      </c>
    </row>
    <row r="1024" spans="1:7" x14ac:dyDescent="0.2">
      <c r="A1024" t="s">
        <v>618</v>
      </c>
      <c r="B1024">
        <v>26.8</v>
      </c>
      <c r="C1024">
        <v>11.5</v>
      </c>
      <c r="D1024">
        <v>32.5</v>
      </c>
      <c r="E1024">
        <v>0.4</v>
      </c>
      <c r="F1024" t="s">
        <v>231</v>
      </c>
      <c r="G1024" s="92">
        <v>45727.624571759261</v>
      </c>
    </row>
    <row r="1025" spans="1:7" x14ac:dyDescent="0.2">
      <c r="A1025" t="s">
        <v>266</v>
      </c>
      <c r="B1025">
        <v>32.299999999999997</v>
      </c>
      <c r="C1025">
        <v>13.7</v>
      </c>
      <c r="D1025">
        <v>42.3</v>
      </c>
      <c r="E1025">
        <v>2.7</v>
      </c>
      <c r="F1025" t="s">
        <v>231</v>
      </c>
      <c r="G1025" s="92">
        <v>45727.609965277778</v>
      </c>
    </row>
    <row r="1026" spans="1:7" x14ac:dyDescent="0.2">
      <c r="A1026" t="s">
        <v>267</v>
      </c>
      <c r="B1026">
        <v>33.700000000000003</v>
      </c>
      <c r="C1026">
        <v>30.1</v>
      </c>
      <c r="D1026">
        <v>43.7</v>
      </c>
      <c r="E1026">
        <v>15.4</v>
      </c>
      <c r="F1026" t="s">
        <v>231</v>
      </c>
      <c r="G1026" s="92">
        <v>45727.610439814816</v>
      </c>
    </row>
    <row r="1027" spans="1:7" x14ac:dyDescent="0.2">
      <c r="A1027" t="s">
        <v>267</v>
      </c>
      <c r="B1027">
        <v>33.700000000000003</v>
      </c>
      <c r="C1027">
        <v>29.8</v>
      </c>
      <c r="D1027">
        <v>43.6</v>
      </c>
      <c r="E1027">
        <v>15.4</v>
      </c>
      <c r="F1027" t="s">
        <v>231</v>
      </c>
      <c r="G1027" s="92">
        <v>45727.611030092594</v>
      </c>
    </row>
    <row r="1028" spans="1:7" x14ac:dyDescent="0.2">
      <c r="A1028" t="s">
        <v>496</v>
      </c>
      <c r="B1028">
        <v>26.8</v>
      </c>
      <c r="C1028">
        <v>22.3</v>
      </c>
      <c r="D1028">
        <v>46.4</v>
      </c>
      <c r="E1028">
        <v>1.6</v>
      </c>
      <c r="F1028" t="s">
        <v>231</v>
      </c>
      <c r="G1028" s="92">
        <v>45727.627951388888</v>
      </c>
    </row>
    <row r="1029" spans="1:7" x14ac:dyDescent="0.2">
      <c r="A1029" t="s">
        <v>343</v>
      </c>
      <c r="B1029">
        <v>40.200000000000003</v>
      </c>
      <c r="C1029">
        <v>34.4</v>
      </c>
      <c r="D1029">
        <v>40</v>
      </c>
      <c r="E1029">
        <v>2.9</v>
      </c>
      <c r="F1029" t="s">
        <v>196</v>
      </c>
      <c r="G1029" s="92">
        <v>45726.62804398148</v>
      </c>
    </row>
    <row r="1030" spans="1:7" x14ac:dyDescent="0.2">
      <c r="A1030" t="s">
        <v>342</v>
      </c>
      <c r="B1030">
        <v>30.9</v>
      </c>
      <c r="C1030">
        <v>31</v>
      </c>
      <c r="D1030">
        <v>18.3</v>
      </c>
      <c r="E1030">
        <v>1.7</v>
      </c>
      <c r="F1030" t="s">
        <v>196</v>
      </c>
      <c r="G1030" s="92">
        <v>45726.627326388887</v>
      </c>
    </row>
    <row r="1031" spans="1:7" x14ac:dyDescent="0.2">
      <c r="A1031" t="s">
        <v>341</v>
      </c>
      <c r="B1031">
        <v>31.1</v>
      </c>
      <c r="C1031">
        <v>30.8</v>
      </c>
      <c r="D1031">
        <v>18</v>
      </c>
      <c r="E1031">
        <v>2.5</v>
      </c>
      <c r="F1031" t="s">
        <v>196</v>
      </c>
      <c r="G1031" s="92">
        <v>45726.626666666663</v>
      </c>
    </row>
    <row r="1032" spans="1:7" x14ac:dyDescent="0.2">
      <c r="A1032" t="s">
        <v>494</v>
      </c>
      <c r="B1032">
        <v>25.3</v>
      </c>
      <c r="C1032">
        <v>8.3000000000000007</v>
      </c>
      <c r="D1032">
        <v>31.9</v>
      </c>
      <c r="E1032">
        <v>0.5</v>
      </c>
      <c r="F1032" t="s">
        <v>231</v>
      </c>
      <c r="G1032" s="92">
        <v>45724.567673611113</v>
      </c>
    </row>
    <row r="1033" spans="1:7" x14ac:dyDescent="0.2">
      <c r="A1033" t="s">
        <v>493</v>
      </c>
      <c r="B1033">
        <v>23.7</v>
      </c>
      <c r="C1033">
        <v>15.8</v>
      </c>
      <c r="D1033">
        <v>39.5</v>
      </c>
      <c r="E1033">
        <v>1.1000000000000001</v>
      </c>
      <c r="F1033" t="s">
        <v>231</v>
      </c>
      <c r="G1033" s="92">
        <v>45724.565451388888</v>
      </c>
    </row>
    <row r="1034" spans="1:7" x14ac:dyDescent="0.2">
      <c r="A1034" t="s">
        <v>796</v>
      </c>
      <c r="B1034">
        <v>28.7</v>
      </c>
      <c r="C1034">
        <v>30</v>
      </c>
      <c r="D1034">
        <v>68.7</v>
      </c>
      <c r="E1034">
        <v>11.9</v>
      </c>
      <c r="F1034" t="s">
        <v>231</v>
      </c>
      <c r="G1034" s="92">
        <v>45724.57236111111</v>
      </c>
    </row>
    <row r="1035" spans="1:7" x14ac:dyDescent="0.2">
      <c r="A1035" t="s">
        <v>495</v>
      </c>
      <c r="B1035">
        <v>25.2</v>
      </c>
      <c r="C1035">
        <v>19.3</v>
      </c>
      <c r="D1035">
        <v>30.5</v>
      </c>
      <c r="E1035">
        <v>1.7</v>
      </c>
      <c r="F1035" t="s">
        <v>231</v>
      </c>
      <c r="G1035" s="92">
        <v>45724.574432870373</v>
      </c>
    </row>
    <row r="1036" spans="1:7" x14ac:dyDescent="0.2">
      <c r="A1036" t="s">
        <v>795</v>
      </c>
      <c r="B1036">
        <v>34.799999999999997</v>
      </c>
      <c r="C1036">
        <v>27.7</v>
      </c>
      <c r="D1036">
        <v>40.700000000000003</v>
      </c>
      <c r="E1036">
        <v>12.2</v>
      </c>
      <c r="F1036" t="s">
        <v>231</v>
      </c>
      <c r="G1036" s="92">
        <v>45724.447708333333</v>
      </c>
    </row>
    <row r="1037" spans="1:7" x14ac:dyDescent="0.2">
      <c r="A1037" t="s">
        <v>492</v>
      </c>
      <c r="B1037">
        <v>23.1</v>
      </c>
      <c r="C1037">
        <v>24.3</v>
      </c>
      <c r="D1037">
        <v>32</v>
      </c>
      <c r="E1037">
        <v>1.3</v>
      </c>
      <c r="F1037" t="s">
        <v>231</v>
      </c>
      <c r="G1037" s="92">
        <v>45723.647430555553</v>
      </c>
    </row>
    <row r="1038" spans="1:7" x14ac:dyDescent="0.2">
      <c r="A1038" t="s">
        <v>616</v>
      </c>
      <c r="B1038">
        <v>41.5</v>
      </c>
      <c r="C1038">
        <v>53.8</v>
      </c>
      <c r="D1038">
        <v>51.9</v>
      </c>
      <c r="E1038">
        <v>11.4</v>
      </c>
      <c r="F1038" t="s">
        <v>231</v>
      </c>
      <c r="G1038" s="92">
        <v>45723.613113425927</v>
      </c>
    </row>
    <row r="1039" spans="1:7" x14ac:dyDescent="0.2">
      <c r="A1039" t="s">
        <v>615</v>
      </c>
      <c r="B1039">
        <v>41.5</v>
      </c>
      <c r="C1039">
        <v>53.9</v>
      </c>
      <c r="D1039">
        <v>52.4</v>
      </c>
      <c r="E1039">
        <v>9.3000000000000007</v>
      </c>
      <c r="F1039" t="s">
        <v>231</v>
      </c>
      <c r="G1039" s="92">
        <v>45723.612453703703</v>
      </c>
    </row>
    <row r="1040" spans="1:7" x14ac:dyDescent="0.2">
      <c r="A1040" t="s">
        <v>617</v>
      </c>
      <c r="B1040">
        <v>37.4</v>
      </c>
      <c r="C1040">
        <v>53.8</v>
      </c>
      <c r="D1040">
        <v>73.900000000000006</v>
      </c>
      <c r="E1040">
        <v>6.1</v>
      </c>
      <c r="F1040" t="s">
        <v>231</v>
      </c>
      <c r="G1040" s="92">
        <v>45723.613796296297</v>
      </c>
    </row>
    <row r="1041" spans="1:7" x14ac:dyDescent="0.2">
      <c r="A1041" t="s">
        <v>491</v>
      </c>
      <c r="B1041">
        <v>27</v>
      </c>
      <c r="C1041">
        <v>18.100000000000001</v>
      </c>
      <c r="D1041">
        <v>39.799999999999997</v>
      </c>
      <c r="E1041">
        <v>0.9</v>
      </c>
      <c r="F1041" t="s">
        <v>231</v>
      </c>
      <c r="G1041" s="92">
        <v>45722.567997685182</v>
      </c>
    </row>
    <row r="1042" spans="1:7" x14ac:dyDescent="0.2">
      <c r="A1042" t="s">
        <v>614</v>
      </c>
      <c r="B1042">
        <v>40.5</v>
      </c>
      <c r="C1042">
        <v>32.9</v>
      </c>
      <c r="D1042">
        <v>65.900000000000006</v>
      </c>
      <c r="E1042">
        <v>8.3000000000000007</v>
      </c>
      <c r="F1042" t="s">
        <v>231</v>
      </c>
      <c r="G1042" s="92">
        <v>45722.465856481482</v>
      </c>
    </row>
    <row r="1043" spans="1:7" x14ac:dyDescent="0.2">
      <c r="A1043" t="s">
        <v>612</v>
      </c>
      <c r="B1043">
        <v>13.4</v>
      </c>
      <c r="C1043">
        <v>10</v>
      </c>
      <c r="D1043">
        <v>18.5</v>
      </c>
      <c r="E1043">
        <v>0.2</v>
      </c>
      <c r="F1043" t="s">
        <v>231</v>
      </c>
      <c r="G1043" s="92">
        <v>45721.673460648148</v>
      </c>
    </row>
    <row r="1044" spans="1:7" x14ac:dyDescent="0.2">
      <c r="A1044" t="s">
        <v>613</v>
      </c>
      <c r="B1044">
        <v>12.4</v>
      </c>
      <c r="C1044">
        <v>5.0999999999999996</v>
      </c>
      <c r="D1044">
        <v>20</v>
      </c>
      <c r="E1044">
        <v>0.2</v>
      </c>
      <c r="F1044" t="s">
        <v>231</v>
      </c>
      <c r="G1044" s="92">
        <v>45721.673796296294</v>
      </c>
    </row>
    <row r="1045" spans="1:7" x14ac:dyDescent="0.2">
      <c r="A1045" t="s">
        <v>610</v>
      </c>
      <c r="B1045">
        <v>41.9</v>
      </c>
      <c r="C1045">
        <v>54.6</v>
      </c>
      <c r="D1045">
        <v>51.7</v>
      </c>
      <c r="E1045">
        <v>9.1</v>
      </c>
      <c r="F1045" t="s">
        <v>231</v>
      </c>
      <c r="G1045" s="92">
        <v>45721.659421296295</v>
      </c>
    </row>
    <row r="1046" spans="1:7" x14ac:dyDescent="0.2">
      <c r="A1046" t="s">
        <v>610</v>
      </c>
      <c r="B1046">
        <v>41.9</v>
      </c>
      <c r="C1046">
        <v>54.2</v>
      </c>
      <c r="D1046">
        <v>51.4</v>
      </c>
      <c r="E1046">
        <v>9.1</v>
      </c>
      <c r="F1046" t="s">
        <v>231</v>
      </c>
      <c r="G1046" s="92">
        <v>45721.661099537036</v>
      </c>
    </row>
    <row r="1047" spans="1:7" x14ac:dyDescent="0.2">
      <c r="A1047" t="s">
        <v>611</v>
      </c>
      <c r="B1047">
        <v>42</v>
      </c>
      <c r="C1047">
        <v>54.8</v>
      </c>
      <c r="D1047">
        <v>51.7</v>
      </c>
      <c r="E1047">
        <v>5.6</v>
      </c>
      <c r="F1047" t="s">
        <v>231</v>
      </c>
      <c r="G1047" s="92">
        <v>45721.665231481478</v>
      </c>
    </row>
    <row r="1048" spans="1:7" x14ac:dyDescent="0.2">
      <c r="A1048" t="s">
        <v>792</v>
      </c>
      <c r="B1048">
        <v>16.100000000000001</v>
      </c>
      <c r="C1048">
        <v>12.4</v>
      </c>
      <c r="D1048">
        <v>30.6</v>
      </c>
      <c r="E1048">
        <v>0.3</v>
      </c>
      <c r="F1048" t="s">
        <v>231</v>
      </c>
      <c r="G1048" s="92">
        <v>45721.623854166668</v>
      </c>
    </row>
    <row r="1049" spans="1:7" x14ac:dyDescent="0.2">
      <c r="A1049" t="s">
        <v>793</v>
      </c>
      <c r="B1049">
        <v>30.7</v>
      </c>
      <c r="C1049">
        <v>33.1</v>
      </c>
      <c r="D1049">
        <v>71.900000000000006</v>
      </c>
      <c r="E1049">
        <v>3.7</v>
      </c>
      <c r="F1049" t="s">
        <v>231</v>
      </c>
      <c r="G1049" s="92">
        <v>45721.624282407407</v>
      </c>
    </row>
    <row r="1050" spans="1:7" x14ac:dyDescent="0.2">
      <c r="A1050" t="s">
        <v>794</v>
      </c>
      <c r="B1050">
        <v>30.8</v>
      </c>
      <c r="C1050">
        <v>33.299999999999997</v>
      </c>
      <c r="D1050">
        <v>72.099999999999994</v>
      </c>
      <c r="E1050">
        <v>2.6</v>
      </c>
      <c r="F1050" t="s">
        <v>231</v>
      </c>
      <c r="G1050" s="92">
        <v>45721.624756944446</v>
      </c>
    </row>
    <row r="1051" spans="1:7" x14ac:dyDescent="0.2">
      <c r="A1051" t="s">
        <v>791</v>
      </c>
      <c r="B1051">
        <v>22.8</v>
      </c>
      <c r="C1051">
        <v>63.8</v>
      </c>
      <c r="D1051">
        <v>23</v>
      </c>
      <c r="E1051">
        <v>18.5</v>
      </c>
      <c r="F1051" t="s">
        <v>231</v>
      </c>
      <c r="G1051" s="92">
        <v>45721.62096064815</v>
      </c>
    </row>
    <row r="1052" spans="1:7" x14ac:dyDescent="0.2">
      <c r="A1052" t="s">
        <v>340</v>
      </c>
      <c r="B1052">
        <v>23.9</v>
      </c>
      <c r="C1052">
        <v>25.4</v>
      </c>
      <c r="D1052">
        <v>31.5</v>
      </c>
      <c r="E1052">
        <v>6.3</v>
      </c>
      <c r="F1052" t="s">
        <v>231</v>
      </c>
      <c r="G1052" s="92">
        <v>45720.716331018521</v>
      </c>
    </row>
    <row r="1053" spans="1:7" x14ac:dyDescent="0.2">
      <c r="A1053" t="s">
        <v>261</v>
      </c>
      <c r="B1053">
        <v>42</v>
      </c>
      <c r="C1053">
        <v>54.3</v>
      </c>
      <c r="D1053">
        <v>51.9</v>
      </c>
      <c r="E1053">
        <v>9.1</v>
      </c>
      <c r="F1053" t="s">
        <v>231</v>
      </c>
      <c r="G1053" s="92">
        <v>45720.712604166663</v>
      </c>
    </row>
    <row r="1054" spans="1:7" x14ac:dyDescent="0.2">
      <c r="A1054" t="s">
        <v>263</v>
      </c>
      <c r="B1054">
        <v>42</v>
      </c>
      <c r="C1054">
        <v>54.1</v>
      </c>
      <c r="D1054">
        <v>51.4</v>
      </c>
      <c r="E1054">
        <v>14.3</v>
      </c>
      <c r="F1054" t="s">
        <v>231</v>
      </c>
      <c r="G1054" s="92">
        <v>45720.713379629633</v>
      </c>
    </row>
    <row r="1055" spans="1:7" x14ac:dyDescent="0.2">
      <c r="A1055" t="s">
        <v>262</v>
      </c>
      <c r="B1055">
        <v>22.8</v>
      </c>
      <c r="C1055">
        <v>10.5</v>
      </c>
      <c r="D1055">
        <v>30.2</v>
      </c>
      <c r="E1055">
        <v>0.9</v>
      </c>
      <c r="F1055" t="s">
        <v>231</v>
      </c>
      <c r="G1055" s="92">
        <v>45720.714062500003</v>
      </c>
    </row>
    <row r="1056" spans="1:7" x14ac:dyDescent="0.2">
      <c r="A1056" t="s">
        <v>265</v>
      </c>
      <c r="B1056">
        <v>29.1</v>
      </c>
      <c r="C1056">
        <v>22</v>
      </c>
      <c r="D1056">
        <v>29.3</v>
      </c>
      <c r="E1056">
        <v>7.2</v>
      </c>
      <c r="F1056" t="s">
        <v>231</v>
      </c>
      <c r="G1056" s="92">
        <v>45720.714756944442</v>
      </c>
    </row>
    <row r="1057" spans="1:7" x14ac:dyDescent="0.2">
      <c r="A1057" t="s">
        <v>264</v>
      </c>
      <c r="B1057">
        <v>28.4</v>
      </c>
      <c r="C1057">
        <v>24.8</v>
      </c>
      <c r="D1057">
        <v>47.6</v>
      </c>
      <c r="E1057">
        <v>9.8000000000000007</v>
      </c>
      <c r="F1057" t="s">
        <v>231</v>
      </c>
      <c r="G1057" s="92">
        <v>45720.714432870373</v>
      </c>
    </row>
    <row r="1058" spans="1:7" x14ac:dyDescent="0.2">
      <c r="A1058" t="s">
        <v>338</v>
      </c>
      <c r="B1058">
        <v>28.5</v>
      </c>
      <c r="C1058">
        <v>29</v>
      </c>
      <c r="D1058">
        <v>35.4</v>
      </c>
      <c r="E1058">
        <v>8.1</v>
      </c>
      <c r="F1058" t="s">
        <v>231</v>
      </c>
      <c r="G1058" s="92">
        <v>45720.684849537036</v>
      </c>
    </row>
    <row r="1059" spans="1:7" x14ac:dyDescent="0.2">
      <c r="A1059" t="s">
        <v>789</v>
      </c>
      <c r="B1059">
        <v>28.2</v>
      </c>
      <c r="C1059">
        <v>38.6</v>
      </c>
      <c r="D1059">
        <v>40.799999999999997</v>
      </c>
      <c r="E1059">
        <v>13.3</v>
      </c>
      <c r="F1059" t="s">
        <v>231</v>
      </c>
      <c r="G1059" s="92">
        <v>45720.634837962964</v>
      </c>
    </row>
    <row r="1060" spans="1:7" x14ac:dyDescent="0.2">
      <c r="A1060" t="s">
        <v>790</v>
      </c>
      <c r="B1060">
        <v>21.8</v>
      </c>
      <c r="C1060">
        <v>22</v>
      </c>
      <c r="D1060">
        <v>51</v>
      </c>
      <c r="E1060">
        <v>1.2</v>
      </c>
      <c r="F1060" t="s">
        <v>231</v>
      </c>
      <c r="G1060" s="92">
        <v>45720.636759259258</v>
      </c>
    </row>
    <row r="1061" spans="1:7" x14ac:dyDescent="0.2">
      <c r="A1061" t="s">
        <v>788</v>
      </c>
      <c r="B1061">
        <v>34.200000000000003</v>
      </c>
      <c r="C1061">
        <v>38.9</v>
      </c>
      <c r="D1061">
        <v>39.299999999999997</v>
      </c>
      <c r="E1061">
        <v>3.4</v>
      </c>
      <c r="F1061" t="s">
        <v>231</v>
      </c>
      <c r="G1061" s="92">
        <v>45720.63417824074</v>
      </c>
    </row>
    <row r="1062" spans="1:7" x14ac:dyDescent="0.2">
      <c r="A1062" t="s">
        <v>609</v>
      </c>
      <c r="B1062">
        <v>18.399999999999999</v>
      </c>
      <c r="C1062">
        <v>10.3</v>
      </c>
      <c r="D1062">
        <v>26.5</v>
      </c>
      <c r="E1062">
        <v>0.6</v>
      </c>
      <c r="F1062" t="s">
        <v>231</v>
      </c>
      <c r="G1062" s="92">
        <v>45719.663784722223</v>
      </c>
    </row>
    <row r="1063" spans="1:7" x14ac:dyDescent="0.2">
      <c r="A1063" t="s">
        <v>259</v>
      </c>
      <c r="B1063">
        <v>18.8</v>
      </c>
      <c r="C1063">
        <v>11.9</v>
      </c>
      <c r="D1063">
        <v>26.8</v>
      </c>
      <c r="E1063">
        <v>0.6</v>
      </c>
      <c r="F1063" t="s">
        <v>231</v>
      </c>
      <c r="G1063" s="92">
        <v>45719.667986111112</v>
      </c>
    </row>
    <row r="1064" spans="1:7" x14ac:dyDescent="0.2">
      <c r="A1064" t="s">
        <v>260</v>
      </c>
      <c r="B1064">
        <v>24.7</v>
      </c>
      <c r="C1064">
        <v>19.7</v>
      </c>
      <c r="D1064">
        <v>32.799999999999997</v>
      </c>
      <c r="E1064">
        <v>0.2</v>
      </c>
      <c r="F1064" t="s">
        <v>231</v>
      </c>
      <c r="G1064" s="92">
        <v>45719.667395833334</v>
      </c>
    </row>
    <row r="1065" spans="1:7" x14ac:dyDescent="0.2">
      <c r="A1065" t="s">
        <v>258</v>
      </c>
      <c r="B1065">
        <v>26.5</v>
      </c>
      <c r="C1065">
        <v>27.2</v>
      </c>
      <c r="D1065">
        <v>35.200000000000003</v>
      </c>
      <c r="E1065">
        <v>15.3</v>
      </c>
      <c r="F1065" t="s">
        <v>231</v>
      </c>
      <c r="G1065" s="92">
        <v>45719.656365740739</v>
      </c>
    </row>
    <row r="1066" spans="1:7" x14ac:dyDescent="0.2">
      <c r="A1066" t="s">
        <v>787</v>
      </c>
      <c r="B1066">
        <v>51.5</v>
      </c>
      <c r="C1066">
        <v>50</v>
      </c>
      <c r="D1066">
        <v>53.5</v>
      </c>
      <c r="E1066">
        <v>10.6</v>
      </c>
      <c r="F1066" t="s">
        <v>231</v>
      </c>
      <c r="G1066" s="92">
        <v>45719.403101851851</v>
      </c>
    </row>
    <row r="1067" spans="1:7" x14ac:dyDescent="0.2">
      <c r="A1067" t="s">
        <v>782</v>
      </c>
      <c r="B1067">
        <v>22.7</v>
      </c>
      <c r="C1067">
        <v>10.9</v>
      </c>
      <c r="D1067">
        <v>31</v>
      </c>
      <c r="E1067">
        <v>0.6</v>
      </c>
      <c r="F1067" t="s">
        <v>210</v>
      </c>
      <c r="G1067" s="92">
        <v>45717.546354166669</v>
      </c>
    </row>
    <row r="1068" spans="1:7" x14ac:dyDescent="0.2">
      <c r="A1068" t="s">
        <v>786</v>
      </c>
      <c r="B1068">
        <v>41.4</v>
      </c>
      <c r="C1068">
        <v>38.6</v>
      </c>
      <c r="D1068">
        <v>59.1</v>
      </c>
      <c r="E1068">
        <v>6.6</v>
      </c>
      <c r="F1068" t="s">
        <v>210</v>
      </c>
      <c r="G1068" s="92">
        <v>45717.550208333334</v>
      </c>
    </row>
    <row r="1069" spans="1:7" x14ac:dyDescent="0.2">
      <c r="A1069" t="s">
        <v>784</v>
      </c>
      <c r="B1069">
        <v>41.3</v>
      </c>
      <c r="C1069">
        <v>12.4</v>
      </c>
      <c r="D1069">
        <v>51.1</v>
      </c>
      <c r="E1069">
        <v>4.7</v>
      </c>
      <c r="F1069" t="s">
        <v>210</v>
      </c>
      <c r="G1069" s="92">
        <v>45717.54755787037</v>
      </c>
    </row>
    <row r="1070" spans="1:7" x14ac:dyDescent="0.2">
      <c r="A1070" t="s">
        <v>785</v>
      </c>
      <c r="B1070">
        <v>41.6</v>
      </c>
      <c r="C1070">
        <v>12.3</v>
      </c>
      <c r="D1070">
        <v>50.9</v>
      </c>
      <c r="E1070">
        <v>3.2</v>
      </c>
      <c r="F1070" t="s">
        <v>210</v>
      </c>
      <c r="G1070" s="92">
        <v>45717.549224537041</v>
      </c>
    </row>
    <row r="1071" spans="1:7" x14ac:dyDescent="0.2">
      <c r="A1071" t="s">
        <v>783</v>
      </c>
      <c r="B1071">
        <v>18.7</v>
      </c>
      <c r="C1071">
        <v>15.6</v>
      </c>
      <c r="D1071">
        <v>25.1</v>
      </c>
      <c r="E1071">
        <v>0.4</v>
      </c>
      <c r="F1071" t="s">
        <v>210</v>
      </c>
      <c r="G1071" s="92">
        <v>45717.547106481485</v>
      </c>
    </row>
    <row r="1072" spans="1:7" x14ac:dyDescent="0.2">
      <c r="A1072" t="s">
        <v>607</v>
      </c>
      <c r="B1072">
        <v>37.6</v>
      </c>
      <c r="C1072">
        <v>27.5</v>
      </c>
      <c r="D1072">
        <v>45.9</v>
      </c>
      <c r="E1072">
        <v>4</v>
      </c>
      <c r="F1072" t="s">
        <v>216</v>
      </c>
      <c r="G1072" s="92">
        <v>45716.574444444443</v>
      </c>
    </row>
    <row r="1073" spans="1:7" x14ac:dyDescent="0.2">
      <c r="A1073" t="s">
        <v>608</v>
      </c>
      <c r="B1073">
        <v>37.5</v>
      </c>
      <c r="C1073">
        <v>42.4</v>
      </c>
      <c r="D1073">
        <v>45.3</v>
      </c>
      <c r="E1073">
        <v>5</v>
      </c>
      <c r="F1073" t="s">
        <v>216</v>
      </c>
      <c r="G1073" s="92">
        <v>45716.575254629628</v>
      </c>
    </row>
    <row r="1074" spans="1:7" x14ac:dyDescent="0.2">
      <c r="A1074" t="s">
        <v>780</v>
      </c>
      <c r="B1074">
        <v>35.1</v>
      </c>
      <c r="C1074">
        <v>39</v>
      </c>
      <c r="D1074">
        <v>40.299999999999997</v>
      </c>
      <c r="E1074">
        <v>7.1</v>
      </c>
      <c r="F1074" t="s">
        <v>216</v>
      </c>
      <c r="G1074" s="92">
        <v>45715.577013888891</v>
      </c>
    </row>
    <row r="1075" spans="1:7" x14ac:dyDescent="0.2">
      <c r="A1075" t="s">
        <v>778</v>
      </c>
      <c r="B1075">
        <v>41.6</v>
      </c>
      <c r="C1075">
        <v>54.4</v>
      </c>
      <c r="D1075">
        <v>51.5</v>
      </c>
      <c r="E1075">
        <v>14.3</v>
      </c>
      <c r="F1075" t="s">
        <v>216</v>
      </c>
      <c r="G1075" s="92">
        <v>45715.577835648146</v>
      </c>
    </row>
    <row r="1076" spans="1:7" x14ac:dyDescent="0.2">
      <c r="A1076" t="s">
        <v>781</v>
      </c>
      <c r="B1076">
        <v>41.6</v>
      </c>
      <c r="C1076">
        <v>54.5</v>
      </c>
      <c r="D1076">
        <v>51.5</v>
      </c>
      <c r="E1076">
        <v>14.4</v>
      </c>
      <c r="F1076" t="s">
        <v>216</v>
      </c>
      <c r="G1076" s="92">
        <v>45715.578692129631</v>
      </c>
    </row>
    <row r="1077" spans="1:7" x14ac:dyDescent="0.2">
      <c r="A1077" t="s">
        <v>339</v>
      </c>
      <c r="B1077">
        <v>31.9</v>
      </c>
      <c r="C1077">
        <v>14.1</v>
      </c>
      <c r="D1077">
        <v>35.4</v>
      </c>
      <c r="E1077">
        <v>8.1</v>
      </c>
      <c r="F1077" t="s">
        <v>216</v>
      </c>
      <c r="G1077" s="92">
        <v>45715.455266203702</v>
      </c>
    </row>
    <row r="1078" spans="1:7" x14ac:dyDescent="0.2">
      <c r="A1078" t="s">
        <v>257</v>
      </c>
      <c r="B1078">
        <v>17</v>
      </c>
      <c r="C1078">
        <v>13.2</v>
      </c>
      <c r="D1078">
        <v>24.5</v>
      </c>
      <c r="E1078">
        <v>0.3</v>
      </c>
      <c r="F1078" t="s">
        <v>216</v>
      </c>
      <c r="G1078" s="92">
        <v>45714.72761574074</v>
      </c>
    </row>
    <row r="1079" spans="1:7" x14ac:dyDescent="0.2">
      <c r="A1079" t="s">
        <v>255</v>
      </c>
      <c r="B1079">
        <v>41.5</v>
      </c>
      <c r="C1079">
        <v>54.1</v>
      </c>
      <c r="D1079">
        <v>51.5</v>
      </c>
      <c r="E1079">
        <v>17.399999999999999</v>
      </c>
      <c r="F1079" t="s">
        <v>216</v>
      </c>
      <c r="G1079" s="92">
        <v>45714.669583333336</v>
      </c>
    </row>
    <row r="1080" spans="1:7" x14ac:dyDescent="0.2">
      <c r="A1080" t="s">
        <v>256</v>
      </c>
      <c r="B1080">
        <v>41.5</v>
      </c>
      <c r="C1080">
        <v>54.1</v>
      </c>
      <c r="D1080">
        <v>52.1</v>
      </c>
      <c r="E1080">
        <v>14.4</v>
      </c>
      <c r="F1080" t="s">
        <v>216</v>
      </c>
      <c r="G1080" s="92">
        <v>45714.670370370368</v>
      </c>
    </row>
    <row r="1081" spans="1:7" x14ac:dyDescent="0.2">
      <c r="A1081" t="s">
        <v>254</v>
      </c>
      <c r="B1081">
        <v>27</v>
      </c>
      <c r="C1081">
        <v>30.3</v>
      </c>
      <c r="D1081">
        <v>36.6</v>
      </c>
      <c r="E1081">
        <v>13.9</v>
      </c>
      <c r="F1081" t="s">
        <v>216</v>
      </c>
      <c r="G1081" s="92">
        <v>45714.607060185182</v>
      </c>
    </row>
    <row r="1082" spans="1:7" x14ac:dyDescent="0.2">
      <c r="A1082" t="s">
        <v>250</v>
      </c>
      <c r="B1082">
        <v>48</v>
      </c>
      <c r="C1082">
        <v>44.7</v>
      </c>
      <c r="D1082">
        <v>47.5</v>
      </c>
      <c r="E1082">
        <v>6.2</v>
      </c>
      <c r="F1082" t="s">
        <v>216</v>
      </c>
      <c r="G1082" s="92">
        <v>45714.60434027778</v>
      </c>
    </row>
    <row r="1083" spans="1:7" x14ac:dyDescent="0.2">
      <c r="A1083" t="s">
        <v>253</v>
      </c>
      <c r="B1083">
        <v>32.799999999999997</v>
      </c>
      <c r="C1083">
        <v>25.3</v>
      </c>
      <c r="D1083">
        <v>46.9</v>
      </c>
      <c r="E1083">
        <v>3.4</v>
      </c>
      <c r="F1083" t="s">
        <v>216</v>
      </c>
      <c r="G1083" s="92">
        <v>45714.606354166666</v>
      </c>
    </row>
    <row r="1084" spans="1:7" x14ac:dyDescent="0.2">
      <c r="A1084" t="s">
        <v>252</v>
      </c>
      <c r="B1084">
        <v>31.6</v>
      </c>
      <c r="C1084">
        <v>20.399999999999999</v>
      </c>
      <c r="D1084">
        <v>41.8</v>
      </c>
      <c r="E1084">
        <v>2.6</v>
      </c>
      <c r="F1084" t="s">
        <v>216</v>
      </c>
      <c r="G1084" s="92">
        <v>45714.605393518519</v>
      </c>
    </row>
    <row r="1085" spans="1:7" x14ac:dyDescent="0.2">
      <c r="A1085" t="s">
        <v>251</v>
      </c>
      <c r="B1085">
        <v>33.799999999999997</v>
      </c>
      <c r="C1085">
        <v>32.1</v>
      </c>
      <c r="D1085">
        <v>43</v>
      </c>
      <c r="E1085">
        <v>7.5</v>
      </c>
      <c r="F1085" t="s">
        <v>216</v>
      </c>
      <c r="G1085" s="92">
        <v>45714.604768518519</v>
      </c>
    </row>
    <row r="1086" spans="1:7" x14ac:dyDescent="0.2">
      <c r="A1086" t="s">
        <v>249</v>
      </c>
      <c r="B1086">
        <v>51.2</v>
      </c>
      <c r="C1086">
        <v>50.4</v>
      </c>
      <c r="D1086">
        <v>53.1</v>
      </c>
      <c r="E1086">
        <v>12.6</v>
      </c>
      <c r="F1086" t="s">
        <v>216</v>
      </c>
      <c r="G1086" s="92">
        <v>45714.447916666664</v>
      </c>
    </row>
    <row r="1087" spans="1:7" x14ac:dyDescent="0.2">
      <c r="A1087" t="s">
        <v>776</v>
      </c>
      <c r="B1087">
        <v>25.6</v>
      </c>
      <c r="C1087">
        <v>33.6</v>
      </c>
      <c r="D1087">
        <v>32.1</v>
      </c>
      <c r="E1087">
        <v>1.8</v>
      </c>
      <c r="F1087" t="s">
        <v>216</v>
      </c>
      <c r="G1087" s="92">
        <v>45713.543483796297</v>
      </c>
    </row>
    <row r="1088" spans="1:7" x14ac:dyDescent="0.2">
      <c r="A1088" t="s">
        <v>777</v>
      </c>
      <c r="B1088">
        <v>27.7</v>
      </c>
      <c r="C1088">
        <v>20.2</v>
      </c>
      <c r="D1088">
        <v>35.9</v>
      </c>
      <c r="E1088">
        <v>1.2</v>
      </c>
      <c r="F1088" t="s">
        <v>216</v>
      </c>
      <c r="G1088" s="92">
        <v>45713.543888888889</v>
      </c>
    </row>
    <row r="1089" spans="1:7" x14ac:dyDescent="0.2">
      <c r="A1089" t="s">
        <v>779</v>
      </c>
      <c r="B1089">
        <v>32.1</v>
      </c>
      <c r="C1089">
        <v>30</v>
      </c>
      <c r="D1089">
        <v>37.9</v>
      </c>
      <c r="E1089">
        <v>1.3</v>
      </c>
      <c r="F1089" t="s">
        <v>216</v>
      </c>
      <c r="G1089" s="92">
        <v>45713.544641203705</v>
      </c>
    </row>
    <row r="1090" spans="1:7" x14ac:dyDescent="0.2">
      <c r="A1090" t="s">
        <v>606</v>
      </c>
      <c r="B1090">
        <v>28.8</v>
      </c>
      <c r="C1090">
        <v>12</v>
      </c>
      <c r="D1090">
        <v>38.5</v>
      </c>
      <c r="E1090">
        <v>5.2</v>
      </c>
      <c r="F1090" t="s">
        <v>210</v>
      </c>
      <c r="G1090" s="92">
        <v>45710.550486111111</v>
      </c>
    </row>
    <row r="1091" spans="1:7" x14ac:dyDescent="0.2">
      <c r="A1091" t="s">
        <v>602</v>
      </c>
      <c r="B1091">
        <v>31.1</v>
      </c>
      <c r="C1091">
        <v>20.100000000000001</v>
      </c>
      <c r="D1091">
        <v>40.700000000000003</v>
      </c>
      <c r="E1091">
        <v>11</v>
      </c>
      <c r="F1091" t="s">
        <v>210</v>
      </c>
      <c r="G1091" s="92">
        <v>45710.547361111108</v>
      </c>
    </row>
    <row r="1092" spans="1:7" x14ac:dyDescent="0.2">
      <c r="A1092" t="s">
        <v>603</v>
      </c>
      <c r="B1092">
        <v>33.799999999999997</v>
      </c>
      <c r="C1092">
        <v>30.7</v>
      </c>
      <c r="D1092">
        <v>40.200000000000003</v>
      </c>
      <c r="E1092">
        <v>3.5</v>
      </c>
      <c r="F1092" t="s">
        <v>210</v>
      </c>
      <c r="G1092" s="92">
        <v>45710.548148148147</v>
      </c>
    </row>
    <row r="1093" spans="1:7" x14ac:dyDescent="0.2">
      <c r="A1093" t="s">
        <v>604</v>
      </c>
      <c r="B1093">
        <v>27.4</v>
      </c>
      <c r="C1093">
        <v>13.3</v>
      </c>
      <c r="D1093">
        <v>36.299999999999997</v>
      </c>
      <c r="E1093">
        <v>6.7</v>
      </c>
      <c r="F1093" t="s">
        <v>210</v>
      </c>
      <c r="G1093" s="92">
        <v>45710.548981481479</v>
      </c>
    </row>
    <row r="1094" spans="1:7" x14ac:dyDescent="0.2">
      <c r="A1094" t="s">
        <v>605</v>
      </c>
      <c r="B1094">
        <v>31.8</v>
      </c>
      <c r="C1094">
        <v>13.6</v>
      </c>
      <c r="D1094">
        <v>35.200000000000003</v>
      </c>
      <c r="E1094">
        <v>8.1</v>
      </c>
      <c r="F1094" t="s">
        <v>210</v>
      </c>
      <c r="G1094" s="92">
        <v>45710.549583333333</v>
      </c>
    </row>
    <row r="1095" spans="1:7" x14ac:dyDescent="0.2">
      <c r="A1095" t="s">
        <v>601</v>
      </c>
      <c r="B1095">
        <v>41.7</v>
      </c>
      <c r="C1095">
        <v>53.6</v>
      </c>
      <c r="D1095">
        <v>51.9</v>
      </c>
      <c r="E1095">
        <v>6.5</v>
      </c>
      <c r="F1095" t="s">
        <v>216</v>
      </c>
      <c r="G1095" s="92">
        <v>45709.606307870374</v>
      </c>
    </row>
    <row r="1096" spans="1:7" x14ac:dyDescent="0.2">
      <c r="A1096" t="s">
        <v>599</v>
      </c>
      <c r="B1096">
        <v>41.9</v>
      </c>
      <c r="C1096">
        <v>53.5</v>
      </c>
      <c r="D1096">
        <v>41.8</v>
      </c>
      <c r="E1096">
        <v>10.199999999999999</v>
      </c>
      <c r="F1096" t="s">
        <v>216</v>
      </c>
      <c r="G1096" s="92">
        <v>45709.605208333334</v>
      </c>
    </row>
    <row r="1097" spans="1:7" x14ac:dyDescent="0.2">
      <c r="A1097" t="s">
        <v>600</v>
      </c>
      <c r="B1097">
        <v>41.8</v>
      </c>
      <c r="C1097">
        <v>53.5</v>
      </c>
      <c r="D1097">
        <v>51.6</v>
      </c>
      <c r="E1097">
        <v>8.6999999999999993</v>
      </c>
      <c r="F1097" t="s">
        <v>216</v>
      </c>
      <c r="G1097" s="92">
        <v>45709.605868055558</v>
      </c>
    </row>
    <row r="1098" spans="1:7" x14ac:dyDescent="0.2">
      <c r="A1098" t="s">
        <v>598</v>
      </c>
      <c r="B1098">
        <v>41.5</v>
      </c>
      <c r="C1098">
        <v>54.3</v>
      </c>
      <c r="D1098">
        <v>51.9</v>
      </c>
      <c r="E1098">
        <v>5.8</v>
      </c>
      <c r="F1098" t="s">
        <v>216</v>
      </c>
      <c r="G1098" s="92">
        <v>45709.604780092595</v>
      </c>
    </row>
    <row r="1099" spans="1:7" x14ac:dyDescent="0.2">
      <c r="A1099" t="s">
        <v>337</v>
      </c>
      <c r="B1099">
        <v>16.2</v>
      </c>
      <c r="C1099">
        <v>25.4</v>
      </c>
      <c r="D1099">
        <v>23.3</v>
      </c>
      <c r="E1099">
        <v>2.4</v>
      </c>
      <c r="F1099" t="s">
        <v>216</v>
      </c>
      <c r="G1099" s="92">
        <v>45709.581620370373</v>
      </c>
    </row>
    <row r="1100" spans="1:7" x14ac:dyDescent="0.2">
      <c r="A1100" t="s">
        <v>597</v>
      </c>
      <c r="B1100">
        <v>22.8</v>
      </c>
      <c r="C1100">
        <v>29.4</v>
      </c>
      <c r="D1100">
        <v>47.5</v>
      </c>
      <c r="E1100">
        <v>7.5</v>
      </c>
      <c r="F1100" t="s">
        <v>216</v>
      </c>
      <c r="G1100" s="92">
        <v>45708.572870370372</v>
      </c>
    </row>
    <row r="1101" spans="1:7" x14ac:dyDescent="0.2">
      <c r="A1101" t="s">
        <v>596</v>
      </c>
      <c r="B1101">
        <v>41.4</v>
      </c>
      <c r="C1101">
        <v>53.9</v>
      </c>
      <c r="D1101">
        <v>52.2</v>
      </c>
      <c r="E1101">
        <v>11.1</v>
      </c>
      <c r="F1101" t="s">
        <v>216</v>
      </c>
      <c r="G1101" s="92">
        <v>45708.572256944448</v>
      </c>
    </row>
    <row r="1102" spans="1:7" x14ac:dyDescent="0.2">
      <c r="A1102" t="s">
        <v>595</v>
      </c>
      <c r="B1102">
        <v>31.5</v>
      </c>
      <c r="C1102">
        <v>49.1</v>
      </c>
      <c r="D1102">
        <v>31.5</v>
      </c>
      <c r="E1102">
        <v>8.6</v>
      </c>
      <c r="F1102" t="s">
        <v>216</v>
      </c>
      <c r="G1102" s="92">
        <v>45708.571550925924</v>
      </c>
    </row>
    <row r="1103" spans="1:7" x14ac:dyDescent="0.2">
      <c r="A1103" t="s">
        <v>594</v>
      </c>
      <c r="B1103">
        <v>64</v>
      </c>
      <c r="C1103">
        <v>63.3</v>
      </c>
      <c r="D1103">
        <v>21.1</v>
      </c>
      <c r="E1103">
        <v>5.2</v>
      </c>
      <c r="F1103" t="s">
        <v>216</v>
      </c>
      <c r="G1103" s="92">
        <v>45708.570914351854</v>
      </c>
    </row>
    <row r="1104" spans="1:7" x14ac:dyDescent="0.2">
      <c r="A1104" t="s">
        <v>248</v>
      </c>
      <c r="B1104">
        <v>24.4</v>
      </c>
      <c r="C1104">
        <v>23.6</v>
      </c>
      <c r="D1104">
        <v>29.4</v>
      </c>
      <c r="E1104">
        <v>1.6</v>
      </c>
      <c r="F1104" t="s">
        <v>216</v>
      </c>
      <c r="G1104" s="92">
        <v>45707.702951388892</v>
      </c>
    </row>
    <row r="1105" spans="1:7" x14ac:dyDescent="0.2">
      <c r="A1105" t="s">
        <v>245</v>
      </c>
      <c r="B1105">
        <v>45.7</v>
      </c>
      <c r="C1105">
        <v>29.9</v>
      </c>
      <c r="D1105">
        <v>32.700000000000003</v>
      </c>
      <c r="E1105">
        <v>1.1000000000000001</v>
      </c>
      <c r="F1105" t="s">
        <v>216</v>
      </c>
      <c r="G1105" s="92">
        <v>45707.569363425922</v>
      </c>
    </row>
    <row r="1106" spans="1:7" x14ac:dyDescent="0.2">
      <c r="A1106" t="s">
        <v>247</v>
      </c>
      <c r="B1106">
        <v>31.6</v>
      </c>
      <c r="C1106">
        <v>11.3</v>
      </c>
      <c r="D1106">
        <v>48.5</v>
      </c>
      <c r="E1106">
        <v>2</v>
      </c>
      <c r="F1106" t="s">
        <v>216</v>
      </c>
      <c r="G1106" s="92">
        <v>45707.570671296293</v>
      </c>
    </row>
    <row r="1107" spans="1:7" x14ac:dyDescent="0.2">
      <c r="A1107" t="s">
        <v>246</v>
      </c>
      <c r="B1107">
        <v>37</v>
      </c>
      <c r="C1107">
        <v>39.4</v>
      </c>
      <c r="D1107">
        <v>34.4</v>
      </c>
      <c r="E1107">
        <v>10.199999999999999</v>
      </c>
      <c r="F1107" t="s">
        <v>216</v>
      </c>
      <c r="G1107" s="92">
        <v>45707.570092592592</v>
      </c>
    </row>
    <row r="1108" spans="1:7" x14ac:dyDescent="0.2">
      <c r="A1108" t="s">
        <v>593</v>
      </c>
      <c r="B1108">
        <v>61.6</v>
      </c>
      <c r="C1108">
        <v>75.7</v>
      </c>
      <c r="D1108">
        <v>32.799999999999997</v>
      </c>
      <c r="E1108">
        <v>8.5</v>
      </c>
      <c r="F1108" t="s">
        <v>216</v>
      </c>
      <c r="G1108" s="92">
        <v>45707.493287037039</v>
      </c>
    </row>
    <row r="1109" spans="1:7" x14ac:dyDescent="0.2">
      <c r="A1109" t="s">
        <v>490</v>
      </c>
      <c r="B1109">
        <v>25.1</v>
      </c>
      <c r="C1109">
        <v>25</v>
      </c>
      <c r="D1109">
        <v>33.799999999999997</v>
      </c>
      <c r="E1109">
        <v>6</v>
      </c>
      <c r="F1109" t="s">
        <v>210</v>
      </c>
      <c r="G1109" s="92">
        <v>45706.710682870369</v>
      </c>
    </row>
    <row r="1110" spans="1:7" x14ac:dyDescent="0.2">
      <c r="A1110" t="s">
        <v>774</v>
      </c>
      <c r="B1110">
        <v>37.5</v>
      </c>
      <c r="C1110">
        <v>33.299999999999997</v>
      </c>
      <c r="D1110">
        <v>41.6</v>
      </c>
      <c r="E1110">
        <v>5.3</v>
      </c>
      <c r="F1110" t="s">
        <v>210</v>
      </c>
      <c r="G1110" s="92">
        <v>45706.674293981479</v>
      </c>
    </row>
    <row r="1111" spans="1:7" x14ac:dyDescent="0.2">
      <c r="A1111" t="s">
        <v>775</v>
      </c>
      <c r="B1111">
        <v>37.700000000000003</v>
      </c>
      <c r="C1111">
        <v>33.5</v>
      </c>
      <c r="D1111">
        <v>41.5</v>
      </c>
      <c r="E1111">
        <v>5.3</v>
      </c>
      <c r="F1111" t="s">
        <v>210</v>
      </c>
      <c r="G1111" s="92">
        <v>45706.675000000003</v>
      </c>
    </row>
    <row r="1112" spans="1:7" x14ac:dyDescent="0.2">
      <c r="A1112" t="s">
        <v>772</v>
      </c>
      <c r="B1112">
        <v>33.6</v>
      </c>
      <c r="C1112">
        <v>25.1</v>
      </c>
      <c r="D1112">
        <v>19</v>
      </c>
      <c r="E1112">
        <v>0.9</v>
      </c>
      <c r="F1112" t="s">
        <v>210</v>
      </c>
      <c r="G1112" s="92">
        <v>45706.616006944445</v>
      </c>
    </row>
    <row r="1113" spans="1:7" x14ac:dyDescent="0.2">
      <c r="A1113" t="s">
        <v>773</v>
      </c>
      <c r="B1113">
        <v>48.4</v>
      </c>
      <c r="C1113">
        <v>35</v>
      </c>
      <c r="D1113">
        <v>26.4</v>
      </c>
      <c r="E1113">
        <v>1.4</v>
      </c>
      <c r="F1113" t="s">
        <v>210</v>
      </c>
      <c r="G1113" s="92">
        <v>45706.617222222223</v>
      </c>
    </row>
    <row r="1114" spans="1:7" x14ac:dyDescent="0.2">
      <c r="A1114" t="s">
        <v>336</v>
      </c>
      <c r="B1114">
        <v>25.8</v>
      </c>
      <c r="C1114">
        <v>21.9</v>
      </c>
      <c r="D1114">
        <v>14</v>
      </c>
      <c r="E1114">
        <v>1.1000000000000001</v>
      </c>
      <c r="F1114" t="s">
        <v>210</v>
      </c>
      <c r="G1114" s="92">
        <v>45706.61142361111</v>
      </c>
    </row>
    <row r="1115" spans="1:7" x14ac:dyDescent="0.2">
      <c r="A1115" t="s">
        <v>335</v>
      </c>
      <c r="B1115">
        <v>47.5</v>
      </c>
      <c r="C1115">
        <v>36.1</v>
      </c>
      <c r="D1115">
        <v>25.4</v>
      </c>
      <c r="E1115">
        <v>4.5999999999999996</v>
      </c>
      <c r="F1115" t="s">
        <v>210</v>
      </c>
      <c r="G1115" s="92">
        <v>45706.610567129632</v>
      </c>
    </row>
    <row r="1116" spans="1:7" x14ac:dyDescent="0.2">
      <c r="A1116" t="s">
        <v>334</v>
      </c>
      <c r="B1116">
        <v>47.1</v>
      </c>
      <c r="C1116">
        <v>47.1</v>
      </c>
      <c r="D1116">
        <v>32.9</v>
      </c>
      <c r="E1116">
        <v>12.9</v>
      </c>
      <c r="F1116" t="s">
        <v>210</v>
      </c>
      <c r="G1116" s="92">
        <v>45706.609768518516</v>
      </c>
    </row>
    <row r="1117" spans="1:7" x14ac:dyDescent="0.2">
      <c r="A1117" t="s">
        <v>769</v>
      </c>
      <c r="B1117">
        <v>24.4</v>
      </c>
      <c r="C1117">
        <v>20.399999999999999</v>
      </c>
      <c r="D1117">
        <v>25.2</v>
      </c>
      <c r="E1117">
        <v>8.1</v>
      </c>
      <c r="F1117" t="s">
        <v>210</v>
      </c>
      <c r="G1117" s="92">
        <v>45705.601388888892</v>
      </c>
    </row>
    <row r="1118" spans="1:7" x14ac:dyDescent="0.2">
      <c r="A1118" t="s">
        <v>771</v>
      </c>
      <c r="B1118">
        <v>33</v>
      </c>
      <c r="C1118">
        <v>38.799999999999997</v>
      </c>
      <c r="D1118">
        <v>36.200000000000003</v>
      </c>
      <c r="E1118">
        <v>3</v>
      </c>
      <c r="F1118" t="s">
        <v>210</v>
      </c>
      <c r="G1118" s="92">
        <v>45705.608865740738</v>
      </c>
    </row>
    <row r="1119" spans="1:7" x14ac:dyDescent="0.2">
      <c r="A1119" t="s">
        <v>329</v>
      </c>
      <c r="B1119">
        <v>41.4</v>
      </c>
      <c r="C1119">
        <v>12.3</v>
      </c>
      <c r="D1119">
        <v>51.3</v>
      </c>
      <c r="E1119">
        <v>3.2</v>
      </c>
      <c r="F1119" t="s">
        <v>210</v>
      </c>
      <c r="G1119" s="92">
        <v>45703.5544212963</v>
      </c>
    </row>
    <row r="1120" spans="1:7" x14ac:dyDescent="0.2">
      <c r="A1120" t="s">
        <v>330</v>
      </c>
      <c r="B1120">
        <v>33.6</v>
      </c>
      <c r="C1120">
        <v>30.3</v>
      </c>
      <c r="D1120">
        <v>42.3</v>
      </c>
      <c r="E1120">
        <v>10.199999999999999</v>
      </c>
      <c r="F1120" t="s">
        <v>210</v>
      </c>
      <c r="G1120" s="92">
        <v>45703.555219907408</v>
      </c>
    </row>
    <row r="1121" spans="1:7" x14ac:dyDescent="0.2">
      <c r="A1121" t="s">
        <v>333</v>
      </c>
      <c r="B1121">
        <v>26.9</v>
      </c>
      <c r="C1121">
        <v>11.5</v>
      </c>
      <c r="D1121">
        <v>32.1</v>
      </c>
      <c r="E1121">
        <v>0.8</v>
      </c>
      <c r="F1121" t="s">
        <v>210</v>
      </c>
      <c r="G1121" s="92">
        <v>45703.557013888887</v>
      </c>
    </row>
    <row r="1122" spans="1:7" x14ac:dyDescent="0.2">
      <c r="A1122" t="s">
        <v>331</v>
      </c>
      <c r="B1122">
        <v>29</v>
      </c>
      <c r="C1122">
        <v>29.4</v>
      </c>
      <c r="D1122">
        <v>52.8</v>
      </c>
      <c r="E1122">
        <v>8.9</v>
      </c>
      <c r="F1122" t="s">
        <v>210</v>
      </c>
      <c r="G1122" s="92">
        <v>45703.556006944447</v>
      </c>
    </row>
    <row r="1123" spans="1:7" x14ac:dyDescent="0.2">
      <c r="A1123" t="s">
        <v>332</v>
      </c>
      <c r="B1123">
        <v>29.1</v>
      </c>
      <c r="C1123">
        <v>29.3</v>
      </c>
      <c r="D1123">
        <v>53.1</v>
      </c>
      <c r="E1123">
        <v>15.1</v>
      </c>
      <c r="F1123" t="s">
        <v>210</v>
      </c>
      <c r="G1123" s="92">
        <v>45703.556469907409</v>
      </c>
    </row>
    <row r="1124" spans="1:7" x14ac:dyDescent="0.2">
      <c r="A1124" t="s">
        <v>328</v>
      </c>
      <c r="B1124">
        <v>29.3</v>
      </c>
      <c r="C1124">
        <v>22.5</v>
      </c>
      <c r="D1124">
        <v>36.9</v>
      </c>
      <c r="E1124">
        <v>3</v>
      </c>
      <c r="F1124" t="s">
        <v>210</v>
      </c>
      <c r="G1124" s="92">
        <v>45703.450127314813</v>
      </c>
    </row>
    <row r="1125" spans="1:7" x14ac:dyDescent="0.2">
      <c r="A1125" t="s">
        <v>592</v>
      </c>
      <c r="B1125">
        <v>27.4</v>
      </c>
      <c r="C1125">
        <v>16.8</v>
      </c>
      <c r="D1125">
        <v>41.6</v>
      </c>
      <c r="E1125">
        <v>8</v>
      </c>
      <c r="F1125" t="s">
        <v>210</v>
      </c>
      <c r="G1125" s="92">
        <v>45702.623298611114</v>
      </c>
    </row>
    <row r="1126" spans="1:7" x14ac:dyDescent="0.2">
      <c r="A1126" t="s">
        <v>589</v>
      </c>
      <c r="B1126">
        <v>24.2</v>
      </c>
      <c r="C1126">
        <v>5.2</v>
      </c>
      <c r="D1126">
        <v>17.3</v>
      </c>
      <c r="E1126">
        <v>0.2</v>
      </c>
      <c r="F1126" t="s">
        <v>210</v>
      </c>
      <c r="G1126" s="92">
        <v>45702.597025462965</v>
      </c>
    </row>
    <row r="1127" spans="1:7" x14ac:dyDescent="0.2">
      <c r="A1127" t="s">
        <v>590</v>
      </c>
      <c r="B1127">
        <v>5.4</v>
      </c>
      <c r="C1127">
        <v>24.4</v>
      </c>
      <c r="D1127">
        <v>17.399999999999999</v>
      </c>
      <c r="E1127">
        <v>0.2</v>
      </c>
      <c r="F1127" t="s">
        <v>210</v>
      </c>
      <c r="G1127" s="92">
        <v>45702.596284722225</v>
      </c>
    </row>
    <row r="1128" spans="1:7" x14ac:dyDescent="0.2">
      <c r="A1128" t="s">
        <v>586</v>
      </c>
      <c r="B1128">
        <v>40.299999999999997</v>
      </c>
      <c r="C1128">
        <v>31.9</v>
      </c>
      <c r="D1128">
        <v>16.8</v>
      </c>
      <c r="E1128">
        <v>1.4</v>
      </c>
      <c r="F1128" t="s">
        <v>210</v>
      </c>
      <c r="G1128" s="92">
        <v>45702.589849537035</v>
      </c>
    </row>
    <row r="1129" spans="1:7" x14ac:dyDescent="0.2">
      <c r="A1129" t="s">
        <v>588</v>
      </c>
      <c r="B1129">
        <v>20.3</v>
      </c>
      <c r="C1129">
        <v>26.7</v>
      </c>
      <c r="D1129">
        <v>20.399999999999999</v>
      </c>
      <c r="E1129">
        <v>0.9</v>
      </c>
      <c r="F1129" t="s">
        <v>210</v>
      </c>
      <c r="G1129" s="92">
        <v>45702.593275462961</v>
      </c>
    </row>
    <row r="1130" spans="1:7" x14ac:dyDescent="0.2">
      <c r="A1130" t="s">
        <v>587</v>
      </c>
      <c r="B1130">
        <v>31.7</v>
      </c>
      <c r="C1130">
        <v>22.8</v>
      </c>
      <c r="D1130">
        <v>24.2</v>
      </c>
      <c r="E1130">
        <v>0.5</v>
      </c>
      <c r="F1130" t="s">
        <v>210</v>
      </c>
      <c r="G1130" s="92">
        <v>45702.590428240743</v>
      </c>
    </row>
    <row r="1131" spans="1:7" x14ac:dyDescent="0.2">
      <c r="A1131" t="s">
        <v>585</v>
      </c>
      <c r="B1131">
        <v>60.7</v>
      </c>
      <c r="C1131">
        <v>44</v>
      </c>
      <c r="D1131">
        <v>55.8</v>
      </c>
      <c r="E1131">
        <v>7.3</v>
      </c>
      <c r="F1131" t="s">
        <v>210</v>
      </c>
      <c r="G1131" s="92">
        <v>45702.588935185187</v>
      </c>
    </row>
    <row r="1132" spans="1:7" x14ac:dyDescent="0.2">
      <c r="A1132" t="s">
        <v>591</v>
      </c>
      <c r="B1132">
        <v>46.5</v>
      </c>
      <c r="C1132">
        <v>35.5</v>
      </c>
      <c r="D1132">
        <v>41.7</v>
      </c>
      <c r="E1132">
        <v>6.2</v>
      </c>
      <c r="F1132" t="s">
        <v>210</v>
      </c>
      <c r="G1132" s="92">
        <v>45702.597974537035</v>
      </c>
    </row>
    <row r="1133" spans="1:7" x14ac:dyDescent="0.2">
      <c r="A1133" t="s">
        <v>583</v>
      </c>
      <c r="B1133">
        <v>34.9</v>
      </c>
      <c r="C1133">
        <v>26.4</v>
      </c>
      <c r="D1133">
        <v>48.5</v>
      </c>
      <c r="E1133">
        <v>1.5</v>
      </c>
      <c r="F1133" t="s">
        <v>210</v>
      </c>
      <c r="G1133" s="92">
        <v>45701.688981481479</v>
      </c>
    </row>
    <row r="1134" spans="1:7" x14ac:dyDescent="0.2">
      <c r="A1134" t="s">
        <v>576</v>
      </c>
      <c r="B1134">
        <v>36.9</v>
      </c>
      <c r="C1134">
        <v>32.1</v>
      </c>
      <c r="D1134">
        <v>45.3</v>
      </c>
      <c r="E1134">
        <v>6.5</v>
      </c>
      <c r="F1134" t="s">
        <v>210</v>
      </c>
      <c r="G1134" s="92">
        <v>45701.689733796295</v>
      </c>
    </row>
    <row r="1135" spans="1:7" x14ac:dyDescent="0.2">
      <c r="A1135" t="s">
        <v>584</v>
      </c>
      <c r="B1135">
        <v>34</v>
      </c>
      <c r="C1135">
        <v>38.5</v>
      </c>
      <c r="D1135">
        <v>39.700000000000003</v>
      </c>
      <c r="E1135">
        <v>12.2</v>
      </c>
      <c r="F1135" t="s">
        <v>210</v>
      </c>
      <c r="G1135" s="92">
        <v>45701.692847222221</v>
      </c>
    </row>
    <row r="1136" spans="1:7" x14ac:dyDescent="0.2">
      <c r="A1136" t="s">
        <v>581</v>
      </c>
      <c r="B1136">
        <v>27.7</v>
      </c>
      <c r="C1136">
        <v>19.399999999999999</v>
      </c>
      <c r="D1136">
        <v>39.299999999999997</v>
      </c>
      <c r="E1136">
        <v>0.5</v>
      </c>
      <c r="F1136" t="s">
        <v>210</v>
      </c>
      <c r="G1136" s="92">
        <v>45700.687858796293</v>
      </c>
    </row>
    <row r="1137" spans="1:7" x14ac:dyDescent="0.2">
      <c r="A1137" t="s">
        <v>582</v>
      </c>
      <c r="B1137">
        <v>14.6</v>
      </c>
      <c r="C1137">
        <v>13</v>
      </c>
      <c r="D1137">
        <v>22.7</v>
      </c>
      <c r="E1137">
        <v>0.3</v>
      </c>
      <c r="F1137" t="s">
        <v>210</v>
      </c>
      <c r="G1137" s="92">
        <v>45700.688402777778</v>
      </c>
    </row>
    <row r="1138" spans="1:7" x14ac:dyDescent="0.2">
      <c r="A1138" t="s">
        <v>580</v>
      </c>
      <c r="B1138">
        <v>25.5</v>
      </c>
      <c r="C1138">
        <v>24.6</v>
      </c>
      <c r="D1138">
        <v>34.1</v>
      </c>
      <c r="E1138">
        <v>4.8</v>
      </c>
      <c r="F1138" t="s">
        <v>210</v>
      </c>
      <c r="G1138" s="92">
        <v>45700.686574074076</v>
      </c>
    </row>
    <row r="1139" spans="1:7" x14ac:dyDescent="0.2">
      <c r="A1139" t="s">
        <v>578</v>
      </c>
      <c r="B1139">
        <v>36.1</v>
      </c>
      <c r="C1139">
        <v>26</v>
      </c>
      <c r="D1139">
        <v>47.1</v>
      </c>
      <c r="E1139">
        <v>1.8</v>
      </c>
      <c r="F1139" t="s">
        <v>210</v>
      </c>
      <c r="G1139" s="92">
        <v>45700.683923611112</v>
      </c>
    </row>
    <row r="1140" spans="1:7" x14ac:dyDescent="0.2">
      <c r="A1140" t="s">
        <v>577</v>
      </c>
      <c r="B1140">
        <v>33</v>
      </c>
      <c r="C1140">
        <v>22.7</v>
      </c>
      <c r="D1140">
        <v>42.1</v>
      </c>
      <c r="E1140">
        <v>1.2</v>
      </c>
      <c r="F1140" t="s">
        <v>210</v>
      </c>
      <c r="G1140" s="92">
        <v>45700.683333333334</v>
      </c>
    </row>
    <row r="1141" spans="1:7" x14ac:dyDescent="0.2">
      <c r="A1141" t="s">
        <v>579</v>
      </c>
      <c r="B1141">
        <v>36</v>
      </c>
      <c r="C1141">
        <v>29.2</v>
      </c>
      <c r="D1141">
        <v>46.3</v>
      </c>
      <c r="E1141">
        <v>13.7</v>
      </c>
      <c r="F1141" t="s">
        <v>210</v>
      </c>
      <c r="G1141" s="92">
        <v>45700.685578703706</v>
      </c>
    </row>
    <row r="1142" spans="1:7" x14ac:dyDescent="0.2">
      <c r="A1142" t="s">
        <v>770</v>
      </c>
      <c r="B1142">
        <v>11.8</v>
      </c>
      <c r="C1142">
        <v>18.899999999999999</v>
      </c>
      <c r="D1142">
        <v>32.299999999999997</v>
      </c>
      <c r="E1142">
        <v>1.5</v>
      </c>
      <c r="F1142" t="s">
        <v>210</v>
      </c>
      <c r="G1142" s="92">
        <v>45700.709768518522</v>
      </c>
    </row>
    <row r="1143" spans="1:7" x14ac:dyDescent="0.2">
      <c r="A1143" t="s">
        <v>489</v>
      </c>
      <c r="B1143">
        <v>32.6</v>
      </c>
      <c r="C1143">
        <v>28.2</v>
      </c>
      <c r="D1143">
        <v>49.1</v>
      </c>
      <c r="E1143">
        <v>12</v>
      </c>
      <c r="F1143" t="s">
        <v>310</v>
      </c>
      <c r="G1143" s="92">
        <v>45698.677569444444</v>
      </c>
    </row>
    <row r="1144" spans="1:7" x14ac:dyDescent="0.2">
      <c r="A1144" t="s">
        <v>488</v>
      </c>
      <c r="B1144">
        <v>35.700000000000003</v>
      </c>
      <c r="C1144">
        <v>23.6</v>
      </c>
      <c r="D1144">
        <v>44</v>
      </c>
      <c r="E1144">
        <v>10</v>
      </c>
      <c r="F1144" t="s">
        <v>310</v>
      </c>
      <c r="G1144" s="92">
        <v>45698.676990740743</v>
      </c>
    </row>
    <row r="1145" spans="1:7" x14ac:dyDescent="0.2">
      <c r="A1145" t="s">
        <v>486</v>
      </c>
      <c r="B1145">
        <v>34.4</v>
      </c>
      <c r="C1145">
        <v>38.799999999999997</v>
      </c>
      <c r="D1145">
        <v>38.9</v>
      </c>
      <c r="E1145">
        <v>2.5</v>
      </c>
      <c r="F1145" t="s">
        <v>310</v>
      </c>
      <c r="G1145" s="92">
        <v>45698.553182870368</v>
      </c>
    </row>
    <row r="1146" spans="1:7" x14ac:dyDescent="0.2">
      <c r="A1146" t="s">
        <v>487</v>
      </c>
      <c r="B1146">
        <v>34.5</v>
      </c>
      <c r="C1146">
        <v>38.799999999999997</v>
      </c>
      <c r="D1146">
        <v>39.200000000000003</v>
      </c>
      <c r="E1146">
        <v>2.5</v>
      </c>
      <c r="F1146" t="s">
        <v>310</v>
      </c>
      <c r="G1146" s="92">
        <v>45698.553842592592</v>
      </c>
    </row>
    <row r="1147" spans="1:7" x14ac:dyDescent="0.2">
      <c r="A1147" t="s">
        <v>484</v>
      </c>
      <c r="B1147">
        <v>49.3</v>
      </c>
      <c r="C1147">
        <v>33</v>
      </c>
      <c r="D1147">
        <v>62</v>
      </c>
      <c r="E1147">
        <v>15.8</v>
      </c>
      <c r="F1147" t="s">
        <v>310</v>
      </c>
      <c r="G1147" s="92">
        <v>45698.548715277779</v>
      </c>
    </row>
    <row r="1148" spans="1:7" x14ac:dyDescent="0.2">
      <c r="A1148" t="s">
        <v>485</v>
      </c>
      <c r="B1148">
        <v>49.1</v>
      </c>
      <c r="C1148">
        <v>32.6</v>
      </c>
      <c r="D1148">
        <v>62.3</v>
      </c>
      <c r="E1148">
        <v>14.9</v>
      </c>
      <c r="F1148" t="s">
        <v>310</v>
      </c>
      <c r="G1148" s="92">
        <v>45698.550659722219</v>
      </c>
    </row>
    <row r="1149" spans="1:7" x14ac:dyDescent="0.2">
      <c r="A1149" t="s">
        <v>483</v>
      </c>
      <c r="B1149">
        <v>49.3</v>
      </c>
      <c r="C1149">
        <v>32.9</v>
      </c>
      <c r="D1149">
        <v>62.1</v>
      </c>
      <c r="E1149">
        <v>14.1</v>
      </c>
      <c r="F1149" t="s">
        <v>310</v>
      </c>
      <c r="G1149" s="92">
        <v>45698.547638888886</v>
      </c>
    </row>
    <row r="1150" spans="1:7" x14ac:dyDescent="0.2">
      <c r="A1150" t="s">
        <v>482</v>
      </c>
      <c r="B1150">
        <v>41.4</v>
      </c>
      <c r="C1150">
        <v>17.5</v>
      </c>
      <c r="D1150">
        <v>56.5</v>
      </c>
      <c r="E1150">
        <v>13.6</v>
      </c>
      <c r="F1150" t="s">
        <v>310</v>
      </c>
      <c r="G1150" s="92">
        <v>45698.546597222223</v>
      </c>
    </row>
    <row r="1151" spans="1:7" x14ac:dyDescent="0.2">
      <c r="A1151" t="s">
        <v>478</v>
      </c>
      <c r="B1151">
        <v>35.1</v>
      </c>
      <c r="C1151">
        <v>27</v>
      </c>
      <c r="D1151">
        <v>48.1</v>
      </c>
      <c r="E1151">
        <v>1.3</v>
      </c>
      <c r="F1151" t="s">
        <v>310</v>
      </c>
      <c r="G1151" s="92">
        <v>45698.544004629628</v>
      </c>
    </row>
    <row r="1152" spans="1:7" x14ac:dyDescent="0.2">
      <c r="A1152" t="s">
        <v>480</v>
      </c>
      <c r="B1152">
        <v>35.1</v>
      </c>
      <c r="C1152">
        <v>26.7</v>
      </c>
      <c r="D1152">
        <v>48.2</v>
      </c>
      <c r="E1152">
        <v>1.5</v>
      </c>
      <c r="F1152" t="s">
        <v>310</v>
      </c>
      <c r="G1152" s="92">
        <v>45698.544861111113</v>
      </c>
    </row>
    <row r="1153" spans="1:7" x14ac:dyDescent="0.2">
      <c r="A1153" t="s">
        <v>481</v>
      </c>
      <c r="B1153">
        <v>19.3</v>
      </c>
      <c r="C1153">
        <v>12</v>
      </c>
      <c r="D1153">
        <v>22.8</v>
      </c>
      <c r="E1153">
        <v>1.1000000000000001</v>
      </c>
      <c r="F1153" t="s">
        <v>310</v>
      </c>
      <c r="G1153" s="92">
        <v>45698.545671296299</v>
      </c>
    </row>
    <row r="1154" spans="1:7" x14ac:dyDescent="0.2">
      <c r="A1154" t="s">
        <v>476</v>
      </c>
      <c r="B1154">
        <v>61.4</v>
      </c>
      <c r="C1154">
        <v>32.4</v>
      </c>
      <c r="D1154">
        <v>75.599999999999994</v>
      </c>
      <c r="E1154">
        <v>10</v>
      </c>
      <c r="F1154" t="s">
        <v>210</v>
      </c>
      <c r="G1154" s="92">
        <v>45696.577476851853</v>
      </c>
    </row>
    <row r="1155" spans="1:7" x14ac:dyDescent="0.2">
      <c r="A1155" t="s">
        <v>477</v>
      </c>
      <c r="B1155">
        <v>61.5</v>
      </c>
      <c r="C1155">
        <v>32.299999999999997</v>
      </c>
      <c r="D1155">
        <v>76.2</v>
      </c>
      <c r="E1155">
        <v>10.7</v>
      </c>
      <c r="F1155" t="s">
        <v>210</v>
      </c>
      <c r="G1155" s="92">
        <v>45696.579641203702</v>
      </c>
    </row>
    <row r="1156" spans="1:7" x14ac:dyDescent="0.2">
      <c r="A1156" t="s">
        <v>479</v>
      </c>
      <c r="B1156">
        <v>34.5</v>
      </c>
      <c r="C1156">
        <v>18.399999999999999</v>
      </c>
      <c r="D1156">
        <v>40.299999999999997</v>
      </c>
      <c r="E1156">
        <v>9.1</v>
      </c>
      <c r="F1156" t="s">
        <v>210</v>
      </c>
      <c r="G1156" s="92">
        <v>45696.595891203702</v>
      </c>
    </row>
    <row r="1157" spans="1:7" x14ac:dyDescent="0.2">
      <c r="A1157" t="s">
        <v>242</v>
      </c>
      <c r="B1157">
        <v>36.200000000000003</v>
      </c>
      <c r="C1157">
        <v>25.5</v>
      </c>
      <c r="D1157">
        <v>48.2</v>
      </c>
      <c r="E1157">
        <v>7.4</v>
      </c>
      <c r="F1157" t="s">
        <v>210</v>
      </c>
      <c r="G1157" s="92">
        <v>45696.476446759261</v>
      </c>
    </row>
    <row r="1158" spans="1:7" x14ac:dyDescent="0.2">
      <c r="A1158" t="s">
        <v>244</v>
      </c>
      <c r="B1158">
        <v>39.1</v>
      </c>
      <c r="C1158">
        <v>29.2</v>
      </c>
      <c r="D1158">
        <v>41</v>
      </c>
      <c r="E1158">
        <v>13</v>
      </c>
      <c r="F1158" t="s">
        <v>210</v>
      </c>
      <c r="G1158" s="92">
        <v>45696.477696759262</v>
      </c>
    </row>
    <row r="1159" spans="1:7" x14ac:dyDescent="0.2">
      <c r="A1159" t="s">
        <v>243</v>
      </c>
      <c r="B1159">
        <v>31.4</v>
      </c>
      <c r="C1159">
        <v>21.9</v>
      </c>
      <c r="D1159">
        <v>43.2</v>
      </c>
      <c r="E1159">
        <v>10</v>
      </c>
      <c r="F1159" t="s">
        <v>210</v>
      </c>
      <c r="G1159" s="92">
        <v>45696.476990740739</v>
      </c>
    </row>
    <row r="1160" spans="1:7" x14ac:dyDescent="0.2">
      <c r="A1160" t="s">
        <v>241</v>
      </c>
      <c r="B1160">
        <v>35.4</v>
      </c>
      <c r="C1160">
        <v>12.8</v>
      </c>
      <c r="D1160">
        <v>42.1</v>
      </c>
      <c r="E1160">
        <v>2.5</v>
      </c>
      <c r="F1160" t="s">
        <v>210</v>
      </c>
      <c r="G1160" s="92">
        <v>45696.475844907407</v>
      </c>
    </row>
    <row r="1161" spans="1:7" x14ac:dyDescent="0.2">
      <c r="A1161" t="s">
        <v>240</v>
      </c>
      <c r="B1161">
        <v>43.5</v>
      </c>
      <c r="C1161">
        <v>36.4</v>
      </c>
      <c r="D1161">
        <v>60.7</v>
      </c>
      <c r="E1161">
        <v>9.6999999999999993</v>
      </c>
      <c r="F1161" t="s">
        <v>210</v>
      </c>
      <c r="G1161" s="92">
        <v>45696.475358796299</v>
      </c>
    </row>
    <row r="1162" spans="1:7" x14ac:dyDescent="0.2">
      <c r="A1162" t="s">
        <v>768</v>
      </c>
      <c r="B1162">
        <v>18.5</v>
      </c>
      <c r="C1162">
        <v>38.799999999999997</v>
      </c>
      <c r="D1162">
        <v>32.6</v>
      </c>
      <c r="E1162">
        <v>10.8</v>
      </c>
      <c r="F1162" t="s">
        <v>210</v>
      </c>
      <c r="G1162" s="92">
        <v>45695.718472222223</v>
      </c>
    </row>
    <row r="1163" spans="1:7" x14ac:dyDescent="0.2">
      <c r="A1163" t="s">
        <v>767</v>
      </c>
      <c r="B1163">
        <v>18.100000000000001</v>
      </c>
      <c r="C1163">
        <v>38.799999999999997</v>
      </c>
      <c r="D1163">
        <v>32.5</v>
      </c>
      <c r="E1163">
        <v>10.8</v>
      </c>
      <c r="F1163" t="s">
        <v>210</v>
      </c>
      <c r="G1163" s="92">
        <v>45695.717835648145</v>
      </c>
    </row>
    <row r="1164" spans="1:7" x14ac:dyDescent="0.2">
      <c r="A1164" t="s">
        <v>766</v>
      </c>
      <c r="B1164">
        <v>37.700000000000003</v>
      </c>
      <c r="C1164">
        <v>33.5</v>
      </c>
      <c r="D1164">
        <v>42</v>
      </c>
      <c r="E1164">
        <v>4.4000000000000004</v>
      </c>
      <c r="F1164" t="s">
        <v>210</v>
      </c>
      <c r="G1164" s="92">
        <v>45695.675520833334</v>
      </c>
    </row>
    <row r="1165" spans="1:7" x14ac:dyDescent="0.2">
      <c r="A1165" t="s">
        <v>763</v>
      </c>
      <c r="B1165">
        <v>29.3</v>
      </c>
      <c r="C1165">
        <v>22.2</v>
      </c>
      <c r="D1165">
        <v>34</v>
      </c>
      <c r="E1165">
        <v>3.8</v>
      </c>
      <c r="F1165" t="s">
        <v>210</v>
      </c>
      <c r="G1165" s="92">
        <v>45695.67355324074</v>
      </c>
    </row>
    <row r="1166" spans="1:7" x14ac:dyDescent="0.2">
      <c r="A1166" t="s">
        <v>762</v>
      </c>
      <c r="B1166">
        <v>33.799999999999997</v>
      </c>
      <c r="C1166">
        <v>39.4</v>
      </c>
      <c r="D1166">
        <v>40.200000000000003</v>
      </c>
      <c r="E1166">
        <v>5.0999999999999996</v>
      </c>
      <c r="F1166" t="s">
        <v>210</v>
      </c>
      <c r="G1166" s="92">
        <v>45695.672997685186</v>
      </c>
    </row>
    <row r="1167" spans="1:7" x14ac:dyDescent="0.2">
      <c r="A1167" t="s">
        <v>761</v>
      </c>
      <c r="B1167">
        <v>22.6</v>
      </c>
      <c r="C1167">
        <v>17.5</v>
      </c>
      <c r="D1167">
        <v>30.8</v>
      </c>
      <c r="E1167">
        <v>0.4</v>
      </c>
      <c r="F1167" t="s">
        <v>210</v>
      </c>
      <c r="G1167" s="92">
        <v>45695.574895833335</v>
      </c>
    </row>
    <row r="1168" spans="1:7" x14ac:dyDescent="0.2">
      <c r="A1168" t="s">
        <v>764</v>
      </c>
      <c r="B1168">
        <v>36.5</v>
      </c>
      <c r="C1168">
        <v>32</v>
      </c>
      <c r="D1168">
        <v>47.3</v>
      </c>
      <c r="E1168">
        <v>2.9</v>
      </c>
      <c r="F1168" t="s">
        <v>210</v>
      </c>
      <c r="G1168" s="92">
        <v>45695.674247685187</v>
      </c>
    </row>
    <row r="1169" spans="1:7" x14ac:dyDescent="0.2">
      <c r="A1169" t="s">
        <v>765</v>
      </c>
      <c r="B1169">
        <v>34.9</v>
      </c>
      <c r="C1169">
        <v>26.5</v>
      </c>
      <c r="D1169">
        <v>48.2</v>
      </c>
      <c r="E1169">
        <v>3.2</v>
      </c>
      <c r="F1169" t="s">
        <v>210</v>
      </c>
      <c r="G1169" s="92">
        <v>45695.674733796295</v>
      </c>
    </row>
    <row r="1170" spans="1:7" x14ac:dyDescent="0.2">
      <c r="A1170" t="s">
        <v>759</v>
      </c>
      <c r="B1170">
        <v>41.9</v>
      </c>
      <c r="C1170">
        <v>12.2</v>
      </c>
      <c r="D1170">
        <v>51.2</v>
      </c>
      <c r="E1170">
        <v>6.7</v>
      </c>
      <c r="F1170" t="s">
        <v>310</v>
      </c>
      <c r="G1170" s="92">
        <v>45694.652719907404</v>
      </c>
    </row>
    <row r="1171" spans="1:7" x14ac:dyDescent="0.2">
      <c r="A1171" t="s">
        <v>760</v>
      </c>
      <c r="B1171">
        <v>25</v>
      </c>
      <c r="C1171">
        <v>18.600000000000001</v>
      </c>
      <c r="D1171">
        <v>33</v>
      </c>
      <c r="E1171">
        <v>1.6</v>
      </c>
      <c r="F1171" t="s">
        <v>310</v>
      </c>
      <c r="G1171" s="92">
        <v>45694.65425925926</v>
      </c>
    </row>
    <row r="1172" spans="1:7" x14ac:dyDescent="0.2">
      <c r="A1172" t="s">
        <v>475</v>
      </c>
      <c r="B1172">
        <v>31.9</v>
      </c>
      <c r="C1172">
        <v>32.200000000000003</v>
      </c>
      <c r="D1172">
        <v>31.8</v>
      </c>
      <c r="E1172">
        <v>1.7</v>
      </c>
      <c r="F1172" t="s">
        <v>310</v>
      </c>
      <c r="G1172" s="92">
        <v>45694.47928240741</v>
      </c>
    </row>
    <row r="1173" spans="1:7" x14ac:dyDescent="0.2">
      <c r="A1173" t="s">
        <v>575</v>
      </c>
      <c r="B1173">
        <v>33.299999999999997</v>
      </c>
      <c r="C1173">
        <v>36.200000000000003</v>
      </c>
      <c r="D1173">
        <v>66.599999999999994</v>
      </c>
      <c r="E1173">
        <v>7.3</v>
      </c>
      <c r="F1173" t="s">
        <v>310</v>
      </c>
      <c r="G1173" s="92">
        <v>45694.477002314816</v>
      </c>
    </row>
    <row r="1174" spans="1:7" x14ac:dyDescent="0.2">
      <c r="A1174" t="s">
        <v>327</v>
      </c>
      <c r="B1174">
        <v>37.1</v>
      </c>
      <c r="C1174">
        <v>38.4</v>
      </c>
      <c r="D1174">
        <v>54</v>
      </c>
      <c r="E1174">
        <v>12.7</v>
      </c>
      <c r="F1174" t="s">
        <v>310</v>
      </c>
      <c r="G1174" s="92">
        <v>45693.719050925924</v>
      </c>
    </row>
    <row r="1175" spans="1:7" x14ac:dyDescent="0.2">
      <c r="A1175" t="s">
        <v>326</v>
      </c>
      <c r="B1175">
        <v>45.9</v>
      </c>
      <c r="C1175">
        <v>33.9</v>
      </c>
      <c r="D1175">
        <v>54.7</v>
      </c>
      <c r="E1175">
        <v>5.6</v>
      </c>
      <c r="F1175" t="s">
        <v>310</v>
      </c>
      <c r="G1175" s="92">
        <v>45693.717453703706</v>
      </c>
    </row>
    <row r="1176" spans="1:7" x14ac:dyDescent="0.2">
      <c r="A1176" t="s">
        <v>325</v>
      </c>
      <c r="B1176">
        <v>42</v>
      </c>
      <c r="C1176">
        <v>14.4</v>
      </c>
      <c r="D1176">
        <v>64.400000000000006</v>
      </c>
      <c r="E1176">
        <v>15</v>
      </c>
      <c r="F1176" t="s">
        <v>310</v>
      </c>
      <c r="G1176" s="92">
        <v>45693.716331018521</v>
      </c>
    </row>
    <row r="1177" spans="1:7" x14ac:dyDescent="0.2">
      <c r="A1177" t="s">
        <v>474</v>
      </c>
      <c r="B1177">
        <v>41.6</v>
      </c>
      <c r="C1177">
        <v>39.9</v>
      </c>
      <c r="D1177">
        <v>59.7</v>
      </c>
      <c r="E1177">
        <v>6.6</v>
      </c>
      <c r="F1177" t="s">
        <v>310</v>
      </c>
      <c r="G1177" s="92">
        <v>45692.626296296294</v>
      </c>
    </row>
    <row r="1178" spans="1:7" x14ac:dyDescent="0.2">
      <c r="A1178" t="s">
        <v>473</v>
      </c>
      <c r="B1178">
        <v>31.6</v>
      </c>
      <c r="C1178">
        <v>20.399999999999999</v>
      </c>
      <c r="D1178">
        <v>37.200000000000003</v>
      </c>
      <c r="E1178">
        <v>1.1000000000000001</v>
      </c>
      <c r="F1178" t="s">
        <v>310</v>
      </c>
      <c r="G1178" s="92">
        <v>45692.623553240737</v>
      </c>
    </row>
    <row r="1179" spans="1:7" x14ac:dyDescent="0.2">
      <c r="A1179" t="s">
        <v>471</v>
      </c>
      <c r="B1179">
        <v>34</v>
      </c>
      <c r="C1179">
        <v>46</v>
      </c>
      <c r="D1179">
        <v>42</v>
      </c>
      <c r="E1179">
        <v>3.9</v>
      </c>
      <c r="F1179" t="s">
        <v>310</v>
      </c>
      <c r="G1179" s="92">
        <v>45692.622442129628</v>
      </c>
    </row>
    <row r="1180" spans="1:7" x14ac:dyDescent="0.2">
      <c r="A1180" t="s">
        <v>472</v>
      </c>
      <c r="B1180">
        <v>24</v>
      </c>
      <c r="C1180">
        <v>21.6</v>
      </c>
      <c r="D1180">
        <v>39.9</v>
      </c>
      <c r="E1180">
        <v>1.7</v>
      </c>
      <c r="F1180" t="s">
        <v>310</v>
      </c>
      <c r="G1180" s="92">
        <v>45692.620995370373</v>
      </c>
    </row>
    <row r="1181" spans="1:7" x14ac:dyDescent="0.2">
      <c r="A1181" t="s">
        <v>758</v>
      </c>
      <c r="B1181">
        <v>21</v>
      </c>
      <c r="C1181">
        <v>28.6</v>
      </c>
      <c r="D1181">
        <v>20.3</v>
      </c>
      <c r="E1181">
        <v>1.2</v>
      </c>
      <c r="F1181" t="s">
        <v>210</v>
      </c>
      <c r="G1181" s="92">
        <v>45691.669189814813</v>
      </c>
    </row>
    <row r="1182" spans="1:7" x14ac:dyDescent="0.2">
      <c r="A1182" t="s">
        <v>757</v>
      </c>
      <c r="B1182">
        <v>37.1</v>
      </c>
      <c r="C1182">
        <v>32.6</v>
      </c>
      <c r="D1182">
        <v>46.4</v>
      </c>
      <c r="E1182">
        <v>14.6</v>
      </c>
      <c r="F1182" t="s">
        <v>210</v>
      </c>
      <c r="G1182" s="92">
        <v>45691.606678240743</v>
      </c>
    </row>
    <row r="1183" spans="1:7" x14ac:dyDescent="0.2">
      <c r="A1183" t="s">
        <v>756</v>
      </c>
      <c r="B1183">
        <v>36.9</v>
      </c>
      <c r="C1183">
        <v>32.299999999999997</v>
      </c>
      <c r="D1183">
        <v>46.1</v>
      </c>
      <c r="E1183">
        <v>15.7</v>
      </c>
      <c r="F1183" t="s">
        <v>210</v>
      </c>
      <c r="G1183" s="92">
        <v>45691.606134259258</v>
      </c>
    </row>
    <row r="1184" spans="1:7" x14ac:dyDescent="0.2">
      <c r="A1184" t="s">
        <v>752</v>
      </c>
      <c r="B1184">
        <v>34.200000000000003</v>
      </c>
      <c r="C1184">
        <v>38.9</v>
      </c>
      <c r="D1184">
        <v>39.4</v>
      </c>
      <c r="E1184">
        <v>4.4000000000000004</v>
      </c>
      <c r="F1184" t="s">
        <v>210</v>
      </c>
      <c r="G1184" s="92">
        <v>45691.599907407406</v>
      </c>
    </row>
    <row r="1185" spans="1:7" x14ac:dyDescent="0.2">
      <c r="A1185" t="s">
        <v>754</v>
      </c>
      <c r="B1185">
        <v>29.2</v>
      </c>
      <c r="C1185">
        <v>21.1</v>
      </c>
      <c r="D1185">
        <v>41.7</v>
      </c>
      <c r="E1185">
        <v>16.3</v>
      </c>
      <c r="F1185" t="s">
        <v>210</v>
      </c>
      <c r="G1185" s="92">
        <v>45691.601087962961</v>
      </c>
    </row>
    <row r="1186" spans="1:7" x14ac:dyDescent="0.2">
      <c r="A1186" t="s">
        <v>755</v>
      </c>
      <c r="B1186">
        <v>30.6</v>
      </c>
      <c r="C1186">
        <v>18.3</v>
      </c>
      <c r="D1186">
        <v>42.7</v>
      </c>
      <c r="E1186">
        <v>4.9000000000000004</v>
      </c>
      <c r="F1186" t="s">
        <v>210</v>
      </c>
      <c r="G1186" s="92">
        <v>45691.601689814815</v>
      </c>
    </row>
    <row r="1187" spans="1:7" x14ac:dyDescent="0.2">
      <c r="A1187" t="s">
        <v>753</v>
      </c>
      <c r="B1187">
        <v>23.8</v>
      </c>
      <c r="C1187">
        <v>25.6</v>
      </c>
      <c r="D1187">
        <v>30.8</v>
      </c>
      <c r="E1187">
        <v>2.8</v>
      </c>
      <c r="F1187" t="s">
        <v>210</v>
      </c>
      <c r="G1187" s="92">
        <v>45691.600590277776</v>
      </c>
    </row>
    <row r="1188" spans="1:7" x14ac:dyDescent="0.2">
      <c r="A1188" t="s">
        <v>470</v>
      </c>
      <c r="B1188">
        <v>38.1</v>
      </c>
      <c r="C1188">
        <v>27.5</v>
      </c>
      <c r="D1188">
        <v>58.7</v>
      </c>
      <c r="E1188">
        <v>1.9</v>
      </c>
      <c r="F1188" t="s">
        <v>210</v>
      </c>
      <c r="G1188" s="92">
        <v>45691.460648148146</v>
      </c>
    </row>
    <row r="1189" spans="1:7" x14ac:dyDescent="0.2">
      <c r="A1189" t="s">
        <v>239</v>
      </c>
      <c r="B1189">
        <v>39.799999999999997</v>
      </c>
      <c r="C1189">
        <v>27.1</v>
      </c>
      <c r="D1189">
        <v>17.8</v>
      </c>
      <c r="E1189">
        <v>1.1000000000000001</v>
      </c>
      <c r="F1189" t="s">
        <v>196</v>
      </c>
      <c r="G1189" s="92">
        <v>45689.567847222221</v>
      </c>
    </row>
    <row r="1190" spans="1:7" x14ac:dyDescent="0.2">
      <c r="A1190" t="s">
        <v>751</v>
      </c>
      <c r="B1190">
        <v>30.4</v>
      </c>
      <c r="C1190">
        <v>32.799999999999997</v>
      </c>
      <c r="D1190">
        <v>34.799999999999997</v>
      </c>
      <c r="E1190">
        <v>3.9</v>
      </c>
      <c r="F1190" t="s">
        <v>231</v>
      </c>
      <c r="G1190" s="92">
        <v>45688.564652777779</v>
      </c>
    </row>
    <row r="1191" spans="1:7" x14ac:dyDescent="0.2">
      <c r="A1191" t="s">
        <v>748</v>
      </c>
      <c r="B1191">
        <v>26.9</v>
      </c>
      <c r="C1191">
        <v>8.5</v>
      </c>
      <c r="D1191">
        <v>32.1</v>
      </c>
      <c r="E1191">
        <v>1.8</v>
      </c>
      <c r="F1191" t="s">
        <v>231</v>
      </c>
      <c r="G1191" s="92">
        <v>45688.563101851854</v>
      </c>
    </row>
    <row r="1192" spans="1:7" x14ac:dyDescent="0.2">
      <c r="A1192" t="s">
        <v>749</v>
      </c>
      <c r="B1192">
        <v>22.1</v>
      </c>
      <c r="C1192">
        <v>19.100000000000001</v>
      </c>
      <c r="D1192">
        <v>23.6</v>
      </c>
      <c r="E1192">
        <v>0.9</v>
      </c>
      <c r="F1192" t="s">
        <v>231</v>
      </c>
      <c r="G1192" s="92">
        <v>45688.563483796293</v>
      </c>
    </row>
    <row r="1193" spans="1:7" x14ac:dyDescent="0.2">
      <c r="A1193" t="s">
        <v>750</v>
      </c>
      <c r="B1193">
        <v>38.6</v>
      </c>
      <c r="C1193">
        <v>37.799999999999997</v>
      </c>
      <c r="D1193">
        <v>47.4</v>
      </c>
      <c r="E1193">
        <v>4.9000000000000004</v>
      </c>
      <c r="F1193" t="s">
        <v>231</v>
      </c>
      <c r="G1193" s="92">
        <v>45688.56386574074</v>
      </c>
    </row>
    <row r="1194" spans="1:7" x14ac:dyDescent="0.2">
      <c r="A1194" t="s">
        <v>747</v>
      </c>
      <c r="B1194">
        <v>32.5</v>
      </c>
      <c r="C1194">
        <v>24.7</v>
      </c>
      <c r="D1194">
        <v>76.400000000000006</v>
      </c>
      <c r="E1194">
        <v>9.4</v>
      </c>
      <c r="F1194" t="s">
        <v>231</v>
      </c>
      <c r="G1194" s="92">
        <v>45687.707291666666</v>
      </c>
    </row>
    <row r="1195" spans="1:7" x14ac:dyDescent="0.2">
      <c r="A1195" t="s">
        <v>323</v>
      </c>
      <c r="B1195">
        <v>24.3</v>
      </c>
      <c r="C1195">
        <v>20.3</v>
      </c>
      <c r="D1195">
        <v>31.2</v>
      </c>
      <c r="E1195">
        <v>1</v>
      </c>
      <c r="F1195" t="s">
        <v>231</v>
      </c>
      <c r="G1195" s="92">
        <v>45687.643240740741</v>
      </c>
    </row>
    <row r="1196" spans="1:7" x14ac:dyDescent="0.2">
      <c r="A1196" t="s">
        <v>238</v>
      </c>
      <c r="B1196">
        <v>21.3</v>
      </c>
      <c r="C1196">
        <v>20.8</v>
      </c>
      <c r="D1196">
        <v>26</v>
      </c>
      <c r="E1196">
        <v>0.5</v>
      </c>
      <c r="F1196" t="s">
        <v>231</v>
      </c>
      <c r="G1196" s="92">
        <v>45687.490405092591</v>
      </c>
    </row>
    <row r="1197" spans="1:7" x14ac:dyDescent="0.2">
      <c r="A1197" t="s">
        <v>237</v>
      </c>
      <c r="B1197">
        <v>22.1</v>
      </c>
      <c r="C1197">
        <v>22.2</v>
      </c>
      <c r="D1197">
        <v>33.4</v>
      </c>
      <c r="E1197">
        <v>0.9</v>
      </c>
      <c r="F1197" t="s">
        <v>231</v>
      </c>
      <c r="G1197" s="92">
        <v>45687.489537037036</v>
      </c>
    </row>
    <row r="1198" spans="1:7" x14ac:dyDescent="0.2">
      <c r="A1198" t="s">
        <v>746</v>
      </c>
      <c r="B1198">
        <v>30.4</v>
      </c>
      <c r="C1198">
        <v>54.4</v>
      </c>
      <c r="D1198">
        <v>31</v>
      </c>
      <c r="E1198">
        <v>12</v>
      </c>
      <c r="F1198" t="s">
        <v>231</v>
      </c>
      <c r="G1198" s="92">
        <v>45687.607638888891</v>
      </c>
    </row>
    <row r="1199" spans="1:7" x14ac:dyDescent="0.2">
      <c r="A1199" t="s">
        <v>469</v>
      </c>
      <c r="B1199">
        <v>45.1</v>
      </c>
      <c r="C1199">
        <v>59.8</v>
      </c>
      <c r="D1199">
        <v>60.3</v>
      </c>
      <c r="E1199">
        <v>10.8</v>
      </c>
      <c r="F1199" t="s">
        <v>231</v>
      </c>
      <c r="G1199" s="92">
        <v>45686.662997685184</v>
      </c>
    </row>
    <row r="1200" spans="1:7" x14ac:dyDescent="0.2">
      <c r="A1200" t="s">
        <v>468</v>
      </c>
      <c r="B1200">
        <v>27.2</v>
      </c>
      <c r="C1200">
        <v>7.6</v>
      </c>
      <c r="D1200">
        <v>32.299999999999997</v>
      </c>
      <c r="E1200">
        <v>0.8</v>
      </c>
      <c r="F1200" t="s">
        <v>231</v>
      </c>
      <c r="G1200" s="92">
        <v>45686.627256944441</v>
      </c>
    </row>
    <row r="1201" spans="1:7" x14ac:dyDescent="0.2">
      <c r="A1201" t="s">
        <v>745</v>
      </c>
      <c r="B1201">
        <v>34.6</v>
      </c>
      <c r="C1201">
        <v>39.299999999999997</v>
      </c>
      <c r="D1201">
        <v>40.299999999999997</v>
      </c>
      <c r="E1201">
        <v>5.9</v>
      </c>
      <c r="F1201" t="s">
        <v>210</v>
      </c>
      <c r="G1201" s="92">
        <v>45685.725219907406</v>
      </c>
    </row>
    <row r="1202" spans="1:7" x14ac:dyDescent="0.2">
      <c r="A1202" t="s">
        <v>744</v>
      </c>
      <c r="B1202">
        <v>39.299999999999997</v>
      </c>
      <c r="C1202">
        <v>34.4</v>
      </c>
      <c r="D1202">
        <v>40.1</v>
      </c>
      <c r="E1202">
        <v>4.9000000000000004</v>
      </c>
      <c r="F1202" t="s">
        <v>210</v>
      </c>
      <c r="G1202" s="92">
        <v>45685.724814814814</v>
      </c>
    </row>
    <row r="1203" spans="1:7" x14ac:dyDescent="0.2">
      <c r="A1203" t="s">
        <v>743</v>
      </c>
      <c r="B1203">
        <v>40.299999999999997</v>
      </c>
      <c r="C1203">
        <v>68</v>
      </c>
      <c r="D1203">
        <v>27.7</v>
      </c>
      <c r="E1203">
        <v>9.4</v>
      </c>
      <c r="F1203" t="s">
        <v>210</v>
      </c>
      <c r="G1203" s="92">
        <v>45685.688587962963</v>
      </c>
    </row>
    <row r="1204" spans="1:7" x14ac:dyDescent="0.2">
      <c r="A1204" t="s">
        <v>742</v>
      </c>
      <c r="B1204">
        <v>33</v>
      </c>
      <c r="C1204">
        <v>46.5</v>
      </c>
      <c r="D1204">
        <v>28.7</v>
      </c>
      <c r="E1204">
        <v>4.4000000000000004</v>
      </c>
      <c r="F1204" t="s">
        <v>210</v>
      </c>
      <c r="G1204" s="92">
        <v>45685.687592592592</v>
      </c>
    </row>
    <row r="1205" spans="1:7" x14ac:dyDescent="0.2">
      <c r="A1205" t="s">
        <v>465</v>
      </c>
      <c r="B1205">
        <v>68</v>
      </c>
      <c r="C1205">
        <v>40.1</v>
      </c>
      <c r="D1205">
        <v>37.1</v>
      </c>
      <c r="E1205">
        <v>14.5</v>
      </c>
      <c r="F1205" t="s">
        <v>196</v>
      </c>
      <c r="G1205" s="92">
        <v>45685.590937499997</v>
      </c>
    </row>
    <row r="1206" spans="1:7" x14ac:dyDescent="0.2">
      <c r="A1206" t="s">
        <v>466</v>
      </c>
      <c r="B1206">
        <v>38.700000000000003</v>
      </c>
      <c r="C1206">
        <v>33.299999999999997</v>
      </c>
      <c r="D1206">
        <v>25.8</v>
      </c>
      <c r="E1206">
        <v>1.5</v>
      </c>
      <c r="F1206" t="s">
        <v>196</v>
      </c>
      <c r="G1206" s="92">
        <v>45685.591527777775</v>
      </c>
    </row>
    <row r="1207" spans="1:7" x14ac:dyDescent="0.2">
      <c r="A1207" t="s">
        <v>467</v>
      </c>
      <c r="B1207">
        <v>44.9</v>
      </c>
      <c r="C1207">
        <v>33.200000000000003</v>
      </c>
      <c r="D1207">
        <v>29.3</v>
      </c>
      <c r="E1207">
        <v>3.2</v>
      </c>
      <c r="F1207" t="s">
        <v>196</v>
      </c>
      <c r="G1207" s="92">
        <v>45685.592060185183</v>
      </c>
    </row>
    <row r="1208" spans="1:7" x14ac:dyDescent="0.2">
      <c r="A1208" t="s">
        <v>464</v>
      </c>
      <c r="B1208">
        <v>26</v>
      </c>
      <c r="C1208">
        <v>39</v>
      </c>
      <c r="D1208">
        <v>18.7</v>
      </c>
      <c r="E1208">
        <v>1.7</v>
      </c>
      <c r="F1208" t="s">
        <v>210</v>
      </c>
      <c r="G1208" s="92">
        <v>45684.690648148149</v>
      </c>
    </row>
    <row r="1209" spans="1:7" x14ac:dyDescent="0.2">
      <c r="A1209" t="s">
        <v>463</v>
      </c>
      <c r="B1209">
        <v>40.5</v>
      </c>
      <c r="C1209">
        <v>31</v>
      </c>
      <c r="D1209">
        <v>19.899999999999999</v>
      </c>
      <c r="E1209">
        <v>14.9</v>
      </c>
      <c r="F1209" t="s">
        <v>210</v>
      </c>
      <c r="G1209" s="92">
        <v>45684.689166666663</v>
      </c>
    </row>
    <row r="1210" spans="1:7" x14ac:dyDescent="0.2">
      <c r="A1210" t="s">
        <v>574</v>
      </c>
      <c r="B1210">
        <v>41.9</v>
      </c>
      <c r="C1210">
        <v>23.3</v>
      </c>
      <c r="D1210">
        <v>16.8</v>
      </c>
      <c r="E1210">
        <v>1.5</v>
      </c>
      <c r="F1210" t="s">
        <v>196</v>
      </c>
      <c r="G1210" s="92">
        <v>45684.598321759258</v>
      </c>
    </row>
    <row r="1211" spans="1:7" x14ac:dyDescent="0.2">
      <c r="A1211" t="s">
        <v>462</v>
      </c>
      <c r="B1211">
        <v>43.6</v>
      </c>
      <c r="C1211">
        <v>33.5</v>
      </c>
      <c r="D1211">
        <v>16.899999999999999</v>
      </c>
      <c r="E1211">
        <v>10.9</v>
      </c>
      <c r="F1211" t="s">
        <v>196</v>
      </c>
      <c r="G1211" s="92">
        <v>45684.59002314815</v>
      </c>
    </row>
    <row r="1212" spans="1:7" x14ac:dyDescent="0.2">
      <c r="A1212" t="s">
        <v>741</v>
      </c>
      <c r="B1212">
        <v>20.7</v>
      </c>
      <c r="C1212">
        <v>21.9</v>
      </c>
      <c r="D1212">
        <v>28.3</v>
      </c>
      <c r="E1212">
        <v>1.1000000000000001</v>
      </c>
      <c r="F1212" t="s">
        <v>231</v>
      </c>
      <c r="G1212" s="92">
        <v>45682.575231481482</v>
      </c>
    </row>
    <row r="1213" spans="1:7" x14ac:dyDescent="0.2">
      <c r="A1213" t="s">
        <v>461</v>
      </c>
      <c r="B1213">
        <v>23.8</v>
      </c>
      <c r="C1213">
        <v>17</v>
      </c>
      <c r="D1213">
        <v>37.6</v>
      </c>
      <c r="E1213">
        <v>0.7</v>
      </c>
      <c r="F1213" t="s">
        <v>196</v>
      </c>
      <c r="G1213" s="92">
        <v>45681.698703703703</v>
      </c>
    </row>
    <row r="1214" spans="1:7" x14ac:dyDescent="0.2">
      <c r="A1214" t="s">
        <v>236</v>
      </c>
      <c r="B1214">
        <v>18.8</v>
      </c>
      <c r="C1214">
        <v>38.6</v>
      </c>
      <c r="D1214">
        <v>32.299999999999997</v>
      </c>
      <c r="E1214">
        <v>10.9</v>
      </c>
      <c r="F1214" t="s">
        <v>231</v>
      </c>
      <c r="G1214" s="92">
        <v>45681.560208333336</v>
      </c>
    </row>
    <row r="1215" spans="1:7" x14ac:dyDescent="0.2">
      <c r="A1215" t="s">
        <v>573</v>
      </c>
      <c r="B1215">
        <v>33.6</v>
      </c>
      <c r="C1215">
        <v>25.6</v>
      </c>
      <c r="D1215">
        <v>44.8</v>
      </c>
      <c r="E1215">
        <v>13.6</v>
      </c>
      <c r="F1215" t="s">
        <v>196</v>
      </c>
      <c r="G1215" s="92">
        <v>45681.610243055555</v>
      </c>
    </row>
    <row r="1216" spans="1:7" x14ac:dyDescent="0.2">
      <c r="A1216" t="s">
        <v>460</v>
      </c>
      <c r="B1216">
        <v>24</v>
      </c>
      <c r="C1216">
        <v>7.8</v>
      </c>
      <c r="D1216">
        <v>54.6</v>
      </c>
      <c r="E1216">
        <v>0.5</v>
      </c>
      <c r="F1216" t="s">
        <v>231</v>
      </c>
      <c r="G1216" s="92">
        <v>45680.698692129627</v>
      </c>
    </row>
    <row r="1217" spans="1:7" x14ac:dyDescent="0.2">
      <c r="A1217" t="s">
        <v>740</v>
      </c>
      <c r="B1217">
        <v>36</v>
      </c>
      <c r="C1217">
        <v>33.5</v>
      </c>
      <c r="D1217">
        <v>64.7</v>
      </c>
      <c r="E1217">
        <v>7.6</v>
      </c>
      <c r="F1217" t="s">
        <v>231</v>
      </c>
      <c r="G1217" s="92">
        <v>45680.61582175926</v>
      </c>
    </row>
    <row r="1218" spans="1:7" x14ac:dyDescent="0.2">
      <c r="A1218" t="s">
        <v>459</v>
      </c>
      <c r="B1218">
        <v>26</v>
      </c>
      <c r="C1218">
        <v>27.6</v>
      </c>
      <c r="D1218">
        <v>34.5</v>
      </c>
      <c r="E1218">
        <v>15.8</v>
      </c>
      <c r="F1218" t="s">
        <v>231</v>
      </c>
      <c r="G1218" s="92">
        <v>45680.696516203701</v>
      </c>
    </row>
    <row r="1219" spans="1:7" x14ac:dyDescent="0.2">
      <c r="A1219" t="s">
        <v>456</v>
      </c>
      <c r="B1219">
        <v>23.1</v>
      </c>
      <c r="C1219">
        <v>13.4</v>
      </c>
      <c r="D1219">
        <v>26.9</v>
      </c>
      <c r="E1219">
        <v>1.6</v>
      </c>
      <c r="F1219" t="s">
        <v>231</v>
      </c>
      <c r="G1219" s="92">
        <v>45680.500486111108</v>
      </c>
    </row>
    <row r="1220" spans="1:7" x14ac:dyDescent="0.2">
      <c r="A1220" t="s">
        <v>457</v>
      </c>
      <c r="B1220">
        <v>22.9</v>
      </c>
      <c r="C1220">
        <v>25.1</v>
      </c>
      <c r="D1220">
        <v>26.9</v>
      </c>
      <c r="E1220">
        <v>3.1</v>
      </c>
      <c r="F1220" t="s">
        <v>231</v>
      </c>
      <c r="G1220" s="92">
        <v>45680.501030092593</v>
      </c>
    </row>
    <row r="1221" spans="1:7" x14ac:dyDescent="0.2">
      <c r="A1221" t="s">
        <v>458</v>
      </c>
      <c r="B1221">
        <v>37.200000000000003</v>
      </c>
      <c r="C1221">
        <v>29</v>
      </c>
      <c r="D1221">
        <v>36.5</v>
      </c>
      <c r="E1221">
        <v>14.8</v>
      </c>
      <c r="F1221" t="s">
        <v>231</v>
      </c>
      <c r="G1221" s="92">
        <v>45680.629965277774</v>
      </c>
    </row>
    <row r="1222" spans="1:7" x14ac:dyDescent="0.2">
      <c r="A1222" t="s">
        <v>572</v>
      </c>
      <c r="B1222">
        <v>20.8</v>
      </c>
      <c r="C1222">
        <v>63.6</v>
      </c>
      <c r="D1222">
        <v>64.400000000000006</v>
      </c>
      <c r="E1222">
        <v>8.3000000000000007</v>
      </c>
      <c r="F1222" t="s">
        <v>231</v>
      </c>
      <c r="G1222" s="92">
        <v>45680.456689814811</v>
      </c>
    </row>
    <row r="1223" spans="1:7" x14ac:dyDescent="0.2">
      <c r="A1223" t="s">
        <v>322</v>
      </c>
      <c r="B1223">
        <v>41.6</v>
      </c>
      <c r="C1223">
        <v>53.6</v>
      </c>
      <c r="D1223">
        <v>52</v>
      </c>
      <c r="E1223">
        <v>4.0999999999999996</v>
      </c>
      <c r="F1223" t="s">
        <v>231</v>
      </c>
      <c r="G1223" s="92">
        <v>45680.376643518517</v>
      </c>
    </row>
    <row r="1224" spans="1:7" x14ac:dyDescent="0.2">
      <c r="A1224" t="s">
        <v>321</v>
      </c>
      <c r="B1224">
        <v>48.2</v>
      </c>
      <c r="C1224">
        <v>33.700000000000003</v>
      </c>
      <c r="D1224">
        <v>60.7</v>
      </c>
      <c r="E1224">
        <v>4</v>
      </c>
      <c r="F1224" t="s">
        <v>231</v>
      </c>
      <c r="G1224" s="92">
        <v>45680.376238425924</v>
      </c>
    </row>
    <row r="1225" spans="1:7" x14ac:dyDescent="0.2">
      <c r="A1225" t="s">
        <v>324</v>
      </c>
      <c r="B1225">
        <v>41.9</v>
      </c>
      <c r="C1225">
        <v>54.2</v>
      </c>
      <c r="D1225">
        <v>52.1</v>
      </c>
      <c r="E1225">
        <v>8.4</v>
      </c>
      <c r="F1225" t="s">
        <v>231</v>
      </c>
      <c r="G1225" s="92">
        <v>45680.37773148148</v>
      </c>
    </row>
    <row r="1226" spans="1:7" x14ac:dyDescent="0.2">
      <c r="A1226" t="s">
        <v>320</v>
      </c>
      <c r="B1226">
        <v>41.4</v>
      </c>
      <c r="C1226">
        <v>54.4</v>
      </c>
      <c r="D1226">
        <v>52.3</v>
      </c>
      <c r="E1226">
        <v>7.6</v>
      </c>
      <c r="F1226" t="s">
        <v>231</v>
      </c>
      <c r="G1226" s="92">
        <v>45680.37537037037</v>
      </c>
    </row>
    <row r="1227" spans="1:7" x14ac:dyDescent="0.2">
      <c r="A1227" t="s">
        <v>319</v>
      </c>
      <c r="B1227">
        <v>41.9</v>
      </c>
      <c r="C1227">
        <v>54.1</v>
      </c>
      <c r="D1227">
        <v>52.1</v>
      </c>
      <c r="E1227">
        <v>10.5</v>
      </c>
      <c r="F1227" t="s">
        <v>231</v>
      </c>
      <c r="G1227" s="92">
        <v>45680.374768518515</v>
      </c>
    </row>
    <row r="1228" spans="1:7" x14ac:dyDescent="0.2">
      <c r="A1228" t="s">
        <v>569</v>
      </c>
      <c r="B1228">
        <v>27.6</v>
      </c>
      <c r="C1228">
        <v>11.6</v>
      </c>
      <c r="D1228">
        <v>21.4</v>
      </c>
      <c r="E1228">
        <v>0.2</v>
      </c>
      <c r="F1228" t="s">
        <v>231</v>
      </c>
      <c r="G1228" s="92">
        <v>45679.6559837963</v>
      </c>
    </row>
    <row r="1229" spans="1:7" x14ac:dyDescent="0.2">
      <c r="A1229" t="s">
        <v>570</v>
      </c>
      <c r="B1229">
        <v>28.1</v>
      </c>
      <c r="C1229">
        <v>27.8</v>
      </c>
      <c r="D1229">
        <v>54.4</v>
      </c>
      <c r="E1229">
        <v>17.100000000000001</v>
      </c>
      <c r="F1229" t="s">
        <v>231</v>
      </c>
      <c r="G1229" s="92">
        <v>45679.656689814816</v>
      </c>
    </row>
    <row r="1230" spans="1:7" x14ac:dyDescent="0.2">
      <c r="A1230" t="s">
        <v>571</v>
      </c>
      <c r="B1230">
        <v>36.6</v>
      </c>
      <c r="C1230">
        <v>13.6</v>
      </c>
      <c r="D1230">
        <v>49.8</v>
      </c>
      <c r="E1230">
        <v>13.1</v>
      </c>
      <c r="F1230" t="s">
        <v>231</v>
      </c>
      <c r="G1230" s="92">
        <v>45679.65724537037</v>
      </c>
    </row>
    <row r="1231" spans="1:7" x14ac:dyDescent="0.2">
      <c r="A1231" t="s">
        <v>567</v>
      </c>
      <c r="B1231">
        <v>46.3</v>
      </c>
      <c r="C1231">
        <v>35</v>
      </c>
      <c r="D1231">
        <v>57.7</v>
      </c>
      <c r="E1231">
        <v>22.8</v>
      </c>
      <c r="F1231" t="s">
        <v>231</v>
      </c>
      <c r="G1231" s="92">
        <v>45679.447372685187</v>
      </c>
    </row>
    <row r="1232" spans="1:7" x14ac:dyDescent="0.2">
      <c r="A1232" t="s">
        <v>234</v>
      </c>
      <c r="B1232">
        <v>33.9</v>
      </c>
      <c r="C1232">
        <v>30.7</v>
      </c>
      <c r="D1232">
        <v>44.1</v>
      </c>
      <c r="E1232">
        <v>8.4</v>
      </c>
      <c r="F1232" t="s">
        <v>231</v>
      </c>
      <c r="G1232" s="92">
        <v>45678.698900462965</v>
      </c>
    </row>
    <row r="1233" spans="1:7" x14ac:dyDescent="0.2">
      <c r="A1233" t="s">
        <v>235</v>
      </c>
      <c r="B1233">
        <v>33.9</v>
      </c>
      <c r="C1233">
        <v>30</v>
      </c>
      <c r="D1233">
        <v>44.5</v>
      </c>
      <c r="E1233">
        <v>12.5</v>
      </c>
      <c r="F1233" t="s">
        <v>231</v>
      </c>
      <c r="G1233" s="92">
        <v>45678.699305555558</v>
      </c>
    </row>
    <row r="1234" spans="1:7" x14ac:dyDescent="0.2">
      <c r="A1234" t="s">
        <v>233</v>
      </c>
      <c r="B1234">
        <v>29.5</v>
      </c>
      <c r="C1234">
        <v>29.6</v>
      </c>
      <c r="D1234">
        <v>41.7</v>
      </c>
      <c r="E1234">
        <v>6.8</v>
      </c>
      <c r="F1234" t="s">
        <v>231</v>
      </c>
      <c r="G1234" s="92">
        <v>45678.698495370372</v>
      </c>
    </row>
    <row r="1235" spans="1:7" x14ac:dyDescent="0.2">
      <c r="A1235" t="s">
        <v>232</v>
      </c>
      <c r="B1235">
        <v>33.700000000000003</v>
      </c>
      <c r="C1235">
        <v>30</v>
      </c>
      <c r="D1235">
        <v>44.3</v>
      </c>
      <c r="E1235">
        <v>8.6999999999999993</v>
      </c>
      <c r="F1235" t="s">
        <v>231</v>
      </c>
      <c r="G1235" s="92">
        <v>45678.697592592594</v>
      </c>
    </row>
    <row r="1236" spans="1:7" x14ac:dyDescent="0.2">
      <c r="A1236" t="s">
        <v>230</v>
      </c>
      <c r="B1236">
        <v>32.5</v>
      </c>
      <c r="C1236">
        <v>18.5</v>
      </c>
      <c r="D1236">
        <v>37.5</v>
      </c>
      <c r="E1236">
        <v>8.4</v>
      </c>
      <c r="F1236" t="s">
        <v>231</v>
      </c>
      <c r="G1236" s="92">
        <v>45678.697222222225</v>
      </c>
    </row>
    <row r="1237" spans="1:7" x14ac:dyDescent="0.2">
      <c r="A1237" t="s">
        <v>739</v>
      </c>
      <c r="B1237">
        <v>32.4</v>
      </c>
      <c r="C1237">
        <v>12.2</v>
      </c>
      <c r="D1237">
        <v>48</v>
      </c>
      <c r="E1237">
        <v>13.5</v>
      </c>
      <c r="F1237" t="s">
        <v>231</v>
      </c>
      <c r="G1237" s="92">
        <v>45678.672210648147</v>
      </c>
    </row>
    <row r="1238" spans="1:7" x14ac:dyDescent="0.2">
      <c r="A1238" t="s">
        <v>738</v>
      </c>
      <c r="B1238">
        <v>30.9</v>
      </c>
      <c r="C1238">
        <v>18.100000000000001</v>
      </c>
      <c r="D1238">
        <v>39.9</v>
      </c>
      <c r="E1238">
        <v>1.8</v>
      </c>
      <c r="F1238" t="s">
        <v>231</v>
      </c>
      <c r="G1238" s="92">
        <v>45678.671469907407</v>
      </c>
    </row>
    <row r="1239" spans="1:7" x14ac:dyDescent="0.2">
      <c r="A1239" t="s">
        <v>737</v>
      </c>
      <c r="B1239">
        <v>29.6</v>
      </c>
      <c r="C1239">
        <v>18.3</v>
      </c>
      <c r="D1239">
        <v>25.6</v>
      </c>
      <c r="E1239">
        <v>2.7</v>
      </c>
      <c r="F1239" t="s">
        <v>231</v>
      </c>
      <c r="G1239" s="92">
        <v>45678.658182870371</v>
      </c>
    </row>
    <row r="1240" spans="1:7" x14ac:dyDescent="0.2">
      <c r="A1240" t="s">
        <v>736</v>
      </c>
      <c r="B1240">
        <v>46.9</v>
      </c>
      <c r="C1240">
        <v>25.4</v>
      </c>
      <c r="D1240">
        <v>33.299999999999997</v>
      </c>
      <c r="E1240">
        <v>3.8</v>
      </c>
      <c r="F1240" t="s">
        <v>231</v>
      </c>
      <c r="G1240" s="92">
        <v>45678.657002314816</v>
      </c>
    </row>
    <row r="1241" spans="1:7" x14ac:dyDescent="0.2">
      <c r="A1241" t="s">
        <v>735</v>
      </c>
      <c r="B1241">
        <v>37.4</v>
      </c>
      <c r="C1241">
        <v>24.5</v>
      </c>
      <c r="D1241">
        <v>29.1</v>
      </c>
      <c r="E1241">
        <v>5.6</v>
      </c>
      <c r="F1241" t="s">
        <v>231</v>
      </c>
      <c r="G1241" s="92">
        <v>45678.656446759262</v>
      </c>
    </row>
    <row r="1242" spans="1:7" x14ac:dyDescent="0.2">
      <c r="A1242" t="s">
        <v>734</v>
      </c>
      <c r="B1242">
        <v>27.3</v>
      </c>
      <c r="C1242">
        <v>28.6</v>
      </c>
      <c r="D1242">
        <v>14.4</v>
      </c>
      <c r="E1242">
        <v>1.8</v>
      </c>
      <c r="F1242" t="s">
        <v>231</v>
      </c>
      <c r="G1242" s="92">
        <v>45677.500949074078</v>
      </c>
    </row>
    <row r="1243" spans="1:7" x14ac:dyDescent="0.2">
      <c r="A1243" t="s">
        <v>733</v>
      </c>
      <c r="B1243">
        <v>25.3</v>
      </c>
      <c r="C1243">
        <v>18.7</v>
      </c>
      <c r="D1243">
        <v>33.5</v>
      </c>
      <c r="E1243">
        <v>0.8</v>
      </c>
      <c r="F1243" t="s">
        <v>231</v>
      </c>
      <c r="G1243" s="92">
        <v>45677.487997685188</v>
      </c>
    </row>
    <row r="1244" spans="1:7" x14ac:dyDescent="0.2">
      <c r="A1244" t="s">
        <v>732</v>
      </c>
      <c r="B1244">
        <v>35.299999999999997</v>
      </c>
      <c r="C1244">
        <v>48.1</v>
      </c>
      <c r="D1244">
        <v>27.1</v>
      </c>
      <c r="E1244">
        <v>1.3</v>
      </c>
      <c r="F1244" t="s">
        <v>231</v>
      </c>
      <c r="G1244" s="92">
        <v>45677.486828703702</v>
      </c>
    </row>
    <row r="1245" spans="1:7" x14ac:dyDescent="0.2">
      <c r="A1245" t="s">
        <v>731</v>
      </c>
      <c r="B1245">
        <v>34.4</v>
      </c>
      <c r="C1245">
        <v>52.7</v>
      </c>
      <c r="D1245">
        <v>28.5</v>
      </c>
      <c r="E1245">
        <v>6.6</v>
      </c>
      <c r="F1245" t="s">
        <v>231</v>
      </c>
      <c r="G1245" s="92">
        <v>45677.485555555555</v>
      </c>
    </row>
    <row r="1246" spans="1:7" x14ac:dyDescent="0.2">
      <c r="A1246" t="s">
        <v>455</v>
      </c>
      <c r="B1246">
        <v>28.2</v>
      </c>
      <c r="C1246">
        <v>26.2</v>
      </c>
      <c r="D1246">
        <v>37.6</v>
      </c>
      <c r="E1246">
        <v>1.6</v>
      </c>
      <c r="F1246" t="s">
        <v>196</v>
      </c>
      <c r="G1246" s="92">
        <v>45675.590254629627</v>
      </c>
    </row>
    <row r="1247" spans="1:7" x14ac:dyDescent="0.2">
      <c r="A1247" t="s">
        <v>454</v>
      </c>
      <c r="B1247">
        <v>32.4</v>
      </c>
      <c r="C1247">
        <v>16</v>
      </c>
      <c r="D1247">
        <v>39.200000000000003</v>
      </c>
      <c r="E1247">
        <v>1.5</v>
      </c>
      <c r="F1247" t="s">
        <v>196</v>
      </c>
      <c r="G1247" s="92">
        <v>45675.589386574073</v>
      </c>
    </row>
    <row r="1248" spans="1:7" x14ac:dyDescent="0.2">
      <c r="A1248" t="s">
        <v>452</v>
      </c>
      <c r="B1248">
        <v>32.9</v>
      </c>
      <c r="C1248">
        <v>25.1</v>
      </c>
      <c r="D1248">
        <v>47.4</v>
      </c>
      <c r="E1248">
        <v>2.2000000000000002</v>
      </c>
      <c r="F1248" t="s">
        <v>196</v>
      </c>
      <c r="G1248" s="92">
        <v>45675.501840277779</v>
      </c>
    </row>
    <row r="1249" spans="1:7" x14ac:dyDescent="0.2">
      <c r="A1249" t="s">
        <v>451</v>
      </c>
      <c r="B1249">
        <v>37.1</v>
      </c>
      <c r="C1249">
        <v>27.2</v>
      </c>
      <c r="D1249">
        <v>45.8</v>
      </c>
      <c r="E1249">
        <v>3.8</v>
      </c>
      <c r="F1249" t="s">
        <v>196</v>
      </c>
      <c r="G1249" s="92">
        <v>45675.502500000002</v>
      </c>
    </row>
    <row r="1250" spans="1:7" x14ac:dyDescent="0.2">
      <c r="A1250" t="s">
        <v>453</v>
      </c>
      <c r="B1250">
        <v>19.3</v>
      </c>
      <c r="C1250">
        <v>22.7</v>
      </c>
      <c r="D1250">
        <v>25.4</v>
      </c>
      <c r="E1250">
        <v>0.7</v>
      </c>
      <c r="F1250" t="s">
        <v>196</v>
      </c>
      <c r="G1250" s="92">
        <v>45675.503148148149</v>
      </c>
    </row>
    <row r="1251" spans="1:7" x14ac:dyDescent="0.2">
      <c r="A1251" t="s">
        <v>450</v>
      </c>
      <c r="B1251">
        <v>25.3</v>
      </c>
      <c r="C1251">
        <v>19.399999999999999</v>
      </c>
      <c r="D1251">
        <v>33.4</v>
      </c>
      <c r="E1251">
        <v>1.7</v>
      </c>
      <c r="F1251" t="s">
        <v>231</v>
      </c>
      <c r="G1251" s="92">
        <v>45674.686111111114</v>
      </c>
    </row>
    <row r="1252" spans="1:7" x14ac:dyDescent="0.2">
      <c r="A1252" t="s">
        <v>449</v>
      </c>
      <c r="B1252">
        <v>34.799999999999997</v>
      </c>
      <c r="C1252">
        <v>39.4</v>
      </c>
      <c r="D1252">
        <v>39.299999999999997</v>
      </c>
      <c r="E1252">
        <v>3.8</v>
      </c>
      <c r="F1252" t="s">
        <v>231</v>
      </c>
      <c r="G1252" s="92">
        <v>45674.684317129628</v>
      </c>
    </row>
    <row r="1253" spans="1:7" x14ac:dyDescent="0.2">
      <c r="A1253" t="s">
        <v>566</v>
      </c>
      <c r="B1253">
        <v>84</v>
      </c>
      <c r="C1253">
        <v>7.4</v>
      </c>
      <c r="D1253">
        <v>55.9</v>
      </c>
      <c r="E1253">
        <v>10.6</v>
      </c>
      <c r="F1253" t="s">
        <v>231</v>
      </c>
      <c r="G1253" s="92">
        <v>45674.622731481482</v>
      </c>
    </row>
    <row r="1254" spans="1:7" x14ac:dyDescent="0.2">
      <c r="A1254" t="s">
        <v>568</v>
      </c>
      <c r="B1254">
        <v>35.700000000000003</v>
      </c>
      <c r="C1254">
        <v>26.9</v>
      </c>
      <c r="D1254">
        <v>48.5</v>
      </c>
      <c r="E1254">
        <v>1.4</v>
      </c>
      <c r="F1254" t="s">
        <v>231</v>
      </c>
      <c r="G1254" s="92">
        <v>45674.626840277779</v>
      </c>
    </row>
    <row r="1255" spans="1:7" x14ac:dyDescent="0.2">
      <c r="A1255" t="s">
        <v>730</v>
      </c>
      <c r="B1255">
        <v>34.200000000000003</v>
      </c>
      <c r="C1255">
        <v>40.4</v>
      </c>
      <c r="D1255">
        <v>40</v>
      </c>
      <c r="E1255">
        <v>4.0999999999999996</v>
      </c>
      <c r="F1255" t="s">
        <v>231</v>
      </c>
      <c r="G1255" s="92">
        <v>45674.647280092591</v>
      </c>
    </row>
    <row r="1256" spans="1:7" x14ac:dyDescent="0.2">
      <c r="A1256" t="s">
        <v>448</v>
      </c>
      <c r="B1256">
        <v>51.8</v>
      </c>
      <c r="C1256">
        <v>54</v>
      </c>
      <c r="D1256">
        <v>41.8</v>
      </c>
      <c r="E1256">
        <v>7.5</v>
      </c>
      <c r="F1256" t="s">
        <v>231</v>
      </c>
      <c r="G1256" s="92">
        <v>45674.612210648149</v>
      </c>
    </row>
    <row r="1257" spans="1:7" x14ac:dyDescent="0.2">
      <c r="A1257" t="s">
        <v>729</v>
      </c>
      <c r="B1257">
        <v>46</v>
      </c>
      <c r="C1257">
        <v>24</v>
      </c>
      <c r="D1257">
        <v>40.700000000000003</v>
      </c>
      <c r="E1257">
        <v>7.7</v>
      </c>
      <c r="F1257" t="s">
        <v>231</v>
      </c>
      <c r="G1257" s="92">
        <v>45674.434386574074</v>
      </c>
    </row>
    <row r="1258" spans="1:7" x14ac:dyDescent="0.2">
      <c r="A1258" t="s">
        <v>228</v>
      </c>
      <c r="B1258">
        <v>48.4</v>
      </c>
      <c r="C1258">
        <v>23.6</v>
      </c>
      <c r="D1258">
        <v>51.6</v>
      </c>
      <c r="E1258">
        <v>11.4</v>
      </c>
      <c r="F1258" t="s">
        <v>216</v>
      </c>
      <c r="G1258" s="92">
        <v>45673.657881944448</v>
      </c>
    </row>
    <row r="1259" spans="1:7" x14ac:dyDescent="0.2">
      <c r="A1259" t="s">
        <v>229</v>
      </c>
      <c r="B1259">
        <v>48.3</v>
      </c>
      <c r="C1259">
        <v>23.9</v>
      </c>
      <c r="D1259">
        <v>51.5</v>
      </c>
      <c r="E1259">
        <v>8</v>
      </c>
      <c r="F1259" t="s">
        <v>216</v>
      </c>
      <c r="G1259" s="92">
        <v>45673.658379629633</v>
      </c>
    </row>
    <row r="1260" spans="1:7" x14ac:dyDescent="0.2">
      <c r="A1260" t="s">
        <v>226</v>
      </c>
      <c r="B1260">
        <v>32.1</v>
      </c>
      <c r="C1260">
        <v>20</v>
      </c>
      <c r="D1260">
        <v>45.4</v>
      </c>
      <c r="E1260">
        <v>2.9</v>
      </c>
      <c r="F1260" t="s">
        <v>216</v>
      </c>
      <c r="G1260" s="92">
        <v>45673.609675925924</v>
      </c>
    </row>
    <row r="1261" spans="1:7" x14ac:dyDescent="0.2">
      <c r="A1261" t="s">
        <v>227</v>
      </c>
      <c r="B1261">
        <v>38</v>
      </c>
      <c r="C1261">
        <v>27.7</v>
      </c>
      <c r="D1261">
        <v>45.9</v>
      </c>
      <c r="E1261">
        <v>4.7</v>
      </c>
      <c r="F1261" t="s">
        <v>216</v>
      </c>
      <c r="G1261" s="92">
        <v>45673.609988425924</v>
      </c>
    </row>
    <row r="1262" spans="1:7" x14ac:dyDescent="0.2">
      <c r="A1262" t="s">
        <v>222</v>
      </c>
      <c r="B1262">
        <v>27.9</v>
      </c>
      <c r="C1262">
        <v>62.9</v>
      </c>
      <c r="D1262">
        <v>27.5</v>
      </c>
      <c r="E1262">
        <v>27.1</v>
      </c>
      <c r="F1262" t="s">
        <v>216</v>
      </c>
      <c r="G1262" s="92">
        <v>45673.597453703704</v>
      </c>
    </row>
    <row r="1263" spans="1:7" x14ac:dyDescent="0.2">
      <c r="A1263" t="s">
        <v>225</v>
      </c>
      <c r="B1263">
        <v>38.200000000000003</v>
      </c>
      <c r="C1263">
        <v>45.9</v>
      </c>
      <c r="D1263">
        <v>51.7</v>
      </c>
      <c r="E1263">
        <v>28.2</v>
      </c>
      <c r="F1263" t="s">
        <v>216</v>
      </c>
      <c r="G1263" s="92">
        <v>45673.60900462963</v>
      </c>
    </row>
    <row r="1264" spans="1:7" x14ac:dyDescent="0.2">
      <c r="A1264" t="s">
        <v>224</v>
      </c>
      <c r="B1264">
        <v>30.5</v>
      </c>
      <c r="C1264">
        <v>40.299999999999997</v>
      </c>
      <c r="D1264">
        <v>55.3</v>
      </c>
      <c r="E1264">
        <v>28.2</v>
      </c>
      <c r="F1264" t="s">
        <v>216</v>
      </c>
      <c r="G1264" s="92">
        <v>45673.599398148152</v>
      </c>
    </row>
    <row r="1265" spans="1:7" x14ac:dyDescent="0.2">
      <c r="A1265" t="s">
        <v>221</v>
      </c>
      <c r="B1265">
        <v>31.6</v>
      </c>
      <c r="C1265">
        <v>28.9</v>
      </c>
      <c r="D1265">
        <v>43.1</v>
      </c>
      <c r="E1265">
        <v>10.199999999999999</v>
      </c>
      <c r="F1265" t="s">
        <v>216</v>
      </c>
      <c r="G1265" s="92">
        <v>45673.591053240743</v>
      </c>
    </row>
    <row r="1266" spans="1:7" x14ac:dyDescent="0.2">
      <c r="A1266" t="s">
        <v>223</v>
      </c>
      <c r="B1266">
        <v>37.1</v>
      </c>
      <c r="C1266">
        <v>39.9</v>
      </c>
      <c r="D1266">
        <v>37.4</v>
      </c>
      <c r="E1266">
        <v>22.1</v>
      </c>
      <c r="F1266" t="s">
        <v>216</v>
      </c>
      <c r="G1266" s="92">
        <v>45673.598194444443</v>
      </c>
    </row>
    <row r="1267" spans="1:7" x14ac:dyDescent="0.2">
      <c r="A1267" t="s">
        <v>220</v>
      </c>
      <c r="B1267">
        <v>34</v>
      </c>
      <c r="C1267">
        <v>40.799999999999997</v>
      </c>
      <c r="D1267">
        <v>39.9</v>
      </c>
      <c r="E1267">
        <v>8.6</v>
      </c>
      <c r="F1267" t="s">
        <v>216</v>
      </c>
      <c r="G1267" s="92">
        <v>45673.590462962966</v>
      </c>
    </row>
    <row r="1268" spans="1:7" x14ac:dyDescent="0.2">
      <c r="A1268" t="s">
        <v>565</v>
      </c>
      <c r="B1268">
        <v>25.3</v>
      </c>
      <c r="C1268">
        <v>19.100000000000001</v>
      </c>
      <c r="D1268">
        <v>33.5</v>
      </c>
      <c r="E1268">
        <v>1</v>
      </c>
      <c r="F1268" t="s">
        <v>216</v>
      </c>
      <c r="G1268" s="92">
        <v>45672.612847222219</v>
      </c>
    </row>
    <row r="1269" spans="1:7" x14ac:dyDescent="0.2">
      <c r="A1269" t="s">
        <v>564</v>
      </c>
      <c r="B1269">
        <v>25.2</v>
      </c>
      <c r="C1269">
        <v>18.8</v>
      </c>
      <c r="D1269">
        <v>33.4</v>
      </c>
      <c r="E1269">
        <v>3.2</v>
      </c>
      <c r="F1269" t="s">
        <v>216</v>
      </c>
      <c r="G1269" s="92">
        <v>45672.612476851849</v>
      </c>
    </row>
    <row r="1270" spans="1:7" x14ac:dyDescent="0.2">
      <c r="A1270" t="s">
        <v>219</v>
      </c>
      <c r="B1270">
        <v>27.7</v>
      </c>
      <c r="C1270">
        <v>27.9</v>
      </c>
      <c r="D1270">
        <v>54.3</v>
      </c>
      <c r="E1270">
        <v>10.1</v>
      </c>
      <c r="F1270" t="s">
        <v>216</v>
      </c>
      <c r="G1270" s="92">
        <v>45672.592418981483</v>
      </c>
    </row>
    <row r="1271" spans="1:7" x14ac:dyDescent="0.2">
      <c r="A1271" t="s">
        <v>218</v>
      </c>
      <c r="B1271">
        <v>41.8</v>
      </c>
      <c r="C1271">
        <v>53.6</v>
      </c>
      <c r="D1271">
        <v>52.2</v>
      </c>
      <c r="E1271">
        <v>8.1</v>
      </c>
      <c r="F1271" t="s">
        <v>216</v>
      </c>
      <c r="G1271" s="92">
        <v>45672.591874999998</v>
      </c>
    </row>
    <row r="1272" spans="1:7" x14ac:dyDescent="0.2">
      <c r="A1272" t="s">
        <v>215</v>
      </c>
      <c r="B1272">
        <v>41.6</v>
      </c>
      <c r="C1272">
        <v>53.7</v>
      </c>
      <c r="D1272">
        <v>51.9</v>
      </c>
      <c r="E1272">
        <v>16.600000000000001</v>
      </c>
      <c r="F1272" t="s">
        <v>216</v>
      </c>
      <c r="G1272" s="92">
        <v>45672.590520833335</v>
      </c>
    </row>
    <row r="1273" spans="1:7" x14ac:dyDescent="0.2">
      <c r="A1273" t="s">
        <v>217</v>
      </c>
      <c r="B1273">
        <v>41.5</v>
      </c>
      <c r="C1273">
        <v>53.5</v>
      </c>
      <c r="D1273">
        <v>52</v>
      </c>
      <c r="E1273">
        <v>7.5</v>
      </c>
      <c r="F1273" t="s">
        <v>216</v>
      </c>
      <c r="G1273" s="92">
        <v>45672.59134259259</v>
      </c>
    </row>
    <row r="1274" spans="1:7" x14ac:dyDescent="0.2">
      <c r="A1274" t="s">
        <v>209</v>
      </c>
      <c r="B1274">
        <v>23.1</v>
      </c>
      <c r="C1274">
        <v>31.5</v>
      </c>
      <c r="D1274">
        <v>24.2</v>
      </c>
      <c r="E1274">
        <v>1.1000000000000001</v>
      </c>
      <c r="F1274" t="s">
        <v>210</v>
      </c>
      <c r="G1274" s="92">
        <v>45671.727222222224</v>
      </c>
    </row>
    <row r="1275" spans="1:7" x14ac:dyDescent="0.2">
      <c r="A1275" t="s">
        <v>214</v>
      </c>
      <c r="B1275">
        <v>49.2</v>
      </c>
      <c r="C1275">
        <v>49.9</v>
      </c>
      <c r="D1275">
        <v>49.1</v>
      </c>
      <c r="E1275">
        <v>9.1999999999999993</v>
      </c>
      <c r="F1275" t="s">
        <v>210</v>
      </c>
      <c r="G1275" s="92">
        <v>45671.729826388888</v>
      </c>
    </row>
    <row r="1276" spans="1:7" x14ac:dyDescent="0.2">
      <c r="A1276" t="s">
        <v>212</v>
      </c>
      <c r="B1276">
        <v>36.9</v>
      </c>
      <c r="C1276">
        <v>53.4</v>
      </c>
      <c r="D1276">
        <v>39.799999999999997</v>
      </c>
      <c r="E1276">
        <v>5.8</v>
      </c>
      <c r="F1276" t="s">
        <v>210</v>
      </c>
      <c r="G1276" s="92">
        <v>45671.729027777779</v>
      </c>
    </row>
    <row r="1277" spans="1:7" x14ac:dyDescent="0.2">
      <c r="A1277" t="s">
        <v>213</v>
      </c>
      <c r="B1277">
        <v>47.6</v>
      </c>
      <c r="C1277">
        <v>29.8</v>
      </c>
      <c r="D1277">
        <v>23.7</v>
      </c>
      <c r="E1277">
        <v>9.4</v>
      </c>
      <c r="F1277" t="s">
        <v>210</v>
      </c>
      <c r="G1277" s="92">
        <v>45671.729502314818</v>
      </c>
    </row>
    <row r="1278" spans="1:7" x14ac:dyDescent="0.2">
      <c r="A1278" t="s">
        <v>447</v>
      </c>
      <c r="B1278">
        <v>24.6</v>
      </c>
      <c r="C1278">
        <v>39.200000000000003</v>
      </c>
      <c r="D1278">
        <v>35.6</v>
      </c>
      <c r="E1278">
        <v>3.6</v>
      </c>
      <c r="F1278" t="s">
        <v>196</v>
      </c>
      <c r="G1278" s="92">
        <v>45671.577743055554</v>
      </c>
    </row>
    <row r="1279" spans="1:7" x14ac:dyDescent="0.2">
      <c r="A1279" t="s">
        <v>211</v>
      </c>
      <c r="B1279">
        <v>25.3</v>
      </c>
      <c r="C1279">
        <v>25.4</v>
      </c>
      <c r="D1279">
        <v>45.9</v>
      </c>
      <c r="E1279">
        <v>0.9</v>
      </c>
      <c r="F1279" t="s">
        <v>196</v>
      </c>
      <c r="G1279" s="92">
        <v>45671.626030092593</v>
      </c>
    </row>
    <row r="1280" spans="1:7" x14ac:dyDescent="0.2">
      <c r="A1280" t="s">
        <v>858</v>
      </c>
      <c r="B1280">
        <v>35</v>
      </c>
      <c r="C1280">
        <v>38.6</v>
      </c>
      <c r="D1280">
        <v>39.299999999999997</v>
      </c>
      <c r="E1280">
        <v>8.9</v>
      </c>
      <c r="F1280" t="s">
        <v>695</v>
      </c>
      <c r="G1280" s="92">
        <v>45937.651516203703</v>
      </c>
    </row>
    <row r="1281" spans="1:7" x14ac:dyDescent="0.2">
      <c r="A1281" t="s">
        <v>1263</v>
      </c>
      <c r="B1281">
        <v>45.7</v>
      </c>
      <c r="C1281">
        <v>38.1</v>
      </c>
      <c r="D1281">
        <v>35.1</v>
      </c>
      <c r="E1281">
        <v>7</v>
      </c>
      <c r="F1281" t="s">
        <v>216</v>
      </c>
      <c r="G1281" s="92">
        <v>45817.48574074074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104</vt:i4>
      </vt:variant>
    </vt:vector>
  </HeadingPairs>
  <TitlesOfParts>
    <vt:vector size="110" baseType="lpstr">
      <vt:lpstr>指図書</vt:lpstr>
      <vt:lpstr>線量率登録</vt:lpstr>
      <vt:lpstr>改訂履歴</vt:lpstr>
      <vt:lpstr>設定値</vt:lpstr>
      <vt:lpstr>ソフト変更履歴</vt:lpstr>
      <vt:lpstr>Sheet1</vt:lpstr>
      <vt:lpstr>AE132A</vt:lpstr>
      <vt:lpstr>AE132AA</vt:lpstr>
      <vt:lpstr>Bikou</vt:lpstr>
      <vt:lpstr>Bikou2</vt:lpstr>
      <vt:lpstr>Ceff</vt:lpstr>
      <vt:lpstr>CiAri</vt:lpstr>
      <vt:lpstr>CiNasi</vt:lpstr>
      <vt:lpstr>CIumu</vt:lpstr>
      <vt:lpstr>Coeff</vt:lpstr>
      <vt:lpstr>ColN</vt:lpstr>
      <vt:lpstr>DaiTakasa</vt:lpstr>
      <vt:lpstr>DBTourokuUMU</vt:lpstr>
      <vt:lpstr>Debug</vt:lpstr>
      <vt:lpstr>DoseR0</vt:lpstr>
      <vt:lpstr>DoseR20</vt:lpstr>
      <vt:lpstr>DoseR30</vt:lpstr>
      <vt:lpstr>DoseR40</vt:lpstr>
      <vt:lpstr>DoseR50</vt:lpstr>
      <vt:lpstr>Eday</vt:lpstr>
      <vt:lpstr>Haba</vt:lpstr>
      <vt:lpstr>HakoHaba</vt:lpstr>
      <vt:lpstr>HakoMin</vt:lpstr>
      <vt:lpstr>HakoNagasa</vt:lpstr>
      <vt:lpstr>HakoTakasa</vt:lpstr>
      <vt:lpstr>HanJyouGe</vt:lpstr>
      <vt:lpstr>HanSayuu</vt:lpstr>
      <vt:lpstr>HanSonota</vt:lpstr>
      <vt:lpstr>Hanten</vt:lpstr>
      <vt:lpstr>HantenSu</vt:lpstr>
      <vt:lpstr>Hennkou</vt:lpstr>
      <vt:lpstr>Hogobann</vt:lpstr>
      <vt:lpstr>HogobannR</vt:lpstr>
      <vt:lpstr>Horei</vt:lpstr>
      <vt:lpstr>HoreiHou</vt:lpstr>
      <vt:lpstr>HoreiMu</vt:lpstr>
      <vt:lpstr>JyougSn</vt:lpstr>
      <vt:lpstr>KagenSn</vt:lpstr>
      <vt:lpstr>Kainame</vt:lpstr>
      <vt:lpstr>KaisiBi</vt:lpstr>
      <vt:lpstr>KaisiCell</vt:lpstr>
      <vt:lpstr>KikanE</vt:lpstr>
      <vt:lpstr>KikanS</vt:lpstr>
      <vt:lpstr>KokyakuSiji</vt:lpstr>
      <vt:lpstr>LabAri</vt:lpstr>
      <vt:lpstr>Label</vt:lpstr>
      <vt:lpstr>LabNasi</vt:lpstr>
      <vt:lpstr>LabTenIti</vt:lpstr>
      <vt:lpstr>List</vt:lpstr>
      <vt:lpstr>Nagasa</vt:lpstr>
      <vt:lpstr>NyukaBi</vt:lpstr>
      <vt:lpstr>NyukaSuu</vt:lpstr>
      <vt:lpstr>Omosa</vt:lpstr>
      <vt:lpstr>OmosaMin</vt:lpstr>
      <vt:lpstr>指図書!Print_Area</vt:lpstr>
      <vt:lpstr>設定値!Print_Area</vt:lpstr>
      <vt:lpstr>RaDataUp</vt:lpstr>
      <vt:lpstr>RaDateE</vt:lpstr>
      <vt:lpstr>RaDateS</vt:lpstr>
      <vt:lpstr>RaDbData</vt:lpstr>
      <vt:lpstr>RadiW</vt:lpstr>
      <vt:lpstr>RadixWW</vt:lpstr>
      <vt:lpstr>RateData</vt:lpstr>
      <vt:lpstr>RateTBL</vt:lpstr>
      <vt:lpstr>Rireki</vt:lpstr>
      <vt:lpstr>RituSenKei</vt:lpstr>
      <vt:lpstr>RowN</vt:lpstr>
      <vt:lpstr>SakuseiBi</vt:lpstr>
      <vt:lpstr>SeiH0I</vt:lpstr>
      <vt:lpstr>SeiH20I</vt:lpstr>
      <vt:lpstr>SeiH20M</vt:lpstr>
      <vt:lpstr>SeiH30I</vt:lpstr>
      <vt:lpstr>SeiH30M</vt:lpstr>
      <vt:lpstr>SeiH40I</vt:lpstr>
      <vt:lpstr>SeiH40M</vt:lpstr>
      <vt:lpstr>SeiH50I</vt:lpstr>
      <vt:lpstr>SeiH50M</vt:lpstr>
      <vt:lpstr>SeiH60M</vt:lpstr>
      <vt:lpstr>SenAri</vt:lpstr>
      <vt:lpstr>SenIti</vt:lpstr>
      <vt:lpstr>SenItiHoka</vt:lpstr>
      <vt:lpstr>SenItiNaka</vt:lpstr>
      <vt:lpstr>SenKei</vt:lpstr>
      <vt:lpstr>SenNasi</vt:lpstr>
      <vt:lpstr>SenRitu</vt:lpstr>
      <vt:lpstr>SenRituS</vt:lpstr>
      <vt:lpstr>SenSyu</vt:lpstr>
      <vt:lpstr>SetHouhou</vt:lpstr>
      <vt:lpstr>SetJikan</vt:lpstr>
      <vt:lpstr>SetJikanS</vt:lpstr>
      <vt:lpstr>SetRitu</vt:lpstr>
      <vt:lpstr>SetSentaku</vt:lpstr>
      <vt:lpstr>SetSonota</vt:lpstr>
      <vt:lpstr>SetSuu</vt:lpstr>
      <vt:lpstr>SheetCal</vt:lpstr>
      <vt:lpstr>SheetHr</vt:lpstr>
      <vt:lpstr>SiteiSn</vt:lpstr>
      <vt:lpstr>SpkFolder</vt:lpstr>
      <vt:lpstr>Takasa</vt:lpstr>
      <vt:lpstr>TokSijNasi</vt:lpstr>
      <vt:lpstr>TokSujiAri</vt:lpstr>
      <vt:lpstr>Uno</vt:lpstr>
      <vt:lpstr>YousikiName</vt:lpstr>
      <vt:lpstr>YousikiNo</vt:lpstr>
      <vt:lpstr>作成者</vt:lpstr>
    </vt:vector>
  </TitlesOfParts>
  <Company>ラジエ工業株式会社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RIC-205</dc:creator>
  <cp:lastModifiedBy>admin</cp:lastModifiedBy>
  <cp:lastPrinted>2026-01-13T07:59:24Z</cp:lastPrinted>
  <dcterms:created xsi:type="dcterms:W3CDTF">2014-05-02T07:48:22Z</dcterms:created>
  <dcterms:modified xsi:type="dcterms:W3CDTF">2026-01-14T01:18:52Z</dcterms:modified>
</cp:coreProperties>
</file>